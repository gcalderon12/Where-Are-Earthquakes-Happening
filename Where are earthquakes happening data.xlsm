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abecalderon/Desktop/"/>
    </mc:Choice>
  </mc:AlternateContent>
  <xr:revisionPtr revIDLastSave="0" documentId="8_{06150B9F-27EA-044D-AF62-816B485BEFBC}" xr6:coauthVersionLast="47" xr6:coauthVersionMax="47" xr10:uidLastSave="{00000000-0000-0000-0000-000000000000}"/>
  <bookViews>
    <workbookView xWindow="2120" yWindow="6100" windowWidth="25080" windowHeight="17500" firstSheet="4" activeTab="8" xr2:uid="{00000000-000D-0000-FFFF-FFFF00000000}"/>
  </bookViews>
  <sheets>
    <sheet name="Covariance" sheetId="13" r:id="rId1"/>
    <sheet name="Total # by Country" sheetId="21" r:id="rId2"/>
    <sheet name="Total # by Continent" sheetId="23" r:id="rId3"/>
    <sheet name="Correlation" sheetId="25" r:id="rId4"/>
    <sheet name="Updated earthquake_data" sheetId="6" r:id="rId5"/>
    <sheet name="MMDD Graph" sheetId="32" r:id="rId6"/>
    <sheet name="MM Graph" sheetId="33" r:id="rId7"/>
    <sheet name="MM Updated Data" sheetId="26" r:id="rId8"/>
    <sheet name="Orignial earthquake_data" sheetId="1" r:id="rId9"/>
  </sheets>
  <definedNames>
    <definedName name="solver_eng" localSheetId="4" hidden="1">1</definedName>
    <definedName name="solver_lin" localSheetId="4" hidden="1">2</definedName>
    <definedName name="solver_neg" localSheetId="4" hidden="1">1</definedName>
    <definedName name="solver_num" localSheetId="4" hidden="1">0</definedName>
    <definedName name="solver_opt" localSheetId="4" hidden="1">'Updated earthquake_data'!$O$12</definedName>
    <definedName name="solver_typ" localSheetId="4" hidden="1">1</definedName>
    <definedName name="solver_val" localSheetId="4" hidden="1">0</definedName>
    <definedName name="solver_ver" localSheetId="4" hidden="1">2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26" l="1"/>
  <c r="J37" i="26"/>
  <c r="J38" i="26"/>
  <c r="J39" i="26"/>
  <c r="J40" i="26"/>
  <c r="J41" i="26"/>
  <c r="J42" i="26"/>
  <c r="K42" i="26" s="1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J145" i="26"/>
  <c r="J146" i="26"/>
  <c r="J147" i="26"/>
  <c r="J148" i="26"/>
  <c r="J149" i="26"/>
  <c r="J150" i="26"/>
  <c r="J151" i="26"/>
  <c r="J152" i="26"/>
  <c r="J153" i="26"/>
  <c r="J154" i="26"/>
  <c r="J155" i="26"/>
  <c r="J156" i="26"/>
  <c r="J157" i="26"/>
  <c r="J158" i="26"/>
  <c r="J159" i="26"/>
  <c r="J160" i="26"/>
  <c r="J161" i="26"/>
  <c r="J162" i="26"/>
  <c r="J163" i="26"/>
  <c r="J164" i="26"/>
  <c r="J165" i="26"/>
  <c r="J166" i="26"/>
  <c r="J167" i="26"/>
  <c r="J168" i="26"/>
  <c r="J169" i="26"/>
  <c r="J170" i="26"/>
  <c r="J171" i="26"/>
  <c r="J172" i="26"/>
  <c r="J173" i="26"/>
  <c r="J174" i="26"/>
  <c r="J175" i="26"/>
  <c r="J176" i="26"/>
  <c r="J177" i="26"/>
  <c r="J178" i="26"/>
  <c r="J179" i="26"/>
  <c r="J180" i="26"/>
  <c r="J181" i="26"/>
  <c r="J182" i="26"/>
  <c r="J183" i="26"/>
  <c r="J184" i="26"/>
  <c r="J185" i="26"/>
  <c r="J186" i="26"/>
  <c r="J187" i="26"/>
  <c r="J188" i="26"/>
  <c r="J189" i="26"/>
  <c r="J190" i="26"/>
  <c r="J191" i="26"/>
  <c r="J192" i="26"/>
  <c r="J193" i="26"/>
  <c r="J194" i="26"/>
  <c r="J195" i="26"/>
  <c r="J196" i="26"/>
  <c r="J197" i="26"/>
  <c r="J198" i="26"/>
  <c r="J199" i="26"/>
  <c r="J200" i="26"/>
  <c r="J201" i="26"/>
  <c r="J202" i="26"/>
  <c r="J203" i="26"/>
  <c r="J204" i="26"/>
  <c r="J205" i="26"/>
  <c r="J206" i="26"/>
  <c r="J207" i="26"/>
  <c r="J208" i="26"/>
  <c r="J209" i="26"/>
  <c r="J210" i="26"/>
  <c r="J211" i="26"/>
  <c r="J212" i="26"/>
  <c r="J213" i="26"/>
  <c r="J214" i="26"/>
  <c r="J215" i="26"/>
  <c r="J216" i="26"/>
  <c r="J217" i="26"/>
  <c r="J218" i="26"/>
  <c r="J219" i="26"/>
  <c r="J220" i="26"/>
  <c r="J221" i="26"/>
  <c r="J222" i="26"/>
  <c r="J223" i="26"/>
  <c r="J224" i="26"/>
  <c r="J225" i="26"/>
  <c r="J226" i="26"/>
  <c r="J227" i="26"/>
  <c r="J228" i="26"/>
  <c r="J229" i="26"/>
  <c r="J230" i="26"/>
  <c r="J231" i="26"/>
  <c r="J232" i="26"/>
  <c r="J233" i="26"/>
  <c r="J234" i="26"/>
  <c r="J235" i="26"/>
  <c r="J236" i="26"/>
  <c r="J237" i="26"/>
  <c r="J238" i="26"/>
  <c r="J239" i="26"/>
  <c r="J240" i="26"/>
  <c r="J241" i="26"/>
  <c r="J242" i="26"/>
  <c r="J243" i="26"/>
  <c r="J244" i="26"/>
  <c r="J245" i="26"/>
  <c r="J246" i="26"/>
  <c r="J247" i="26"/>
  <c r="J248" i="26"/>
  <c r="J249" i="26"/>
  <c r="J250" i="26"/>
  <c r="J251" i="26"/>
  <c r="J252" i="26"/>
  <c r="J253" i="26"/>
  <c r="J254" i="26"/>
  <c r="J255" i="26"/>
  <c r="J256" i="26"/>
  <c r="J257" i="26"/>
  <c r="J258" i="26"/>
  <c r="J259" i="26"/>
  <c r="J260" i="26"/>
  <c r="J261" i="26"/>
  <c r="J262" i="26"/>
  <c r="J263" i="26"/>
  <c r="J264" i="26"/>
  <c r="J265" i="26"/>
  <c r="J266" i="26"/>
  <c r="J267" i="26"/>
  <c r="J268" i="26"/>
  <c r="J269" i="26"/>
  <c r="J270" i="26"/>
  <c r="J271" i="26"/>
  <c r="J272" i="26"/>
  <c r="J273" i="26"/>
  <c r="J274" i="26"/>
  <c r="J275" i="26"/>
  <c r="J276" i="26"/>
  <c r="J277" i="26"/>
  <c r="J278" i="26"/>
  <c r="J279" i="26"/>
  <c r="J280" i="26"/>
  <c r="J281" i="26"/>
  <c r="J282" i="26"/>
  <c r="J283" i="26"/>
  <c r="J284" i="26"/>
  <c r="J285" i="26"/>
  <c r="J286" i="26"/>
  <c r="J287" i="26"/>
  <c r="J288" i="26"/>
  <c r="J289" i="26"/>
  <c r="J290" i="26"/>
  <c r="J291" i="26"/>
  <c r="J292" i="26"/>
  <c r="J293" i="26"/>
  <c r="J294" i="26"/>
  <c r="J295" i="26"/>
  <c r="J296" i="26"/>
  <c r="J297" i="26"/>
  <c r="J298" i="26"/>
  <c r="J299" i="26"/>
  <c r="J300" i="26"/>
  <c r="J301" i="26"/>
  <c r="J302" i="26"/>
  <c r="J303" i="26"/>
  <c r="J304" i="26"/>
  <c r="J305" i="26"/>
  <c r="J306" i="26"/>
  <c r="J307" i="26"/>
  <c r="J308" i="26"/>
  <c r="J309" i="26"/>
  <c r="J310" i="26"/>
  <c r="J311" i="26"/>
  <c r="J312" i="26"/>
  <c r="J313" i="26"/>
  <c r="J314" i="26"/>
  <c r="J315" i="26"/>
  <c r="J316" i="26"/>
  <c r="J317" i="26"/>
  <c r="J318" i="26"/>
  <c r="J319" i="26"/>
  <c r="J320" i="26"/>
  <c r="J321" i="26"/>
  <c r="J322" i="26"/>
  <c r="J323" i="26"/>
  <c r="J324" i="26"/>
  <c r="J325" i="26"/>
  <c r="J326" i="26"/>
  <c r="J327" i="26"/>
  <c r="J328" i="26"/>
  <c r="J329" i="26"/>
  <c r="J330" i="26"/>
  <c r="J331" i="26"/>
  <c r="J332" i="26"/>
  <c r="J333" i="26"/>
  <c r="J334" i="26"/>
  <c r="J335" i="26"/>
  <c r="J336" i="26"/>
  <c r="J337" i="26"/>
  <c r="J338" i="26"/>
  <c r="J339" i="26"/>
  <c r="J340" i="26"/>
  <c r="J341" i="26"/>
  <c r="J342" i="26"/>
  <c r="J343" i="26"/>
  <c r="J344" i="26"/>
  <c r="J345" i="26"/>
  <c r="J346" i="26"/>
  <c r="J347" i="26"/>
  <c r="J348" i="26"/>
  <c r="J349" i="26"/>
  <c r="J350" i="26"/>
  <c r="J351" i="26"/>
  <c r="J352" i="26"/>
  <c r="J353" i="26"/>
  <c r="J354" i="26"/>
  <c r="J355" i="26"/>
  <c r="J356" i="26"/>
  <c r="J357" i="26"/>
  <c r="J358" i="26"/>
  <c r="J359" i="26"/>
  <c r="J360" i="26"/>
  <c r="J361" i="26"/>
  <c r="J362" i="26"/>
  <c r="J363" i="26"/>
  <c r="J364" i="26"/>
  <c r="J365" i="26"/>
  <c r="J366" i="26"/>
  <c r="J367" i="26"/>
  <c r="J368" i="26"/>
  <c r="J369" i="26"/>
  <c r="J370" i="26"/>
  <c r="J371" i="26"/>
  <c r="J372" i="26"/>
  <c r="J373" i="26"/>
  <c r="J374" i="26"/>
  <c r="J375" i="26"/>
  <c r="J376" i="26"/>
  <c r="J377" i="26"/>
  <c r="J378" i="26"/>
  <c r="J379" i="26"/>
  <c r="J380" i="26"/>
  <c r="J381" i="26"/>
  <c r="J382" i="26"/>
  <c r="J383" i="26"/>
  <c r="J384" i="26"/>
  <c r="J385" i="26"/>
  <c r="J386" i="26"/>
  <c r="J387" i="26"/>
  <c r="J388" i="26"/>
  <c r="J389" i="26"/>
  <c r="J390" i="26"/>
  <c r="J391" i="26"/>
  <c r="J392" i="26"/>
  <c r="J393" i="26"/>
  <c r="J394" i="26"/>
  <c r="J395" i="26"/>
  <c r="J396" i="26"/>
  <c r="J397" i="26"/>
  <c r="J398" i="26"/>
  <c r="J399" i="26"/>
  <c r="J400" i="26"/>
  <c r="J401" i="26"/>
  <c r="J402" i="26"/>
  <c r="J403" i="26"/>
  <c r="J404" i="26"/>
  <c r="J405" i="26"/>
  <c r="J406" i="26"/>
  <c r="J407" i="26"/>
  <c r="J408" i="26"/>
  <c r="J409" i="26"/>
  <c r="J410" i="26"/>
  <c r="J411" i="26"/>
  <c r="J412" i="26"/>
  <c r="J413" i="26"/>
  <c r="J414" i="26"/>
  <c r="J415" i="26"/>
  <c r="J416" i="26"/>
  <c r="J417" i="26"/>
  <c r="J418" i="26"/>
  <c r="J419" i="26"/>
  <c r="J420" i="26"/>
  <c r="J421" i="26"/>
  <c r="J422" i="26"/>
  <c r="J423" i="26"/>
  <c r="J424" i="26"/>
  <c r="J425" i="26"/>
  <c r="J426" i="26"/>
  <c r="J427" i="26"/>
  <c r="J428" i="26"/>
  <c r="J429" i="26"/>
  <c r="J430" i="26"/>
  <c r="J431" i="26"/>
  <c r="J432" i="26"/>
  <c r="J433" i="26"/>
  <c r="J434" i="26"/>
  <c r="J435" i="26"/>
  <c r="J436" i="26"/>
  <c r="J437" i="26"/>
  <c r="J438" i="26"/>
  <c r="J439" i="26"/>
  <c r="J440" i="26"/>
  <c r="J441" i="26"/>
  <c r="J442" i="26"/>
  <c r="J443" i="26"/>
  <c r="J444" i="26"/>
  <c r="J445" i="26"/>
  <c r="J446" i="26"/>
  <c r="J447" i="26"/>
  <c r="J448" i="26"/>
  <c r="J449" i="26"/>
  <c r="J450" i="26"/>
  <c r="J451" i="26"/>
  <c r="J452" i="26"/>
  <c r="J453" i="26"/>
  <c r="J454" i="26"/>
  <c r="J455" i="26"/>
  <c r="J456" i="26"/>
  <c r="J457" i="26"/>
  <c r="J458" i="26"/>
  <c r="J459" i="26"/>
  <c r="J460" i="26"/>
  <c r="J461" i="26"/>
  <c r="J462" i="26"/>
  <c r="J463" i="26"/>
  <c r="J464" i="26"/>
  <c r="J465" i="26"/>
  <c r="J466" i="26"/>
  <c r="J467" i="26"/>
  <c r="J468" i="26"/>
  <c r="J469" i="26"/>
  <c r="J470" i="26"/>
  <c r="J471" i="26"/>
  <c r="J472" i="26"/>
  <c r="J473" i="26"/>
  <c r="J474" i="26"/>
  <c r="J475" i="26"/>
  <c r="J476" i="26"/>
  <c r="J477" i="26"/>
  <c r="J478" i="26"/>
  <c r="J479" i="26"/>
  <c r="J480" i="26"/>
  <c r="J481" i="26"/>
  <c r="J482" i="26"/>
  <c r="J483" i="26"/>
  <c r="J484" i="26"/>
  <c r="J485" i="26"/>
  <c r="J486" i="26"/>
  <c r="J487" i="26"/>
  <c r="J488" i="26"/>
  <c r="J489" i="26"/>
  <c r="J490" i="26"/>
  <c r="J491" i="26"/>
  <c r="J492" i="26"/>
  <c r="J493" i="26"/>
  <c r="J494" i="26"/>
  <c r="J495" i="26"/>
  <c r="J496" i="26"/>
  <c r="J497" i="26"/>
  <c r="J498" i="26"/>
  <c r="J499" i="26"/>
  <c r="J500" i="26"/>
  <c r="J501" i="26"/>
  <c r="J502" i="26"/>
  <c r="J503" i="26"/>
  <c r="J504" i="26"/>
  <c r="J505" i="26"/>
  <c r="J506" i="26"/>
  <c r="J507" i="26"/>
  <c r="J508" i="26"/>
  <c r="J509" i="26"/>
  <c r="J510" i="26"/>
  <c r="J511" i="26"/>
  <c r="J512" i="26"/>
  <c r="J513" i="26"/>
  <c r="J514" i="26"/>
  <c r="J515" i="26"/>
  <c r="J516" i="26"/>
  <c r="J517" i="26"/>
  <c r="J518" i="26"/>
  <c r="J519" i="26"/>
  <c r="J520" i="26"/>
  <c r="J521" i="26"/>
  <c r="J522" i="26"/>
  <c r="J523" i="26"/>
  <c r="J524" i="26"/>
  <c r="J525" i="26"/>
  <c r="J526" i="26"/>
  <c r="J527" i="26"/>
  <c r="J528" i="26"/>
  <c r="J529" i="26"/>
  <c r="J530" i="26"/>
  <c r="J531" i="26"/>
  <c r="J532" i="26"/>
  <c r="J533" i="26"/>
  <c r="J534" i="26"/>
  <c r="J535" i="26"/>
  <c r="J536" i="26"/>
  <c r="J537" i="26"/>
  <c r="J538" i="26"/>
  <c r="J539" i="26"/>
  <c r="J540" i="26"/>
  <c r="J541" i="26"/>
  <c r="J542" i="26"/>
  <c r="J543" i="26"/>
  <c r="J544" i="26"/>
  <c r="J545" i="26"/>
  <c r="J546" i="26"/>
  <c r="J547" i="26"/>
  <c r="J548" i="26"/>
  <c r="J549" i="26"/>
  <c r="J550" i="26"/>
  <c r="J551" i="26"/>
  <c r="J552" i="26"/>
  <c r="J553" i="26"/>
  <c r="J554" i="26"/>
  <c r="J555" i="26"/>
  <c r="J556" i="26"/>
  <c r="J557" i="26"/>
  <c r="J558" i="26"/>
  <c r="J559" i="26"/>
  <c r="J560" i="26"/>
  <c r="J561" i="26"/>
  <c r="J562" i="26"/>
  <c r="J563" i="26"/>
  <c r="J564" i="26"/>
  <c r="J565" i="26"/>
  <c r="J566" i="26"/>
  <c r="J567" i="26"/>
  <c r="J568" i="26"/>
  <c r="J569" i="26"/>
  <c r="J570" i="26"/>
  <c r="J571" i="26"/>
  <c r="J572" i="26"/>
  <c r="J573" i="26"/>
  <c r="J574" i="26"/>
  <c r="J575" i="26"/>
  <c r="J576" i="26"/>
  <c r="J577" i="26"/>
  <c r="J578" i="26"/>
  <c r="J579" i="26"/>
  <c r="J580" i="26"/>
  <c r="J581" i="26"/>
  <c r="J582" i="26"/>
  <c r="J583" i="26"/>
  <c r="J584" i="26"/>
  <c r="J585" i="26"/>
  <c r="J586" i="26"/>
  <c r="J587" i="26"/>
  <c r="J588" i="26"/>
  <c r="J589" i="26"/>
  <c r="J590" i="26"/>
  <c r="J591" i="26"/>
  <c r="J592" i="26"/>
  <c r="J593" i="26"/>
  <c r="J594" i="26"/>
  <c r="J595" i="26"/>
  <c r="J596" i="26"/>
  <c r="J597" i="26"/>
  <c r="J598" i="26"/>
  <c r="J599" i="26"/>
  <c r="J600" i="26"/>
  <c r="J601" i="26"/>
  <c r="J602" i="26"/>
  <c r="J603" i="26"/>
  <c r="J604" i="26"/>
  <c r="J605" i="26"/>
  <c r="J606" i="26"/>
  <c r="J607" i="26"/>
  <c r="J608" i="26"/>
  <c r="J609" i="26"/>
  <c r="J610" i="26"/>
  <c r="J611" i="26"/>
  <c r="J612" i="26"/>
  <c r="J613" i="26"/>
  <c r="J614" i="26"/>
  <c r="J615" i="26"/>
  <c r="J616" i="26"/>
  <c r="J617" i="26"/>
  <c r="J618" i="26"/>
  <c r="J619" i="26"/>
  <c r="J620" i="26"/>
  <c r="J621" i="26"/>
  <c r="J622" i="26"/>
  <c r="J623" i="26"/>
  <c r="J624" i="26"/>
  <c r="J625" i="26"/>
  <c r="J626" i="26"/>
  <c r="J627" i="26"/>
  <c r="J628" i="26"/>
  <c r="J629" i="26"/>
  <c r="J630" i="26"/>
  <c r="J631" i="26"/>
  <c r="J632" i="26"/>
  <c r="J633" i="26"/>
  <c r="J634" i="26"/>
  <c r="J635" i="26"/>
  <c r="J636" i="26"/>
  <c r="J637" i="26"/>
  <c r="J638" i="26"/>
  <c r="J639" i="26"/>
  <c r="J640" i="26"/>
  <c r="J641" i="26"/>
  <c r="J642" i="26"/>
  <c r="J643" i="26"/>
  <c r="J644" i="26"/>
  <c r="J645" i="26"/>
  <c r="J646" i="26"/>
  <c r="J647" i="26"/>
  <c r="J648" i="26"/>
  <c r="J649" i="26"/>
  <c r="J650" i="26"/>
  <c r="J651" i="26"/>
  <c r="J652" i="26"/>
  <c r="J653" i="26"/>
  <c r="J654" i="26"/>
  <c r="J655" i="26"/>
  <c r="J656" i="26"/>
  <c r="J657" i="26"/>
  <c r="J658" i="26"/>
  <c r="J659" i="26"/>
  <c r="J660" i="26"/>
  <c r="J661" i="26"/>
  <c r="J662" i="26"/>
  <c r="J663" i="26"/>
  <c r="J664" i="26"/>
  <c r="J665" i="26"/>
  <c r="J666" i="26"/>
  <c r="J667" i="26"/>
  <c r="J668" i="26"/>
  <c r="J669" i="26"/>
  <c r="J670" i="26"/>
  <c r="J671" i="26"/>
  <c r="J672" i="26"/>
  <c r="J673" i="26"/>
  <c r="J674" i="26"/>
  <c r="J675" i="26"/>
  <c r="J676" i="26"/>
  <c r="J677" i="26"/>
  <c r="J678" i="26"/>
  <c r="J679" i="26"/>
  <c r="J680" i="26"/>
  <c r="J681" i="26"/>
  <c r="J682" i="26"/>
  <c r="J683" i="26"/>
  <c r="J684" i="26"/>
  <c r="J685" i="26"/>
  <c r="J686" i="26"/>
  <c r="J687" i="26"/>
  <c r="J688" i="26"/>
  <c r="J689" i="26"/>
  <c r="J690" i="26"/>
  <c r="J691" i="26"/>
  <c r="J692" i="26"/>
  <c r="J693" i="26"/>
  <c r="J694" i="26"/>
  <c r="J695" i="26"/>
  <c r="J696" i="26"/>
  <c r="J697" i="26"/>
  <c r="J698" i="26"/>
  <c r="J699" i="26"/>
  <c r="J700" i="26"/>
  <c r="J701" i="26"/>
  <c r="J702" i="26"/>
  <c r="J703" i="26"/>
  <c r="J704" i="26"/>
  <c r="J705" i="26"/>
  <c r="J706" i="26"/>
  <c r="J707" i="26"/>
  <c r="J708" i="26"/>
  <c r="J709" i="26"/>
  <c r="J710" i="26"/>
  <c r="J711" i="26"/>
  <c r="J712" i="26"/>
  <c r="J713" i="26"/>
  <c r="J714" i="26"/>
  <c r="J715" i="26"/>
  <c r="J716" i="26"/>
  <c r="J717" i="26"/>
  <c r="J718" i="26"/>
  <c r="J719" i="26"/>
  <c r="J720" i="26"/>
  <c r="J721" i="26"/>
  <c r="J722" i="26"/>
  <c r="J723" i="26"/>
  <c r="J724" i="26"/>
  <c r="J725" i="26"/>
  <c r="J726" i="26"/>
  <c r="J727" i="26"/>
  <c r="J728" i="26"/>
  <c r="J729" i="26"/>
  <c r="J730" i="26"/>
  <c r="J731" i="26"/>
  <c r="J732" i="26"/>
  <c r="J733" i="26"/>
  <c r="J734" i="26"/>
  <c r="J735" i="26"/>
  <c r="J736" i="26"/>
  <c r="J737" i="26"/>
  <c r="J738" i="26"/>
  <c r="J739" i="26"/>
  <c r="J740" i="26"/>
  <c r="J741" i="26"/>
  <c r="J742" i="26"/>
  <c r="J743" i="26"/>
  <c r="J744" i="26"/>
  <c r="J745" i="26"/>
  <c r="J746" i="26"/>
  <c r="J747" i="26"/>
  <c r="J748" i="26"/>
  <c r="J749" i="26"/>
  <c r="J750" i="26"/>
  <c r="J751" i="26"/>
  <c r="J752" i="26"/>
  <c r="J753" i="26"/>
  <c r="J754" i="26"/>
  <c r="J755" i="26"/>
  <c r="J756" i="26"/>
  <c r="J757" i="26"/>
  <c r="J758" i="26"/>
  <c r="J759" i="26"/>
  <c r="J760" i="26"/>
  <c r="J761" i="26"/>
  <c r="J762" i="26"/>
  <c r="J763" i="26"/>
  <c r="J764" i="26"/>
  <c r="J765" i="26"/>
  <c r="J766" i="26"/>
  <c r="J767" i="26"/>
  <c r="J768" i="26"/>
  <c r="J769" i="26"/>
  <c r="J770" i="26"/>
  <c r="J771" i="26"/>
  <c r="J772" i="26"/>
  <c r="J773" i="26"/>
  <c r="J774" i="26"/>
  <c r="J775" i="26"/>
  <c r="J776" i="26"/>
  <c r="J777" i="26"/>
  <c r="J778" i="26"/>
  <c r="J779" i="26"/>
  <c r="J780" i="26"/>
  <c r="J781" i="26"/>
  <c r="J782" i="26"/>
  <c r="J783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K30" i="26" s="1"/>
  <c r="J31" i="26"/>
  <c r="J32" i="26"/>
  <c r="J33" i="26"/>
  <c r="J34" i="26"/>
  <c r="K34" i="26" s="1"/>
  <c r="J35" i="26"/>
  <c r="J3" i="26"/>
  <c r="J4" i="26"/>
  <c r="J5" i="26"/>
  <c r="K5" i="26" s="1"/>
  <c r="J6" i="26"/>
  <c r="K6" i="26" s="1"/>
  <c r="J2" i="26"/>
  <c r="K16" i="26"/>
  <c r="K24" i="26"/>
  <c r="K47" i="26"/>
  <c r="K48" i="26"/>
  <c r="K50" i="26"/>
  <c r="K55" i="26"/>
  <c r="K56" i="26"/>
  <c r="K58" i="26"/>
  <c r="K63" i="26"/>
  <c r="K64" i="26"/>
  <c r="K66" i="26"/>
  <c r="K71" i="26"/>
  <c r="K72" i="26"/>
  <c r="K74" i="26"/>
  <c r="K79" i="26"/>
  <c r="K80" i="26"/>
  <c r="K82" i="26"/>
  <c r="K87" i="26"/>
  <c r="K88" i="26"/>
  <c r="K90" i="26"/>
  <c r="K95" i="26"/>
  <c r="K96" i="26"/>
  <c r="K98" i="26"/>
  <c r="K103" i="26"/>
  <c r="K104" i="26"/>
  <c r="K106" i="26"/>
  <c r="K111" i="26"/>
  <c r="K112" i="26"/>
  <c r="K114" i="26"/>
  <c r="K119" i="26"/>
  <c r="K120" i="26"/>
  <c r="K122" i="26"/>
  <c r="K127" i="26"/>
  <c r="K128" i="26"/>
  <c r="K130" i="26"/>
  <c r="K135" i="26"/>
  <c r="K136" i="26"/>
  <c r="K138" i="26"/>
  <c r="K143" i="26"/>
  <c r="K144" i="26"/>
  <c r="K146" i="26"/>
  <c r="K151" i="26"/>
  <c r="K152" i="26"/>
  <c r="K154" i="26"/>
  <c r="K159" i="26"/>
  <c r="K160" i="26"/>
  <c r="K162" i="26"/>
  <c r="K167" i="26"/>
  <c r="K168" i="26"/>
  <c r="K170" i="26"/>
  <c r="K175" i="26"/>
  <c r="K176" i="26"/>
  <c r="K178" i="26"/>
  <c r="K183" i="26"/>
  <c r="K184" i="26"/>
  <c r="K186" i="26"/>
  <c r="K191" i="26"/>
  <c r="K192" i="26"/>
  <c r="K194" i="26"/>
  <c r="K199" i="26"/>
  <c r="K200" i="26"/>
  <c r="K202" i="26"/>
  <c r="K207" i="26"/>
  <c r="K208" i="26"/>
  <c r="K210" i="26"/>
  <c r="K215" i="26"/>
  <c r="K216" i="26"/>
  <c r="K218" i="26"/>
  <c r="K223" i="26"/>
  <c r="K224" i="26"/>
  <c r="K226" i="26"/>
  <c r="K231" i="26"/>
  <c r="K232" i="26"/>
  <c r="K234" i="26"/>
  <c r="K239" i="26"/>
  <c r="K240" i="26"/>
  <c r="K242" i="26"/>
  <c r="K247" i="26"/>
  <c r="K248" i="26"/>
  <c r="K41" i="26"/>
  <c r="K43" i="26"/>
  <c r="K44" i="26"/>
  <c r="K45" i="26"/>
  <c r="K46" i="26"/>
  <c r="K49" i="26"/>
  <c r="K51" i="26"/>
  <c r="K52" i="26"/>
  <c r="K53" i="26"/>
  <c r="K54" i="26"/>
  <c r="K57" i="26"/>
  <c r="K59" i="26"/>
  <c r="K60" i="26"/>
  <c r="K61" i="26"/>
  <c r="K62" i="26"/>
  <c r="K65" i="26"/>
  <c r="K67" i="26"/>
  <c r="K68" i="26"/>
  <c r="K69" i="26"/>
  <c r="K70" i="26"/>
  <c r="K73" i="26"/>
  <c r="K75" i="26"/>
  <c r="K76" i="26"/>
  <c r="K77" i="26"/>
  <c r="K78" i="26"/>
  <c r="K81" i="26"/>
  <c r="K83" i="26"/>
  <c r="K84" i="26"/>
  <c r="K85" i="26"/>
  <c r="K86" i="26"/>
  <c r="K89" i="26"/>
  <c r="K91" i="26"/>
  <c r="K92" i="26"/>
  <c r="K93" i="26"/>
  <c r="K94" i="26"/>
  <c r="K97" i="26"/>
  <c r="K99" i="26"/>
  <c r="K100" i="26"/>
  <c r="K101" i="26"/>
  <c r="K102" i="26"/>
  <c r="K105" i="26"/>
  <c r="K107" i="26"/>
  <c r="K108" i="26"/>
  <c r="K109" i="26"/>
  <c r="K110" i="26"/>
  <c r="K113" i="26"/>
  <c r="K115" i="26"/>
  <c r="K116" i="26"/>
  <c r="K117" i="26"/>
  <c r="K118" i="26"/>
  <c r="K121" i="26"/>
  <c r="K123" i="26"/>
  <c r="K124" i="26"/>
  <c r="K125" i="26"/>
  <c r="K126" i="26"/>
  <c r="K129" i="26"/>
  <c r="K131" i="26"/>
  <c r="K132" i="26"/>
  <c r="K133" i="26"/>
  <c r="K134" i="26"/>
  <c r="K137" i="26"/>
  <c r="K139" i="26"/>
  <c r="K140" i="26"/>
  <c r="K141" i="26"/>
  <c r="K142" i="26"/>
  <c r="K145" i="26"/>
  <c r="K147" i="26"/>
  <c r="K148" i="26"/>
  <c r="K149" i="26"/>
  <c r="K150" i="26"/>
  <c r="K153" i="26"/>
  <c r="K155" i="26"/>
  <c r="K156" i="26"/>
  <c r="K157" i="26"/>
  <c r="K158" i="26"/>
  <c r="K161" i="26"/>
  <c r="K163" i="26"/>
  <c r="K164" i="26"/>
  <c r="K165" i="26"/>
  <c r="K166" i="26"/>
  <c r="K169" i="26"/>
  <c r="K171" i="26"/>
  <c r="K172" i="26"/>
  <c r="K173" i="26"/>
  <c r="K174" i="26"/>
  <c r="K177" i="26"/>
  <c r="K179" i="26"/>
  <c r="K180" i="26"/>
  <c r="K181" i="26"/>
  <c r="K182" i="26"/>
  <c r="K185" i="26"/>
  <c r="K187" i="26"/>
  <c r="K188" i="26"/>
  <c r="K189" i="26"/>
  <c r="K190" i="26"/>
  <c r="K193" i="26"/>
  <c r="K195" i="26"/>
  <c r="K196" i="26"/>
  <c r="K197" i="26"/>
  <c r="K198" i="26"/>
  <c r="K201" i="26"/>
  <c r="K203" i="26"/>
  <c r="K204" i="26"/>
  <c r="K205" i="26"/>
  <c r="K206" i="26"/>
  <c r="K209" i="26"/>
  <c r="K211" i="26"/>
  <c r="K212" i="26"/>
  <c r="K213" i="26"/>
  <c r="K214" i="26"/>
  <c r="K217" i="26"/>
  <c r="K219" i="26"/>
  <c r="K220" i="26"/>
  <c r="K221" i="26"/>
  <c r="K222" i="26"/>
  <c r="K225" i="26"/>
  <c r="K227" i="26"/>
  <c r="K228" i="26"/>
  <c r="K229" i="26"/>
  <c r="K230" i="26"/>
  <c r="K233" i="26"/>
  <c r="K235" i="26"/>
  <c r="K236" i="26"/>
  <c r="K237" i="26"/>
  <c r="K238" i="26"/>
  <c r="K241" i="26"/>
  <c r="K243" i="26"/>
  <c r="K244" i="26"/>
  <c r="K245" i="26"/>
  <c r="K246" i="26"/>
  <c r="K249" i="26"/>
  <c r="K250" i="26"/>
  <c r="K251" i="26"/>
  <c r="K252" i="26"/>
  <c r="K253" i="26"/>
  <c r="K254" i="26"/>
  <c r="K255" i="26"/>
  <c r="K256" i="26"/>
  <c r="K257" i="26"/>
  <c r="K258" i="26"/>
  <c r="K259" i="26"/>
  <c r="K260" i="26"/>
  <c r="K261" i="26"/>
  <c r="K262" i="26"/>
  <c r="K263" i="26"/>
  <c r="K264" i="26"/>
  <c r="K265" i="26"/>
  <c r="K266" i="26"/>
  <c r="K267" i="26"/>
  <c r="K268" i="26"/>
  <c r="K269" i="26"/>
  <c r="K270" i="26"/>
  <c r="K271" i="26"/>
  <c r="K272" i="26"/>
  <c r="K273" i="26"/>
  <c r="K274" i="26"/>
  <c r="K275" i="26"/>
  <c r="K276" i="26"/>
  <c r="K277" i="26"/>
  <c r="K278" i="26"/>
  <c r="K279" i="26"/>
  <c r="K280" i="26"/>
  <c r="K281" i="26"/>
  <c r="K282" i="26"/>
  <c r="K283" i="26"/>
  <c r="K284" i="26"/>
  <c r="K285" i="26"/>
  <c r="K286" i="26"/>
  <c r="K287" i="26"/>
  <c r="K288" i="26"/>
  <c r="K289" i="26"/>
  <c r="K290" i="26"/>
  <c r="K291" i="26"/>
  <c r="K292" i="26"/>
  <c r="K293" i="26"/>
  <c r="K294" i="26"/>
  <c r="K295" i="26"/>
  <c r="K296" i="26"/>
  <c r="K297" i="26"/>
  <c r="K298" i="26"/>
  <c r="K299" i="26"/>
  <c r="K300" i="26"/>
  <c r="K301" i="26"/>
  <c r="K302" i="26"/>
  <c r="K303" i="26"/>
  <c r="K304" i="26"/>
  <c r="K305" i="26"/>
  <c r="K306" i="26"/>
  <c r="K307" i="26"/>
  <c r="K308" i="26"/>
  <c r="K309" i="26"/>
  <c r="K310" i="26"/>
  <c r="K311" i="26"/>
  <c r="K312" i="26"/>
  <c r="K313" i="26"/>
  <c r="K314" i="26"/>
  <c r="K315" i="26"/>
  <c r="K316" i="26"/>
  <c r="K317" i="26"/>
  <c r="K318" i="26"/>
  <c r="K319" i="26"/>
  <c r="K320" i="26"/>
  <c r="K321" i="26"/>
  <c r="K322" i="26"/>
  <c r="K323" i="26"/>
  <c r="K324" i="26"/>
  <c r="K325" i="26"/>
  <c r="K326" i="26"/>
  <c r="K327" i="26"/>
  <c r="K328" i="26"/>
  <c r="K329" i="26"/>
  <c r="K330" i="26"/>
  <c r="K331" i="26"/>
  <c r="K332" i="26"/>
  <c r="K333" i="26"/>
  <c r="K334" i="26"/>
  <c r="K335" i="26"/>
  <c r="K336" i="26"/>
  <c r="K337" i="26"/>
  <c r="K338" i="26"/>
  <c r="K339" i="26"/>
  <c r="K340" i="26"/>
  <c r="K341" i="26"/>
  <c r="K342" i="26"/>
  <c r="K343" i="26"/>
  <c r="K344" i="26"/>
  <c r="K345" i="26"/>
  <c r="K346" i="26"/>
  <c r="K347" i="26"/>
  <c r="K348" i="26"/>
  <c r="K349" i="26"/>
  <c r="K350" i="26"/>
  <c r="K351" i="26"/>
  <c r="K352" i="26"/>
  <c r="K353" i="26"/>
  <c r="K354" i="26"/>
  <c r="K355" i="26"/>
  <c r="K356" i="26"/>
  <c r="K357" i="26"/>
  <c r="K358" i="26"/>
  <c r="K359" i="26"/>
  <c r="K360" i="26"/>
  <c r="K361" i="26"/>
  <c r="K362" i="26"/>
  <c r="K363" i="26"/>
  <c r="K364" i="26"/>
  <c r="K365" i="26"/>
  <c r="K366" i="26"/>
  <c r="K367" i="26"/>
  <c r="K368" i="26"/>
  <c r="K369" i="26"/>
  <c r="K370" i="26"/>
  <c r="K371" i="26"/>
  <c r="K372" i="26"/>
  <c r="K373" i="26"/>
  <c r="K374" i="26"/>
  <c r="K375" i="26"/>
  <c r="K376" i="26"/>
  <c r="K377" i="26"/>
  <c r="K378" i="26"/>
  <c r="K379" i="26"/>
  <c r="K380" i="26"/>
  <c r="K381" i="26"/>
  <c r="K382" i="26"/>
  <c r="K383" i="26"/>
  <c r="K384" i="26"/>
  <c r="K385" i="26"/>
  <c r="K386" i="26"/>
  <c r="K387" i="26"/>
  <c r="K388" i="26"/>
  <c r="K389" i="26"/>
  <c r="K390" i="26"/>
  <c r="K391" i="26"/>
  <c r="K392" i="26"/>
  <c r="K393" i="26"/>
  <c r="K394" i="26"/>
  <c r="K395" i="26"/>
  <c r="K396" i="26"/>
  <c r="K397" i="26"/>
  <c r="K398" i="26"/>
  <c r="K399" i="26"/>
  <c r="K400" i="26"/>
  <c r="K401" i="26"/>
  <c r="K402" i="26"/>
  <c r="K403" i="26"/>
  <c r="K404" i="26"/>
  <c r="K405" i="26"/>
  <c r="K406" i="26"/>
  <c r="K407" i="26"/>
  <c r="K408" i="26"/>
  <c r="K409" i="26"/>
  <c r="K410" i="26"/>
  <c r="K411" i="26"/>
  <c r="K412" i="26"/>
  <c r="K413" i="26"/>
  <c r="K414" i="26"/>
  <c r="K415" i="26"/>
  <c r="K416" i="26"/>
  <c r="K417" i="26"/>
  <c r="K418" i="26"/>
  <c r="K419" i="26"/>
  <c r="K420" i="26"/>
  <c r="K421" i="26"/>
  <c r="K422" i="26"/>
  <c r="K423" i="26"/>
  <c r="K424" i="26"/>
  <c r="K425" i="26"/>
  <c r="K426" i="26"/>
  <c r="K427" i="26"/>
  <c r="K428" i="26"/>
  <c r="K429" i="26"/>
  <c r="K430" i="26"/>
  <c r="K431" i="26"/>
  <c r="K432" i="26"/>
  <c r="K433" i="26"/>
  <c r="K434" i="26"/>
  <c r="K435" i="26"/>
  <c r="K436" i="26"/>
  <c r="K437" i="26"/>
  <c r="K438" i="26"/>
  <c r="K439" i="26"/>
  <c r="K440" i="26"/>
  <c r="K441" i="26"/>
  <c r="K442" i="26"/>
  <c r="K443" i="26"/>
  <c r="K444" i="26"/>
  <c r="K445" i="26"/>
  <c r="K446" i="26"/>
  <c r="K447" i="26"/>
  <c r="K448" i="26"/>
  <c r="K449" i="26"/>
  <c r="K450" i="26"/>
  <c r="K451" i="26"/>
  <c r="K452" i="26"/>
  <c r="K453" i="26"/>
  <c r="K454" i="26"/>
  <c r="K455" i="26"/>
  <c r="K456" i="26"/>
  <c r="K457" i="26"/>
  <c r="K458" i="26"/>
  <c r="K459" i="26"/>
  <c r="K460" i="26"/>
  <c r="K461" i="26"/>
  <c r="K462" i="26"/>
  <c r="K463" i="26"/>
  <c r="K464" i="26"/>
  <c r="K465" i="26"/>
  <c r="K466" i="26"/>
  <c r="K467" i="26"/>
  <c r="K468" i="26"/>
  <c r="K469" i="26"/>
  <c r="K470" i="26"/>
  <c r="K471" i="26"/>
  <c r="K472" i="26"/>
  <c r="K473" i="26"/>
  <c r="K474" i="26"/>
  <c r="K475" i="26"/>
  <c r="K476" i="26"/>
  <c r="K477" i="26"/>
  <c r="K478" i="26"/>
  <c r="K479" i="26"/>
  <c r="K480" i="26"/>
  <c r="K481" i="26"/>
  <c r="K482" i="26"/>
  <c r="K483" i="26"/>
  <c r="K484" i="26"/>
  <c r="K485" i="26"/>
  <c r="K486" i="26"/>
  <c r="K487" i="26"/>
  <c r="K488" i="26"/>
  <c r="K489" i="26"/>
  <c r="K490" i="26"/>
  <c r="K491" i="26"/>
  <c r="K492" i="26"/>
  <c r="K493" i="26"/>
  <c r="K494" i="26"/>
  <c r="K495" i="26"/>
  <c r="K496" i="26"/>
  <c r="K497" i="26"/>
  <c r="K498" i="26"/>
  <c r="K499" i="26"/>
  <c r="K500" i="26"/>
  <c r="K501" i="26"/>
  <c r="K502" i="26"/>
  <c r="K503" i="26"/>
  <c r="K504" i="26"/>
  <c r="K505" i="26"/>
  <c r="K506" i="26"/>
  <c r="K507" i="26"/>
  <c r="K508" i="26"/>
  <c r="K509" i="26"/>
  <c r="K510" i="26"/>
  <c r="K511" i="26"/>
  <c r="K512" i="26"/>
  <c r="K513" i="26"/>
  <c r="K514" i="26"/>
  <c r="K515" i="26"/>
  <c r="K516" i="26"/>
  <c r="K517" i="26"/>
  <c r="K518" i="26"/>
  <c r="K519" i="26"/>
  <c r="K520" i="26"/>
  <c r="K521" i="26"/>
  <c r="K522" i="26"/>
  <c r="K523" i="26"/>
  <c r="K524" i="26"/>
  <c r="K525" i="26"/>
  <c r="K526" i="26"/>
  <c r="K527" i="26"/>
  <c r="K528" i="26"/>
  <c r="K529" i="26"/>
  <c r="K530" i="26"/>
  <c r="K531" i="26"/>
  <c r="K532" i="26"/>
  <c r="K533" i="26"/>
  <c r="K534" i="26"/>
  <c r="K535" i="26"/>
  <c r="K536" i="26"/>
  <c r="K537" i="26"/>
  <c r="K538" i="26"/>
  <c r="K539" i="26"/>
  <c r="K540" i="26"/>
  <c r="K541" i="26"/>
  <c r="K542" i="26"/>
  <c r="K543" i="26"/>
  <c r="K544" i="26"/>
  <c r="K545" i="26"/>
  <c r="K546" i="26"/>
  <c r="K547" i="26"/>
  <c r="K548" i="26"/>
  <c r="K549" i="26"/>
  <c r="K550" i="26"/>
  <c r="K551" i="26"/>
  <c r="K552" i="26"/>
  <c r="K553" i="26"/>
  <c r="K554" i="26"/>
  <c r="K555" i="26"/>
  <c r="K556" i="26"/>
  <c r="K557" i="26"/>
  <c r="K558" i="26"/>
  <c r="K559" i="26"/>
  <c r="K560" i="26"/>
  <c r="K561" i="26"/>
  <c r="K562" i="26"/>
  <c r="K563" i="26"/>
  <c r="K564" i="26"/>
  <c r="K565" i="26"/>
  <c r="K566" i="26"/>
  <c r="K567" i="26"/>
  <c r="K568" i="26"/>
  <c r="K569" i="26"/>
  <c r="K570" i="26"/>
  <c r="K571" i="26"/>
  <c r="K572" i="26"/>
  <c r="K573" i="26"/>
  <c r="K574" i="26"/>
  <c r="K575" i="26"/>
  <c r="K576" i="26"/>
  <c r="K577" i="26"/>
  <c r="K578" i="26"/>
  <c r="K579" i="26"/>
  <c r="K580" i="26"/>
  <c r="K581" i="26"/>
  <c r="K582" i="26"/>
  <c r="K583" i="26"/>
  <c r="K584" i="26"/>
  <c r="K585" i="26"/>
  <c r="K586" i="26"/>
  <c r="K587" i="26"/>
  <c r="K588" i="26"/>
  <c r="K589" i="26"/>
  <c r="K590" i="26"/>
  <c r="K591" i="26"/>
  <c r="K592" i="26"/>
  <c r="K593" i="26"/>
  <c r="K594" i="26"/>
  <c r="K595" i="26"/>
  <c r="K596" i="26"/>
  <c r="K597" i="26"/>
  <c r="K598" i="26"/>
  <c r="K599" i="26"/>
  <c r="K600" i="26"/>
  <c r="K601" i="26"/>
  <c r="K602" i="26"/>
  <c r="K603" i="26"/>
  <c r="K604" i="26"/>
  <c r="K605" i="26"/>
  <c r="K606" i="26"/>
  <c r="K607" i="26"/>
  <c r="K608" i="26"/>
  <c r="K609" i="26"/>
  <c r="K610" i="26"/>
  <c r="K611" i="26"/>
  <c r="K612" i="26"/>
  <c r="K613" i="26"/>
  <c r="K614" i="26"/>
  <c r="K615" i="26"/>
  <c r="K616" i="26"/>
  <c r="K617" i="26"/>
  <c r="K618" i="26"/>
  <c r="K619" i="26"/>
  <c r="K620" i="26"/>
  <c r="K621" i="26"/>
  <c r="K622" i="26"/>
  <c r="K623" i="26"/>
  <c r="K624" i="26"/>
  <c r="K625" i="26"/>
  <c r="K626" i="26"/>
  <c r="K627" i="26"/>
  <c r="K628" i="26"/>
  <c r="K629" i="26"/>
  <c r="K630" i="26"/>
  <c r="K631" i="26"/>
  <c r="K632" i="26"/>
  <c r="K633" i="26"/>
  <c r="K634" i="26"/>
  <c r="K635" i="26"/>
  <c r="K636" i="26"/>
  <c r="K637" i="26"/>
  <c r="K638" i="26"/>
  <c r="K639" i="26"/>
  <c r="K640" i="26"/>
  <c r="K641" i="26"/>
  <c r="K642" i="26"/>
  <c r="K643" i="26"/>
  <c r="K644" i="26"/>
  <c r="K645" i="26"/>
  <c r="K646" i="26"/>
  <c r="K647" i="26"/>
  <c r="K648" i="26"/>
  <c r="K649" i="26"/>
  <c r="K650" i="26"/>
  <c r="K651" i="26"/>
  <c r="K652" i="26"/>
  <c r="K653" i="26"/>
  <c r="K654" i="26"/>
  <c r="K655" i="26"/>
  <c r="K656" i="26"/>
  <c r="K657" i="26"/>
  <c r="K658" i="26"/>
  <c r="K659" i="26"/>
  <c r="K660" i="26"/>
  <c r="K661" i="26"/>
  <c r="K662" i="26"/>
  <c r="K663" i="26"/>
  <c r="K664" i="26"/>
  <c r="K665" i="26"/>
  <c r="K666" i="26"/>
  <c r="K667" i="26"/>
  <c r="K668" i="26"/>
  <c r="K669" i="26"/>
  <c r="K670" i="26"/>
  <c r="K671" i="26"/>
  <c r="K672" i="26"/>
  <c r="K673" i="26"/>
  <c r="K674" i="26"/>
  <c r="K675" i="26"/>
  <c r="K676" i="26"/>
  <c r="K677" i="26"/>
  <c r="K678" i="26"/>
  <c r="K679" i="26"/>
  <c r="K680" i="26"/>
  <c r="K681" i="26"/>
  <c r="K682" i="26"/>
  <c r="K683" i="26"/>
  <c r="K684" i="26"/>
  <c r="K685" i="26"/>
  <c r="K686" i="26"/>
  <c r="K687" i="26"/>
  <c r="K688" i="26"/>
  <c r="K689" i="26"/>
  <c r="K690" i="26"/>
  <c r="K691" i="26"/>
  <c r="K692" i="26"/>
  <c r="K693" i="26"/>
  <c r="K694" i="26"/>
  <c r="K695" i="26"/>
  <c r="K696" i="26"/>
  <c r="K697" i="26"/>
  <c r="K698" i="26"/>
  <c r="K699" i="26"/>
  <c r="K700" i="26"/>
  <c r="K701" i="26"/>
  <c r="K702" i="26"/>
  <c r="K703" i="26"/>
  <c r="K704" i="26"/>
  <c r="K705" i="26"/>
  <c r="K706" i="26"/>
  <c r="K707" i="26"/>
  <c r="K708" i="26"/>
  <c r="K709" i="26"/>
  <c r="K710" i="26"/>
  <c r="K711" i="26"/>
  <c r="K712" i="26"/>
  <c r="K713" i="26"/>
  <c r="K714" i="26"/>
  <c r="K715" i="26"/>
  <c r="K716" i="26"/>
  <c r="K717" i="26"/>
  <c r="K718" i="26"/>
  <c r="K719" i="26"/>
  <c r="K720" i="26"/>
  <c r="K721" i="26"/>
  <c r="K722" i="26"/>
  <c r="K723" i="26"/>
  <c r="K724" i="26"/>
  <c r="K725" i="26"/>
  <c r="K726" i="26"/>
  <c r="K727" i="26"/>
  <c r="K728" i="26"/>
  <c r="K729" i="26"/>
  <c r="K730" i="26"/>
  <c r="K731" i="26"/>
  <c r="K732" i="26"/>
  <c r="K733" i="26"/>
  <c r="K734" i="26"/>
  <c r="K735" i="26"/>
  <c r="K736" i="26"/>
  <c r="K737" i="26"/>
  <c r="K738" i="26"/>
  <c r="K739" i="26"/>
  <c r="K740" i="26"/>
  <c r="K741" i="26"/>
  <c r="K742" i="26"/>
  <c r="K743" i="26"/>
  <c r="K744" i="26"/>
  <c r="K745" i="26"/>
  <c r="K746" i="26"/>
  <c r="K747" i="26"/>
  <c r="K748" i="26"/>
  <c r="K749" i="26"/>
  <c r="K750" i="26"/>
  <c r="K751" i="26"/>
  <c r="K752" i="26"/>
  <c r="K753" i="26"/>
  <c r="K754" i="26"/>
  <c r="K755" i="26"/>
  <c r="K756" i="26"/>
  <c r="K757" i="26"/>
  <c r="K758" i="26"/>
  <c r="K759" i="26"/>
  <c r="K760" i="26"/>
  <c r="K761" i="26"/>
  <c r="K762" i="26"/>
  <c r="K763" i="26"/>
  <c r="K764" i="26"/>
  <c r="K765" i="26"/>
  <c r="K766" i="26"/>
  <c r="K767" i="26"/>
  <c r="K768" i="26"/>
  <c r="K769" i="26"/>
  <c r="K770" i="26"/>
  <c r="K771" i="26"/>
  <c r="K772" i="26"/>
  <c r="K773" i="26"/>
  <c r="K774" i="26"/>
  <c r="K775" i="26"/>
  <c r="K776" i="26"/>
  <c r="K777" i="26"/>
  <c r="K778" i="26"/>
  <c r="K779" i="26"/>
  <c r="K780" i="26"/>
  <c r="K781" i="26"/>
  <c r="K782" i="26"/>
  <c r="K783" i="26"/>
  <c r="K28" i="26"/>
  <c r="K29" i="26"/>
  <c r="K31" i="26"/>
  <c r="K32" i="26"/>
  <c r="K33" i="26"/>
  <c r="K35" i="26"/>
  <c r="K36" i="26"/>
  <c r="K37" i="26"/>
  <c r="K38" i="26"/>
  <c r="K39" i="26"/>
  <c r="K40" i="26"/>
  <c r="K14" i="26"/>
  <c r="K15" i="26"/>
  <c r="K17" i="26"/>
  <c r="K18" i="26"/>
  <c r="K19" i="26"/>
  <c r="K20" i="26"/>
  <c r="K21" i="26"/>
  <c r="K22" i="26"/>
  <c r="K23" i="26"/>
  <c r="K25" i="26"/>
  <c r="K26" i="26"/>
  <c r="K27" i="26"/>
  <c r="K7" i="26"/>
  <c r="K8" i="26"/>
  <c r="K9" i="26"/>
  <c r="K10" i="26"/>
  <c r="K11" i="26"/>
  <c r="K12" i="26"/>
  <c r="K13" i="26"/>
  <c r="K3" i="26"/>
  <c r="K4" i="26"/>
  <c r="I782" i="26"/>
  <c r="I783" i="26"/>
  <c r="I226" i="26"/>
  <c r="I227" i="26"/>
  <c r="I228" i="26"/>
  <c r="I229" i="26"/>
  <c r="I230" i="26"/>
  <c r="I231" i="26"/>
  <c r="I232" i="26"/>
  <c r="I233" i="26"/>
  <c r="I234" i="26"/>
  <c r="I235" i="26"/>
  <c r="I236" i="26"/>
  <c r="I237" i="26"/>
  <c r="I238" i="26"/>
  <c r="I239" i="26"/>
  <c r="I240" i="26"/>
  <c r="I241" i="26"/>
  <c r="I242" i="26"/>
  <c r="I243" i="26"/>
  <c r="I244" i="26"/>
  <c r="I245" i="26"/>
  <c r="I246" i="26"/>
  <c r="I247" i="26"/>
  <c r="I248" i="26"/>
  <c r="I249" i="26"/>
  <c r="I250" i="26"/>
  <c r="I251" i="26"/>
  <c r="I252" i="26"/>
  <c r="I253" i="26"/>
  <c r="I254" i="26"/>
  <c r="I255" i="26"/>
  <c r="I256" i="26"/>
  <c r="I257" i="26"/>
  <c r="I258" i="26"/>
  <c r="I259" i="26"/>
  <c r="I260" i="26"/>
  <c r="I261" i="26"/>
  <c r="I262" i="26"/>
  <c r="I263" i="26"/>
  <c r="I264" i="26"/>
  <c r="I265" i="26"/>
  <c r="I266" i="26"/>
  <c r="I267" i="26"/>
  <c r="I268" i="26"/>
  <c r="I269" i="26"/>
  <c r="I270" i="26"/>
  <c r="I271" i="26"/>
  <c r="I272" i="26"/>
  <c r="I273" i="26"/>
  <c r="I274" i="26"/>
  <c r="I275" i="26"/>
  <c r="I276" i="26"/>
  <c r="I277" i="26"/>
  <c r="I278" i="26"/>
  <c r="I279" i="26"/>
  <c r="I280" i="26"/>
  <c r="I281" i="26"/>
  <c r="I282" i="26"/>
  <c r="I283" i="26"/>
  <c r="I284" i="26"/>
  <c r="I285" i="26"/>
  <c r="I286" i="26"/>
  <c r="I287" i="26"/>
  <c r="I288" i="26"/>
  <c r="I289" i="26"/>
  <c r="I290" i="26"/>
  <c r="I291" i="26"/>
  <c r="I293" i="26"/>
  <c r="I294" i="26"/>
  <c r="I295" i="26"/>
  <c r="I296" i="26"/>
  <c r="I297" i="26"/>
  <c r="I298" i="26"/>
  <c r="I299" i="26"/>
  <c r="I300" i="26"/>
  <c r="I301" i="26"/>
  <c r="I302" i="26"/>
  <c r="I303" i="26"/>
  <c r="I304" i="26"/>
  <c r="I305" i="26"/>
  <c r="I306" i="26"/>
  <c r="I307" i="26"/>
  <c r="I308" i="26"/>
  <c r="I309" i="26"/>
  <c r="I310" i="26"/>
  <c r="I311" i="26"/>
  <c r="I312" i="26"/>
  <c r="I313" i="26"/>
  <c r="I314" i="26"/>
  <c r="I315" i="26"/>
  <c r="I316" i="26"/>
  <c r="I317" i="26"/>
  <c r="I318" i="26"/>
  <c r="I319" i="26"/>
  <c r="I320" i="26"/>
  <c r="I321" i="26"/>
  <c r="I322" i="26"/>
  <c r="I323" i="26"/>
  <c r="I324" i="26"/>
  <c r="I325" i="26"/>
  <c r="I326" i="26"/>
  <c r="I327" i="26"/>
  <c r="I328" i="26"/>
  <c r="I329" i="26"/>
  <c r="I330" i="26"/>
  <c r="I331" i="26"/>
  <c r="I332" i="26"/>
  <c r="I333" i="26"/>
  <c r="I334" i="26"/>
  <c r="I335" i="26"/>
  <c r="I336" i="26"/>
  <c r="I337" i="26"/>
  <c r="I338" i="26"/>
  <c r="I339" i="26"/>
  <c r="I340" i="26"/>
  <c r="I341" i="26"/>
  <c r="I342" i="26"/>
  <c r="I343" i="26"/>
  <c r="I344" i="26"/>
  <c r="I345" i="26"/>
  <c r="I346" i="26"/>
  <c r="I347" i="26"/>
  <c r="I348" i="26"/>
  <c r="I349" i="26"/>
  <c r="I350" i="26"/>
  <c r="I351" i="26"/>
  <c r="I352" i="26"/>
  <c r="I353" i="26"/>
  <c r="I354" i="26"/>
  <c r="I355" i="26"/>
  <c r="I356" i="26"/>
  <c r="I357" i="26"/>
  <c r="I358" i="26"/>
  <c r="I359" i="26"/>
  <c r="I360" i="26"/>
  <c r="I361" i="26"/>
  <c r="I362" i="26"/>
  <c r="I363" i="26"/>
  <c r="I364" i="26"/>
  <c r="I365" i="26"/>
  <c r="I366" i="26"/>
  <c r="I367" i="26"/>
  <c r="I368" i="26"/>
  <c r="I369" i="26"/>
  <c r="I370" i="26"/>
  <c r="I371" i="26"/>
  <c r="I372" i="26"/>
  <c r="I373" i="26"/>
  <c r="I374" i="26"/>
  <c r="I375" i="26"/>
  <c r="I376" i="26"/>
  <c r="I377" i="26"/>
  <c r="I378" i="26"/>
  <c r="I379" i="26"/>
  <c r="I380" i="26"/>
  <c r="I381" i="26"/>
  <c r="I382" i="26"/>
  <c r="I383" i="26"/>
  <c r="I384" i="26"/>
  <c r="I385" i="26"/>
  <c r="I386" i="26"/>
  <c r="I387" i="26"/>
  <c r="I388" i="26"/>
  <c r="I389" i="26"/>
  <c r="I390" i="26"/>
  <c r="I391" i="26"/>
  <c r="I392" i="26"/>
  <c r="I393" i="26"/>
  <c r="I394" i="26"/>
  <c r="I395" i="26"/>
  <c r="I396" i="26"/>
  <c r="I397" i="26"/>
  <c r="I398" i="26"/>
  <c r="I399" i="26"/>
  <c r="I400" i="26"/>
  <c r="I401" i="26"/>
  <c r="I402" i="26"/>
  <c r="I403" i="26"/>
  <c r="I404" i="26"/>
  <c r="I405" i="26"/>
  <c r="I406" i="26"/>
  <c r="I407" i="26"/>
  <c r="I408" i="26"/>
  <c r="I409" i="26"/>
  <c r="I410" i="26"/>
  <c r="I411" i="26"/>
  <c r="I412" i="26"/>
  <c r="I413" i="26"/>
  <c r="I414" i="26"/>
  <c r="I415" i="26"/>
  <c r="I416" i="26"/>
  <c r="I417" i="26"/>
  <c r="I418" i="26"/>
  <c r="I419" i="26"/>
  <c r="I420" i="26"/>
  <c r="I421" i="26"/>
  <c r="I422" i="26"/>
  <c r="I423" i="26"/>
  <c r="I424" i="26"/>
  <c r="I425" i="26"/>
  <c r="I426" i="26"/>
  <c r="I427" i="26"/>
  <c r="I428" i="26"/>
  <c r="I429" i="26"/>
  <c r="I430" i="26"/>
  <c r="I431" i="26"/>
  <c r="I432" i="26"/>
  <c r="I433" i="26"/>
  <c r="I434" i="26"/>
  <c r="I435" i="26"/>
  <c r="I436" i="26"/>
  <c r="I437" i="26"/>
  <c r="I438" i="26"/>
  <c r="I439" i="26"/>
  <c r="I440" i="26"/>
  <c r="I441" i="26"/>
  <c r="I442" i="26"/>
  <c r="I443" i="26"/>
  <c r="I444" i="26"/>
  <c r="I445" i="26"/>
  <c r="I446" i="26"/>
  <c r="I447" i="26"/>
  <c r="I448" i="26"/>
  <c r="I449" i="26"/>
  <c r="I450" i="26"/>
  <c r="I451" i="26"/>
  <c r="I452" i="26"/>
  <c r="I453" i="26"/>
  <c r="I454" i="26"/>
  <c r="I455" i="26"/>
  <c r="I456" i="26"/>
  <c r="I457" i="26"/>
  <c r="I458" i="26"/>
  <c r="I459" i="26"/>
  <c r="I460" i="26"/>
  <c r="I461" i="26"/>
  <c r="I462" i="26"/>
  <c r="I463" i="26"/>
  <c r="I464" i="26"/>
  <c r="I465" i="26"/>
  <c r="I466" i="26"/>
  <c r="I467" i="26"/>
  <c r="I468" i="26"/>
  <c r="I469" i="26"/>
  <c r="I470" i="26"/>
  <c r="I471" i="26"/>
  <c r="I472" i="26"/>
  <c r="I473" i="26"/>
  <c r="I474" i="26"/>
  <c r="I475" i="26"/>
  <c r="I476" i="26"/>
  <c r="I477" i="26"/>
  <c r="I478" i="26"/>
  <c r="I479" i="26"/>
  <c r="I480" i="26"/>
  <c r="I481" i="26"/>
  <c r="I482" i="26"/>
  <c r="I483" i="26"/>
  <c r="I484" i="26"/>
  <c r="I485" i="26"/>
  <c r="I486" i="26"/>
  <c r="I487" i="26"/>
  <c r="I488" i="26"/>
  <c r="I489" i="26"/>
  <c r="I490" i="26"/>
  <c r="I491" i="26"/>
  <c r="I492" i="26"/>
  <c r="I493" i="26"/>
  <c r="I494" i="26"/>
  <c r="I495" i="26"/>
  <c r="I496" i="26"/>
  <c r="I497" i="26"/>
  <c r="I498" i="26"/>
  <c r="I499" i="26"/>
  <c r="I500" i="26"/>
  <c r="I501" i="26"/>
  <c r="I502" i="26"/>
  <c r="I503" i="26"/>
  <c r="I504" i="26"/>
  <c r="I505" i="26"/>
  <c r="I506" i="26"/>
  <c r="I507" i="26"/>
  <c r="I508" i="26"/>
  <c r="I509" i="26"/>
  <c r="I510" i="26"/>
  <c r="I511" i="26"/>
  <c r="I512" i="26"/>
  <c r="I513" i="26"/>
  <c r="I514" i="26"/>
  <c r="I515" i="26"/>
  <c r="I516" i="26"/>
  <c r="I517" i="26"/>
  <c r="I518" i="26"/>
  <c r="I519" i="26"/>
  <c r="I520" i="26"/>
  <c r="I521" i="26"/>
  <c r="I522" i="26"/>
  <c r="I523" i="26"/>
  <c r="I524" i="26"/>
  <c r="I525" i="26"/>
  <c r="I526" i="26"/>
  <c r="I527" i="26"/>
  <c r="I528" i="26"/>
  <c r="I529" i="26"/>
  <c r="I530" i="26"/>
  <c r="I531" i="26"/>
  <c r="I532" i="26"/>
  <c r="I533" i="26"/>
  <c r="I534" i="26"/>
  <c r="I535" i="26"/>
  <c r="I536" i="26"/>
  <c r="I537" i="26"/>
  <c r="I538" i="26"/>
  <c r="I539" i="26"/>
  <c r="I540" i="26"/>
  <c r="I541" i="26"/>
  <c r="I542" i="26"/>
  <c r="I543" i="26"/>
  <c r="I544" i="26"/>
  <c r="I545" i="26"/>
  <c r="I546" i="26"/>
  <c r="I547" i="26"/>
  <c r="I548" i="26"/>
  <c r="I549" i="26"/>
  <c r="I550" i="26"/>
  <c r="I551" i="26"/>
  <c r="I552" i="26"/>
  <c r="I553" i="26"/>
  <c r="I554" i="26"/>
  <c r="I555" i="26"/>
  <c r="I556" i="26"/>
  <c r="I557" i="26"/>
  <c r="I558" i="26"/>
  <c r="I559" i="26"/>
  <c r="I560" i="26"/>
  <c r="I561" i="26"/>
  <c r="I562" i="26"/>
  <c r="I563" i="26"/>
  <c r="I564" i="26"/>
  <c r="I565" i="26"/>
  <c r="I566" i="26"/>
  <c r="I567" i="26"/>
  <c r="I568" i="26"/>
  <c r="I569" i="26"/>
  <c r="I570" i="26"/>
  <c r="I571" i="26"/>
  <c r="I572" i="26"/>
  <c r="I573" i="26"/>
  <c r="I574" i="26"/>
  <c r="I575" i="26"/>
  <c r="I576" i="26"/>
  <c r="I577" i="26"/>
  <c r="I578" i="26"/>
  <c r="I579" i="26"/>
  <c r="I580" i="26"/>
  <c r="I581" i="26"/>
  <c r="I582" i="26"/>
  <c r="I583" i="26"/>
  <c r="I584" i="26"/>
  <c r="I585" i="26"/>
  <c r="I586" i="26"/>
  <c r="I587" i="26"/>
  <c r="I588" i="26"/>
  <c r="I589" i="26"/>
  <c r="I590" i="26"/>
  <c r="I591" i="26"/>
  <c r="I592" i="26"/>
  <c r="I593" i="26"/>
  <c r="I594" i="26"/>
  <c r="I595" i="26"/>
  <c r="I596" i="26"/>
  <c r="I597" i="26"/>
  <c r="I598" i="26"/>
  <c r="I599" i="26"/>
  <c r="I600" i="26"/>
  <c r="I601" i="26"/>
  <c r="I602" i="26"/>
  <c r="I603" i="26"/>
  <c r="I604" i="26"/>
  <c r="I605" i="26"/>
  <c r="I606" i="26"/>
  <c r="I607" i="26"/>
  <c r="I608" i="26"/>
  <c r="I609" i="26"/>
  <c r="I610" i="26"/>
  <c r="I611" i="26"/>
  <c r="I612" i="26"/>
  <c r="I613" i="26"/>
  <c r="I614" i="26"/>
  <c r="I615" i="26"/>
  <c r="I616" i="26"/>
  <c r="I617" i="26"/>
  <c r="I618" i="26"/>
  <c r="I619" i="26"/>
  <c r="I620" i="26"/>
  <c r="I621" i="26"/>
  <c r="I622" i="26"/>
  <c r="I623" i="26"/>
  <c r="I624" i="26"/>
  <c r="I625" i="26"/>
  <c r="I626" i="26"/>
  <c r="I627" i="26"/>
  <c r="I628" i="26"/>
  <c r="I629" i="26"/>
  <c r="I630" i="26"/>
  <c r="I631" i="26"/>
  <c r="I632" i="26"/>
  <c r="I633" i="26"/>
  <c r="I634" i="26"/>
  <c r="I635" i="26"/>
  <c r="I636" i="26"/>
  <c r="I637" i="26"/>
  <c r="I638" i="26"/>
  <c r="I639" i="26"/>
  <c r="I640" i="26"/>
  <c r="I641" i="26"/>
  <c r="I642" i="26"/>
  <c r="I643" i="26"/>
  <c r="I644" i="26"/>
  <c r="I645" i="26"/>
  <c r="I646" i="26"/>
  <c r="I647" i="26"/>
  <c r="I648" i="26"/>
  <c r="I649" i="26"/>
  <c r="I650" i="26"/>
  <c r="I651" i="26"/>
  <c r="I652" i="26"/>
  <c r="I653" i="26"/>
  <c r="I654" i="26"/>
  <c r="I655" i="26"/>
  <c r="I656" i="26"/>
  <c r="I657" i="26"/>
  <c r="I658" i="26"/>
  <c r="I659" i="26"/>
  <c r="I660" i="26"/>
  <c r="I661" i="26"/>
  <c r="I662" i="26"/>
  <c r="I663" i="26"/>
  <c r="I664" i="26"/>
  <c r="I665" i="26"/>
  <c r="I666" i="26"/>
  <c r="I667" i="26"/>
  <c r="I668" i="26"/>
  <c r="I669" i="26"/>
  <c r="I670" i="26"/>
  <c r="I671" i="26"/>
  <c r="I672" i="26"/>
  <c r="I673" i="26"/>
  <c r="I674" i="26"/>
  <c r="I675" i="26"/>
  <c r="I676" i="26"/>
  <c r="I677" i="26"/>
  <c r="I678" i="26"/>
  <c r="I679" i="26"/>
  <c r="I680" i="26"/>
  <c r="I681" i="26"/>
  <c r="I682" i="26"/>
  <c r="I683" i="26"/>
  <c r="I684" i="26"/>
  <c r="I685" i="26"/>
  <c r="I686" i="26"/>
  <c r="I687" i="26"/>
  <c r="I688" i="26"/>
  <c r="I689" i="26"/>
  <c r="I690" i="26"/>
  <c r="I691" i="26"/>
  <c r="I692" i="26"/>
  <c r="I693" i="26"/>
  <c r="I694" i="26"/>
  <c r="I695" i="26"/>
  <c r="I696" i="26"/>
  <c r="I697" i="26"/>
  <c r="I698" i="26"/>
  <c r="I699" i="26"/>
  <c r="I700" i="26"/>
  <c r="I701" i="26"/>
  <c r="I702" i="26"/>
  <c r="I703" i="26"/>
  <c r="I704" i="26"/>
  <c r="I705" i="26"/>
  <c r="I706" i="26"/>
  <c r="I707" i="26"/>
  <c r="I708" i="26"/>
  <c r="I709" i="26"/>
  <c r="I710" i="26"/>
  <c r="I711" i="26"/>
  <c r="I712" i="26"/>
  <c r="I713" i="26"/>
  <c r="I714" i="26"/>
  <c r="I715" i="26"/>
  <c r="I716" i="26"/>
  <c r="I717" i="26"/>
  <c r="I718" i="26"/>
  <c r="I719" i="26"/>
  <c r="I720" i="26"/>
  <c r="I721" i="26"/>
  <c r="I722" i="26"/>
  <c r="I723" i="26"/>
  <c r="I724" i="26"/>
  <c r="I725" i="26"/>
  <c r="I726" i="26"/>
  <c r="I727" i="26"/>
  <c r="I728" i="26"/>
  <c r="I729" i="26"/>
  <c r="I730" i="26"/>
  <c r="I731" i="26"/>
  <c r="I732" i="26"/>
  <c r="I733" i="26"/>
  <c r="I734" i="26"/>
  <c r="I735" i="26"/>
  <c r="I736" i="26"/>
  <c r="I737" i="26"/>
  <c r="I738" i="26"/>
  <c r="I739" i="26"/>
  <c r="I740" i="26"/>
  <c r="I741" i="26"/>
  <c r="I742" i="26"/>
  <c r="I743" i="26"/>
  <c r="I744" i="26"/>
  <c r="I745" i="26"/>
  <c r="I746" i="26"/>
  <c r="I747" i="26"/>
  <c r="I748" i="26"/>
  <c r="I749" i="26"/>
  <c r="I750" i="26"/>
  <c r="I751" i="26"/>
  <c r="I752" i="26"/>
  <c r="I753" i="26"/>
  <c r="I754" i="26"/>
  <c r="I755" i="26"/>
  <c r="I756" i="26"/>
  <c r="I757" i="26"/>
  <c r="I758" i="26"/>
  <c r="I759" i="26"/>
  <c r="I760" i="26"/>
  <c r="I761" i="26"/>
  <c r="I762" i="26"/>
  <c r="I763" i="26"/>
  <c r="I764" i="26"/>
  <c r="I765" i="26"/>
  <c r="I766" i="26"/>
  <c r="I767" i="26"/>
  <c r="I768" i="26"/>
  <c r="I769" i="26"/>
  <c r="I770" i="26"/>
  <c r="I771" i="26"/>
  <c r="I772" i="26"/>
  <c r="I773" i="26"/>
  <c r="I774" i="26"/>
  <c r="I775" i="26"/>
  <c r="I776" i="26"/>
  <c r="I777" i="26"/>
  <c r="I778" i="26"/>
  <c r="I779" i="26"/>
  <c r="I780" i="26"/>
  <c r="I781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I174" i="26"/>
  <c r="I175" i="26"/>
  <c r="I176" i="26"/>
  <c r="I177" i="26"/>
  <c r="I178" i="26"/>
  <c r="I179" i="26"/>
  <c r="I180" i="26"/>
  <c r="I181" i="26"/>
  <c r="I182" i="26"/>
  <c r="I183" i="26"/>
  <c r="I184" i="26"/>
  <c r="I185" i="26"/>
  <c r="I186" i="26"/>
  <c r="I187" i="26"/>
  <c r="I188" i="26"/>
  <c r="I189" i="26"/>
  <c r="I190" i="26"/>
  <c r="I191" i="26"/>
  <c r="I192" i="26"/>
  <c r="I193" i="26"/>
  <c r="I194" i="26"/>
  <c r="I195" i="26"/>
  <c r="I196" i="26"/>
  <c r="I197" i="26"/>
  <c r="I198" i="26"/>
  <c r="I199" i="26"/>
  <c r="I200" i="26"/>
  <c r="I201" i="26"/>
  <c r="I202" i="26"/>
  <c r="I203" i="26"/>
  <c r="I204" i="26"/>
  <c r="I205" i="26"/>
  <c r="I206" i="26"/>
  <c r="I207" i="26"/>
  <c r="I208" i="26"/>
  <c r="I209" i="26"/>
  <c r="I210" i="26"/>
  <c r="I211" i="26"/>
  <c r="I212" i="26"/>
  <c r="I213" i="26"/>
  <c r="I214" i="26"/>
  <c r="I215" i="26"/>
  <c r="I216" i="26"/>
  <c r="I217" i="26"/>
  <c r="I218" i="26"/>
  <c r="I219" i="26"/>
  <c r="I220" i="26"/>
  <c r="I221" i="26"/>
  <c r="I222" i="26"/>
  <c r="I223" i="26"/>
  <c r="I224" i="26"/>
  <c r="I225" i="26"/>
  <c r="I9" i="26"/>
  <c r="I10" i="26"/>
  <c r="I11" i="26"/>
  <c r="I12" i="26"/>
  <c r="I13" i="26"/>
  <c r="I14" i="26"/>
  <c r="I15" i="26"/>
  <c r="I3" i="26"/>
  <c r="I4" i="26"/>
  <c r="I5" i="26"/>
  <c r="I6" i="26"/>
  <c r="I7" i="26"/>
  <c r="I8" i="26"/>
  <c r="I2" i="26"/>
  <c r="K11" i="13"/>
  <c r="J10" i="13"/>
  <c r="I9" i="13"/>
  <c r="H8" i="13"/>
  <c r="G7" i="13"/>
  <c r="F6" i="13"/>
  <c r="E5" i="13"/>
  <c r="D4" i="13"/>
  <c r="C3" i="13"/>
  <c r="B2" i="13"/>
  <c r="K2" i="26"/>
</calcChain>
</file>

<file path=xl/sharedStrings.xml><?xml version="1.0" encoding="utf-8"?>
<sst xmlns="http://schemas.openxmlformats.org/spreadsheetml/2006/main" count="14750" uniqueCount="2076">
  <si>
    <t>title</t>
  </si>
  <si>
    <t>magnitude</t>
  </si>
  <si>
    <t>date_time</t>
  </si>
  <si>
    <t>cdi</t>
  </si>
  <si>
    <t>mmi</t>
  </si>
  <si>
    <t>alert</t>
  </si>
  <si>
    <t>tsunami</t>
  </si>
  <si>
    <t>sig</t>
  </si>
  <si>
    <t>net</t>
  </si>
  <si>
    <t>nst</t>
  </si>
  <si>
    <t>dmin</t>
  </si>
  <si>
    <t>gap</t>
  </si>
  <si>
    <t>magType</t>
  </si>
  <si>
    <t>depth</t>
  </si>
  <si>
    <t>latitude</t>
  </si>
  <si>
    <t>longitude</t>
  </si>
  <si>
    <t>location</t>
  </si>
  <si>
    <t>continent</t>
  </si>
  <si>
    <t>country</t>
  </si>
  <si>
    <t>M 7.0 - 18 km SW of Malango, Solomon Islands</t>
  </si>
  <si>
    <t>22-11-2022 02:03</t>
  </si>
  <si>
    <t>green</t>
  </si>
  <si>
    <t>us</t>
  </si>
  <si>
    <t>mww</t>
  </si>
  <si>
    <t>Malango, Solomon Islands</t>
  </si>
  <si>
    <t>Oceania</t>
  </si>
  <si>
    <t>Solomon Islands</t>
  </si>
  <si>
    <t>M 6.9 - 204 km SW of Bengkulu, Indonesia</t>
  </si>
  <si>
    <t>18-11-2022 13:37</t>
  </si>
  <si>
    <t>Bengkulu, Indonesia</t>
  </si>
  <si>
    <t xml:space="preserve">M 7.0 - </t>
  </si>
  <si>
    <t>Fiji</t>
  </si>
  <si>
    <t>M 7.3 - 205 km ESE of Neiafu, Tonga</t>
  </si>
  <si>
    <t>Neiafu, Tonga</t>
  </si>
  <si>
    <t xml:space="preserve">M 6.6 - </t>
  </si>
  <si>
    <t>M 7.0 - south of the Fiji Islands</t>
  </si>
  <si>
    <t>mwb</t>
  </si>
  <si>
    <t>the Fiji Islands</t>
  </si>
  <si>
    <t>M 6.8 - south of the Fiji Islands</t>
  </si>
  <si>
    <t>M 6.7 - 60 km SSW of Boca Chica, Panama</t>
  </si>
  <si>
    <t>20-10-2022 11:57</t>
  </si>
  <si>
    <t>Boca Chica, Panama</t>
  </si>
  <si>
    <t>Panama</t>
  </si>
  <si>
    <t>M 6.8 - 55 km SSW of Aguililla, Mexico</t>
  </si>
  <si>
    <t>22-09-2022 06:16</t>
  </si>
  <si>
    <t>yellow</t>
  </si>
  <si>
    <t>Aguililla, Mexico</t>
  </si>
  <si>
    <t>North America</t>
  </si>
  <si>
    <t>Mexico</t>
  </si>
  <si>
    <t>M 7.6 - 35 km SSW of Aguililla, Mexico</t>
  </si>
  <si>
    <t>19-09-2022 18:05</t>
  </si>
  <si>
    <t>M 6.9 - 90 km E of Yujing, Taiwan</t>
  </si>
  <si>
    <t>18-09-2022 06:44</t>
  </si>
  <si>
    <t>Yujing, Taiwan</t>
  </si>
  <si>
    <t>Asia</t>
  </si>
  <si>
    <t>Taiwan</t>
  </si>
  <si>
    <t>M 6.5 - 96 km SE of Lugu, Taiwan</t>
  </si>
  <si>
    <t>17-09-2022 13:41</t>
  </si>
  <si>
    <t>Lugu, Taiwan</t>
  </si>
  <si>
    <t>M 7.0 - 209 km SSE of Isangel, Vanuatu</t>
  </si>
  <si>
    <t>14-09-2022 11:04</t>
  </si>
  <si>
    <t>Isangel, Vanuatu</t>
  </si>
  <si>
    <t>M 7.6 - 70 km E of Kainantu, Papua New Guinea</t>
  </si>
  <si>
    <t>Kainantu, Papua New Guinea</t>
  </si>
  <si>
    <t>Papua New Guinea</t>
  </si>
  <si>
    <t>M 6.6 - 44 km SE of Kangding, China</t>
  </si>
  <si>
    <t>orange</t>
  </si>
  <si>
    <t>Kangding, China</t>
  </si>
  <si>
    <t>People's Republic of China</t>
  </si>
  <si>
    <t>M 6.6 - south of the Kermadec Islands</t>
  </si>
  <si>
    <t>14-08-2022 13:44</t>
  </si>
  <si>
    <t>the Kermadec Islands</t>
  </si>
  <si>
    <t>M 7.0 - 11 km NE of Bantay, Philippines</t>
  </si>
  <si>
    <t>27-07-2022 00:43</t>
  </si>
  <si>
    <t>Bantay, Philippines</t>
  </si>
  <si>
    <t>Philippines</t>
  </si>
  <si>
    <t>M 6.5 - 107 km SSW of Tarauac√°, Brazil</t>
  </si>
  <si>
    <t>Tarauac√°, Brazil</t>
  </si>
  <si>
    <t>South America</t>
  </si>
  <si>
    <t>Brazil</t>
  </si>
  <si>
    <t>M 7.2 - 10 km W of Az√°ngaro, Peru</t>
  </si>
  <si>
    <t>26-05-2022 12:02</t>
  </si>
  <si>
    <t>Az√°ngaro, Peru</t>
  </si>
  <si>
    <t>Peru</t>
  </si>
  <si>
    <t xml:space="preserve">M 6.9 - </t>
  </si>
  <si>
    <t>19-05-2022 10:13</t>
  </si>
  <si>
    <t>M 6.8 - 86 km NNW of San Antonio de los Cobres, Argentina</t>
  </si>
  <si>
    <t>San Antonio de los Cobres, Argentina</t>
  </si>
  <si>
    <t>Argentina</t>
  </si>
  <si>
    <t>M 6.6 - 55 km WSW of Masachapa, Nicaragua</t>
  </si>
  <si>
    <t>21-04-2022 07:42</t>
  </si>
  <si>
    <t>Masachapa, Nicaragua</t>
  </si>
  <si>
    <t>M 7.0 - southeast of the Loyalty Islands</t>
  </si>
  <si>
    <t>31-03-2022 05:44</t>
  </si>
  <si>
    <t>the Loyalty Islands</t>
  </si>
  <si>
    <t>M 6.9 - 284 km ESE of Tadine, New Caledonia</t>
  </si>
  <si>
    <t>30-03-2022 20:56</t>
  </si>
  <si>
    <t>Tadine, New Caledonia</t>
  </si>
  <si>
    <t>M 6.7 - 65 km S of Hualien City, Taiwan</t>
  </si>
  <si>
    <t>22-03-2022 17:41</t>
  </si>
  <si>
    <t>Hualien City, Taiwan</t>
  </si>
  <si>
    <t>M 7.3 - 57 km ENE of Namie, Japan</t>
  </si>
  <si>
    <t>16-03-2022 14:36</t>
  </si>
  <si>
    <t>red</t>
  </si>
  <si>
    <t>Namie, Japan</t>
  </si>
  <si>
    <t>M 6.7 - 166 km W of Pariaman, Indonesia</t>
  </si>
  <si>
    <t>13-03-2022 21:09</t>
  </si>
  <si>
    <t>Pariaman, Indonesia</t>
  </si>
  <si>
    <t>Indonesia</t>
  </si>
  <si>
    <t>M 6.6 - Kermadec Islands, New Zealand</t>
  </si>
  <si>
    <t>Kermadec Islands, New Zealand</t>
  </si>
  <si>
    <t>16-02-2022 20:21</t>
  </si>
  <si>
    <t>M 6.5 - 49 km NW of Barranca, Peru</t>
  </si>
  <si>
    <t>Barranca, Peru</t>
  </si>
  <si>
    <t>M 6.5 - Kermadec Islands region</t>
  </si>
  <si>
    <t>29-01-2022 02:46</t>
  </si>
  <si>
    <t>Kermadec Islands region</t>
  </si>
  <si>
    <t>M 6.6 - 80 km SW of Labuan, Indonesia</t>
  </si>
  <si>
    <t>14-01-2022 09:05</t>
  </si>
  <si>
    <t>Labuan, Indonesia</t>
  </si>
  <si>
    <t>M 6.5 - 71 km SE of Nikolski, Alaska</t>
  </si>
  <si>
    <t>at</t>
  </si>
  <si>
    <t>Mi</t>
  </si>
  <si>
    <t>Nikolski, Alaska</t>
  </si>
  <si>
    <t>pt</t>
  </si>
  <si>
    <t>M 6.6 - 53 km SE of Nikolski, Alaska</t>
  </si>
  <si>
    <t>M 6.7 - 91 km SE of Nikolski, Alaska</t>
  </si>
  <si>
    <t>M 6.8 - 100 km SE of Nikolski, Alaska</t>
  </si>
  <si>
    <t>M 6.6 - 48 km WNW of P√≥lis, Cyprus</t>
  </si>
  <si>
    <t>P√≥lis, Cyprus</t>
  </si>
  <si>
    <t>M 6.6 - northern Qinghai, China</t>
  </si>
  <si>
    <t>northern Qinghai, China</t>
  </si>
  <si>
    <t>M 7.3 - 125 km NNE of Lospalos, Timor Leste</t>
  </si>
  <si>
    <t>29-12-2021 18:25</t>
  </si>
  <si>
    <t>Lospalos, Timor Leste</t>
  </si>
  <si>
    <t>M 7.3 - Flores Sea</t>
  </si>
  <si>
    <t>14-12-2021 03:20</t>
  </si>
  <si>
    <t>Flores Sea</t>
  </si>
  <si>
    <t>M 7.5 - 43 km NNW of Barranca, Peru</t>
  </si>
  <si>
    <t>28-11-2021 10:52</t>
  </si>
  <si>
    <t>M 6.6 - 177 km SE of Hirara, Japan</t>
  </si>
  <si>
    <t>Hirara, Japan</t>
  </si>
  <si>
    <t>M 6.9 - 112 km E of Chignik, Alaska</t>
  </si>
  <si>
    <t>ak</t>
  </si>
  <si>
    <t>Chignik, Alaska</t>
  </si>
  <si>
    <t>United States of America</t>
  </si>
  <si>
    <t>M 6.9 - Vanuatu region</t>
  </si>
  <si>
    <t>Vanuatu region</t>
  </si>
  <si>
    <t>M 7.3 - Vanuatu region</t>
  </si>
  <si>
    <t>M 6.5 - 80 km SW of Jiquilillo, Nicaragua</t>
  </si>
  <si>
    <t>22-09-2021 09:57</t>
  </si>
  <si>
    <t>Jiquilillo, Nicaragua</t>
  </si>
  <si>
    <t>M 7.0 - Acapulco, Mexico</t>
  </si>
  <si>
    <t>Acapulco, Mexico</t>
  </si>
  <si>
    <t>M 7.1 - South Sandwich Islands region</t>
  </si>
  <si>
    <t>22-08-2021 21:33</t>
  </si>
  <si>
    <t>South Sandwich Islands region</t>
  </si>
  <si>
    <t>Antarctica</t>
  </si>
  <si>
    <t>M 6.6 - South Sandwich Islands region</t>
  </si>
  <si>
    <t>22-08-2021 00:45</t>
  </si>
  <si>
    <t>M 6.9 - 17 km N of Port-Olry, Vanuatu</t>
  </si>
  <si>
    <t>18-08-2021 10:10</t>
  </si>
  <si>
    <t>Port-Olry, Vanuatu</t>
  </si>
  <si>
    <t>Vanuatu</t>
  </si>
  <si>
    <t>M 6.9 - South Sandwich Islands region</t>
  </si>
  <si>
    <t>16-08-2021 11:10</t>
  </si>
  <si>
    <t>M 7.2 - Nippes, Haiti</t>
  </si>
  <si>
    <t>14-08-2021 12:29</t>
  </si>
  <si>
    <t>Nippes, Haiti</t>
  </si>
  <si>
    <t>Haiti</t>
  </si>
  <si>
    <t>M 6.9 - 136 km SE of Perryville, Alaska</t>
  </si>
  <si>
    <t>14-08-2021 11:57</t>
  </si>
  <si>
    <t>Perryville, Alaska</t>
  </si>
  <si>
    <t>M 6.9 - 125 km SE of Perryville, Alaska</t>
  </si>
  <si>
    <t>M 8.1 - South Sandwich Islands region</t>
  </si>
  <si>
    <t>M 7.5 - South Sandwich Islands region</t>
  </si>
  <si>
    <t>M 7.1 - 60 km ENE of Pondaguitan, Philippines</t>
  </si>
  <si>
    <t>Pondaguitan, Philippines</t>
  </si>
  <si>
    <t>M 8.2 - 91 km ESE of Perryville, Alaska</t>
  </si>
  <si>
    <t>29-07-2021 06:15</t>
  </si>
  <si>
    <t>M 8.2 - 99 km SE of Perryville, Alaska</t>
  </si>
  <si>
    <t>M 6.7 - 15 km S of Hukay, Philippines</t>
  </si>
  <si>
    <t>23-07-2021 20:48</t>
  </si>
  <si>
    <t>Hukay, Philippines</t>
  </si>
  <si>
    <t>M 6.7 - 71 km S of Burica, Panama</t>
  </si>
  <si>
    <t>21-07-2021 21:15</t>
  </si>
  <si>
    <t>Burica, Panama</t>
  </si>
  <si>
    <t>M 6.5 - Kermadec Islands, New Zealand</t>
  </si>
  <si>
    <t>20-06-2021 17:05</t>
  </si>
  <si>
    <t>M 6.5 - 265 km SSE of Alo, Wallis and Futuna</t>
  </si>
  <si>
    <t>21-05-2021 22:13</t>
  </si>
  <si>
    <t>Alo, Wallis and Futuna</t>
  </si>
  <si>
    <t>M 7.3 - Southern Qinghai, China</t>
  </si>
  <si>
    <t>21-05-2021 18:04</t>
  </si>
  <si>
    <t>Southern Qinghai, China</t>
  </si>
  <si>
    <t>M 6.7 - 260 km S of Sinabang, Indonesia</t>
  </si>
  <si>
    <t>14-05-2021 06:33</t>
  </si>
  <si>
    <t>Sinabang, Indonesia</t>
  </si>
  <si>
    <t>M 6.7 - Mauritius - Reunion region</t>
  </si>
  <si>
    <t>Mauritius - Reunion region</t>
  </si>
  <si>
    <t>Japan</t>
  </si>
  <si>
    <t>M 6.5 - 207 km WSW of Haveluloto, Tonga</t>
  </si>
  <si>
    <t>25-04-2021 22:28</t>
  </si>
  <si>
    <t>Haveluloto, Tonga</t>
  </si>
  <si>
    <t>M 6.5 - 225 km WNW of Pangai, Tonga</t>
  </si>
  <si>
    <t>24-04-2021 00:23</t>
  </si>
  <si>
    <t>Pangai, Tonga</t>
  </si>
  <si>
    <t>M 7.0 - 30 km E of Ishinomaki, Japan</t>
  </si>
  <si>
    <t>20-03-2021 09:09</t>
  </si>
  <si>
    <t>Ishinomaki, Japan</t>
  </si>
  <si>
    <t>M 6.6 - 171 km SSE of Ust‚Äô-Kamchatsk Staryy, Russia</t>
  </si>
  <si>
    <t>16-03-2021 18:38</t>
  </si>
  <si>
    <t>Ust‚Äô-Kamchatsk Staryy, Russia</t>
  </si>
  <si>
    <t>M 8.1 - Kermadec Islands, New Zealand</t>
  </si>
  <si>
    <t>M 7.4 - Kermadec Islands, New Zealand</t>
  </si>
  <si>
    <t>M 7.3 - 182 km NE of Gisborne, New Zealand</t>
  </si>
  <si>
    <t>Gisborne, New Zealand</t>
  </si>
  <si>
    <t>M 7.1 - 73 km ENE of Namie, Japan</t>
  </si>
  <si>
    <t>13-02-2021 14:07</t>
  </si>
  <si>
    <t>M 7.7 - southeast of the Loyalty Islands</t>
  </si>
  <si>
    <t>M 6.9 - South Shetland Islands</t>
  </si>
  <si>
    <t>23-01-2021 23:36</t>
  </si>
  <si>
    <t>South Shetland Islands</t>
  </si>
  <si>
    <t>M 7.0 - 211 km SE of Pondaguitan, Philippines</t>
  </si>
  <si>
    <t>21-01-2021 12:23</t>
  </si>
  <si>
    <t>M 6.7 - 29 km SSW of Turt, Mongolia</t>
  </si>
  <si>
    <t>Turt, Mongolia</t>
  </si>
  <si>
    <t>Mongolia</t>
  </si>
  <si>
    <t>M 6.7 - 146 km WNW of Corral, Chile</t>
  </si>
  <si>
    <t>27-12-2020 21:39</t>
  </si>
  <si>
    <t>Corral, Chile</t>
  </si>
  <si>
    <t>M 7.0 - 13 km NNE of N√©on Karlov√°sion, Greece</t>
  </si>
  <si>
    <t>30-10-2020 11:51</t>
  </si>
  <si>
    <t>N√©on Karlov√°sion, Greece</t>
  </si>
  <si>
    <t>Europe</t>
  </si>
  <si>
    <t>Greece</t>
  </si>
  <si>
    <t>M 7.6 - 99 km SE of Sand Point, Alaska</t>
  </si>
  <si>
    <t>19-10-2020 20:54</t>
  </si>
  <si>
    <t>Sand Point, Alaska</t>
  </si>
  <si>
    <t>M 6.9 - central Mid-Atlantic Ridge</t>
  </si>
  <si>
    <t>18-09-2020 21:43</t>
  </si>
  <si>
    <t>central Mid-Atlantic Ridge</t>
  </si>
  <si>
    <t>M 6.5 - 94 km NW of Vallenar, Chile</t>
  </si>
  <si>
    <t>Vallenar, Chile</t>
  </si>
  <si>
    <t>M 6.8 - 86 km NW of Vallenar, Chile</t>
  </si>
  <si>
    <t>Chile</t>
  </si>
  <si>
    <t>M 6.5 - central Mid-Atlantic Ridge</t>
  </si>
  <si>
    <t>30-08-2020 21:20</t>
  </si>
  <si>
    <t>M 6.9 - 222 km SSE of Katabu, Indonesia</t>
  </si>
  <si>
    <t>21-08-2020 04:09</t>
  </si>
  <si>
    <t>Katabu, Indonesia</t>
  </si>
  <si>
    <t>M 6.9 - 122 km WSW of Bengkulu, Indonesia</t>
  </si>
  <si>
    <t>18-08-2020 22:29</t>
  </si>
  <si>
    <t>M 6.8 - 138 km WSW of Bengkulu, Indonesia</t>
  </si>
  <si>
    <t>18-08-2020 22:23</t>
  </si>
  <si>
    <t>M 6.6 - 13 km E of San Pedro, Philippines</t>
  </si>
  <si>
    <t>18-08-2020 00:03</t>
  </si>
  <si>
    <t>San Pedro, Philippines</t>
  </si>
  <si>
    <t>M 7.8 - 99 km SSE of Perryville, Alaska</t>
  </si>
  <si>
    <t>22-07-2020 06:12</t>
  </si>
  <si>
    <t>M 7.0 - 114 km NNW of Popondetta, Papua New Guinea</t>
  </si>
  <si>
    <t>17-07-2020 02:50</t>
  </si>
  <si>
    <t>Popondetta, Papua New Guinea</t>
  </si>
  <si>
    <t>M 6.6 - 97 km N of Batang, Indonesia</t>
  </si>
  <si>
    <t>Batang, Indonesia</t>
  </si>
  <si>
    <t>M 7.4 - 9 km SE of Santa Mar√≠a Xadani, Mexico</t>
  </si>
  <si>
    <t>23-06-2020 15:29</t>
  </si>
  <si>
    <t>Santa Mar√≠a Xadani, Mexico</t>
  </si>
  <si>
    <t>M 7.4 - south of the Kermadec Islands</t>
  </si>
  <si>
    <t>18-06-2020 12:49</t>
  </si>
  <si>
    <t>M 6.6 - 130 km WNW of Naze, Japan</t>
  </si>
  <si>
    <t>13-06-2020 15:51</t>
  </si>
  <si>
    <t>Naze, Japan</t>
  </si>
  <si>
    <t>M 6.8 - 48 km SW of San Pedro de Atacama, Chile</t>
  </si>
  <si>
    <t>San Pedro de Atacama, Chile</t>
  </si>
  <si>
    <t>M 6.5 - Monte Cristo Range, NV Earthquake</t>
  </si>
  <si>
    <t>15-05-2020 11:03</t>
  </si>
  <si>
    <t>nn</t>
  </si>
  <si>
    <t>ml</t>
  </si>
  <si>
    <t>Monte Cristo Range, NV Earthquake</t>
  </si>
  <si>
    <t>M 6.6 - 175 km SSE of Lata, Solomon Islands</t>
  </si>
  <si>
    <t>Lata, Solomon Islands</t>
  </si>
  <si>
    <t>M 6.8 - Banda Sea</t>
  </si>
  <si>
    <t>Banda Sea</t>
  </si>
  <si>
    <t>M 6.5 - 91 km S of N√©a Anatol√≠, Greece</t>
  </si>
  <si>
    <t>N√©a Anatol√≠, Greece</t>
  </si>
  <si>
    <t>M 6.5 - Stanley, Idaho</t>
  </si>
  <si>
    <t>31-03-2020 23:52</t>
  </si>
  <si>
    <t>Stanley, Idaho</t>
  </si>
  <si>
    <t>M 7.5 - 221 km SSE of Severo-Kuril‚Äôsk, Russia</t>
  </si>
  <si>
    <t>25-03-2020 02:49</t>
  </si>
  <si>
    <t>Severo-Kuril‚Äôsk, Russia</t>
  </si>
  <si>
    <t>M 7.0 - 95 km ENE of Kuril‚Äôsk, Russia</t>
  </si>
  <si>
    <t>13-02-2020 10:33</t>
  </si>
  <si>
    <t>Kuril‚Äôsk, Russia</t>
  </si>
  <si>
    <t>Russia</t>
  </si>
  <si>
    <t>M 7.7 - 123 km NNW of Lucea, Jamaica</t>
  </si>
  <si>
    <t>28-01-2020 19:10</t>
  </si>
  <si>
    <t>Lucea, Jamaica</t>
  </si>
  <si>
    <t>M 6.7 - 13 km N of Do?anyol, Turkey</t>
  </si>
  <si>
    <t>24-01-2020 17:55</t>
  </si>
  <si>
    <t>Do?anyol, Turkey</t>
  </si>
  <si>
    <t>Turkey</t>
  </si>
  <si>
    <t>M 6.8 - 7 km S of Magsaysay, Philippines</t>
  </si>
  <si>
    <t>15-12-2019 06:11</t>
  </si>
  <si>
    <t>Magsaysay, Philippines</t>
  </si>
  <si>
    <t>M 7.1 - 138km E of Bitung, Indonesia</t>
  </si>
  <si>
    <t>14-11-2019 16:17</t>
  </si>
  <si>
    <t>Bitung, Indonesia</t>
  </si>
  <si>
    <t>M 6.5 - 166km SSW of Ndoi Island, Fiji</t>
  </si>
  <si>
    <t>Ndoi Island, Fiji</t>
  </si>
  <si>
    <t>M 6.6 - 136 km W of Neiafu, Tonga</t>
  </si>
  <si>
    <t>M 6.5 - 2km ESE of Kisante, Philippines</t>
  </si>
  <si>
    <t>31-10-2019 01:11</t>
  </si>
  <si>
    <t>Kisante, Philippines</t>
  </si>
  <si>
    <t>M 6.6 - 10 km NE of Columbio, Philippines</t>
  </si>
  <si>
    <t>29-10-2019 01:04</t>
  </si>
  <si>
    <t>Columbio, Philippines</t>
  </si>
  <si>
    <t>M 6.7 - 70 km WSW of Constituci√≥n, Chile</t>
  </si>
  <si>
    <t>29-09-2019 15:57</t>
  </si>
  <si>
    <t>Constituci√≥n, Chile</t>
  </si>
  <si>
    <t>M 6.5 - 11km S of Kairatu, Indonesia</t>
  </si>
  <si>
    <t>25-09-2019 23:46</t>
  </si>
  <si>
    <t>Kairatu, Indonesia</t>
  </si>
  <si>
    <t>M 6.6 - 34km NNE of Ndoi Island, Fiji</t>
  </si>
  <si>
    <t>M 6.6 - 131km S of Bristol Island, South Sandwich Islands</t>
  </si>
  <si>
    <t>27-08-2019 23:55</t>
  </si>
  <si>
    <t>Bristol Island, South Sandwich Islands</t>
  </si>
  <si>
    <t>United Kingdom of Great Britain and Northern Ireland (the)</t>
  </si>
  <si>
    <t>M 6.9 - 152 km SW of Labuan, Indonesia</t>
  </si>
  <si>
    <t>M 6.8 - 96 km SW of San Antonio, Chile</t>
  </si>
  <si>
    <t>San Antonio, Chile</t>
  </si>
  <si>
    <t>M 6.6 - 62km E of Lakatoro, Vanuatu</t>
  </si>
  <si>
    <t>31-07-2019 15:02</t>
  </si>
  <si>
    <t>Lakatoro, Vanuatu</t>
  </si>
  <si>
    <t>M 7.2 - 93km NNE of Laiwui, Indonesia</t>
  </si>
  <si>
    <t>14-07-2019 09:10</t>
  </si>
  <si>
    <t>Laiwui, Indonesia</t>
  </si>
  <si>
    <t>M 6.6 - 200km W of Broome, Australia</t>
  </si>
  <si>
    <t>14-07-2019 05:39</t>
  </si>
  <si>
    <t>Broome, Australia</t>
  </si>
  <si>
    <t>M 6.9 - 134km WSW of Kota Ternate, Indonesia</t>
  </si>
  <si>
    <t>Kota Ternate, Indonesia</t>
  </si>
  <si>
    <t>M 7.1 - 18km W of Searles Valley, CA</t>
  </si>
  <si>
    <t>ci</t>
  </si>
  <si>
    <t>mw</t>
  </si>
  <si>
    <t>Searles Valley, CA</t>
  </si>
  <si>
    <t>M 7.3 - 292km NW of Saumlaki, Indonesia</t>
  </si>
  <si>
    <t>24-06-2019 02:53</t>
  </si>
  <si>
    <t>Saumlaki, Indonesia</t>
  </si>
  <si>
    <t>M 7.3 - 116km NE of L'Esperance Rock, New Zealand</t>
  </si>
  <si>
    <t>15-06-2019 22:55</t>
  </si>
  <si>
    <t>L'Esperance Rock, New Zealand</t>
  </si>
  <si>
    <t>M 6.6 - 32 km S of La Libertad, El Salvador</t>
  </si>
  <si>
    <t>30-05-2019 09:03</t>
  </si>
  <si>
    <t>La Libertad, El Salvador</t>
  </si>
  <si>
    <t>M 8.0 - 78 km NE of Navarro, Peru</t>
  </si>
  <si>
    <t>26-05-2019 07:41</t>
  </si>
  <si>
    <t>Navarro, Peru</t>
  </si>
  <si>
    <t>M 7.6 - 46km SSE of Namatanai, Papua New Guinea</t>
  </si>
  <si>
    <t>14-05-2019 12:58</t>
  </si>
  <si>
    <t>Namatanai, Papua New Guinea</t>
  </si>
  <si>
    <t>M 7.1 - 33km NW of Bulolo, Papua New Guinea</t>
  </si>
  <si>
    <t>Bulolo, Papua New Guinea</t>
  </si>
  <si>
    <t>M 6.8 - 98km SSW of Luwuk, Indonesia</t>
  </si>
  <si>
    <t>Luwuk, Indonesia</t>
  </si>
  <si>
    <t>M 6.5 - 83km ENE of Bristol Island, South Sandwich Islands</t>
  </si>
  <si>
    <t>M 7.0 - 22 km NNE of Az√°ngaro, Peru</t>
  </si>
  <si>
    <t>M 7.5 - 111km ESE of Palora, Ecuador</t>
  </si>
  <si>
    <t>22-02-2019 10:17</t>
  </si>
  <si>
    <t>Palora, Ecuador</t>
  </si>
  <si>
    <t>Ecuador</t>
  </si>
  <si>
    <t>M 6.7 - 5 km SW of Puerto Madero, Mexico</t>
  </si>
  <si>
    <t>Puerto Madero, Mexico</t>
  </si>
  <si>
    <t>M 6.7 - Prince Edward Islands region</t>
  </si>
  <si>
    <t>22-01-2019 19:01</t>
  </si>
  <si>
    <t>Prince Edward Islands region</t>
  </si>
  <si>
    <t>M 6.7 - 10 km SSW of Coquimbo, Chile</t>
  </si>
  <si>
    <t>20-01-2019 01:32</t>
  </si>
  <si>
    <t>Coquimbo, Chile</t>
  </si>
  <si>
    <t>M 6.6 - 94 km NW of Sola, Vanuatu</t>
  </si>
  <si>
    <t>15-01-2019 18:06</t>
  </si>
  <si>
    <t>Sola, Vanuatu</t>
  </si>
  <si>
    <t>M 6.6 - Molucca Sea</t>
  </si>
  <si>
    <t>Molucca Sea</t>
  </si>
  <si>
    <t>M 6.8 - 90km W of Tarauaca, Brazil</t>
  </si>
  <si>
    <t>Tarauaca, Brazil</t>
  </si>
  <si>
    <t>M 7.0 - 96 km ESE of Pondaguitan, Philippines</t>
  </si>
  <si>
    <t>29-12-2018 03:39</t>
  </si>
  <si>
    <t>M 7.3 - 187 km SE of Ust‚Äô-Kamchatsk Staryy, Russia</t>
  </si>
  <si>
    <t>20-12-2018 17:01</t>
  </si>
  <si>
    <t>M 6.6 - 199 km ESE of Tadine, New Caledonia</t>
  </si>
  <si>
    <t>M 7.5 - 166 km ESE of Tadine, New Caledonia</t>
  </si>
  <si>
    <t>M 7.1 - 1 km SE of Point MacKenzie, Alaska</t>
  </si>
  <si>
    <t>30-11-2018 17:29</t>
  </si>
  <si>
    <t>Point MacKenzie, Alaska</t>
  </si>
  <si>
    <t>M 6.8 - 187 km E of Levuka, Fiji</t>
  </si>
  <si>
    <t>18-11-2018 20:25</t>
  </si>
  <si>
    <t>Levuka, Fiji</t>
  </si>
  <si>
    <t>M 6.7 - 120 km NW of Olonkinbyen, Svalbard and Jan Mayen</t>
  </si>
  <si>
    <t>Olonkinbyen, Svalbard and Jan Mayen</t>
  </si>
  <si>
    <t>M 6.8 - 32 km SW of Lithaki√°, Greece</t>
  </si>
  <si>
    <t>25-10-2018 22:54</t>
  </si>
  <si>
    <t>Lithaki√°, Greece</t>
  </si>
  <si>
    <t>M 6.5 - 237 km SW of Port McNeill, Canada</t>
  </si>
  <si>
    <t>22-10-2018 06:22</t>
  </si>
  <si>
    <t>Port McNeill, Canada</t>
  </si>
  <si>
    <t>M 6.8 - 210 km SW of Port McNeill, Canada</t>
  </si>
  <si>
    <t>22-10-2018 06:16</t>
  </si>
  <si>
    <t>M 6.5 - 223 km SW of Port McNeill, Canada</t>
  </si>
  <si>
    <t>22-10-2018 05:39</t>
  </si>
  <si>
    <t>M 6.5 - 171 km E of Tadine, New Caledonia</t>
  </si>
  <si>
    <t>16-10-2018 01:03</t>
  </si>
  <si>
    <t>M 6.7 - 269 km WNW of Ozernovskiy, Russia</t>
  </si>
  <si>
    <t>13-10-2018 11:10</t>
  </si>
  <si>
    <t>Ozernovskiy, Russia</t>
  </si>
  <si>
    <t>M 6.5 - 154 km S of Severo-Kuril‚Äôsk, Russia</t>
  </si>
  <si>
    <t>M 7.0 - 119 km E of Kimbe, Papua New Guinea</t>
  </si>
  <si>
    <t>Kimbe, Papua New Guinea</t>
  </si>
  <si>
    <t>M 6.7 - 279 km E of Levuka, Fiji</t>
  </si>
  <si>
    <t>30-09-2018 10:52</t>
  </si>
  <si>
    <t>M 7.5 - 72 km N of Palu, Indonesia</t>
  </si>
  <si>
    <t>28-09-2018 10:02</t>
  </si>
  <si>
    <t>Palu, Indonesia</t>
  </si>
  <si>
    <t>M 6.5 - south of the Fiji Islands</t>
  </si>
  <si>
    <t>16-09-2018 21:11</t>
  </si>
  <si>
    <t>M 6.9 - Kermadec Islands region</t>
  </si>
  <si>
    <t>M 6.5 - 66 km NW of Kirakira, Solomon Islands</t>
  </si>
  <si>
    <t>Kirakira, Solomon Islands</t>
  </si>
  <si>
    <t>M 7.9 - 45 km S of Levuka, Fiji</t>
  </si>
  <si>
    <t>M 6.6 - 27 km ESE of Chitose, Japan</t>
  </si>
  <si>
    <t>Chitose, Japan</t>
  </si>
  <si>
    <t>M 7.1 - 238 km ESE of Tadine, New Caledonia</t>
  </si>
  <si>
    <t>29-08-2018 03:51</t>
  </si>
  <si>
    <t>M 7.1 - 136 km W of I√±apari, Peru</t>
  </si>
  <si>
    <t>24-08-2018 09:04</t>
  </si>
  <si>
    <t>I√±apari, Peru</t>
  </si>
  <si>
    <t>M 6.5 - 78 km E of Lakatoro, Vanuatu</t>
  </si>
  <si>
    <t>21-08-2018 22:32</t>
  </si>
  <si>
    <t>M 7.3 - 40 km ENE of Car√∫pano, Venezuela</t>
  </si>
  <si>
    <t>21-08-2018 21:31</t>
  </si>
  <si>
    <t>Car√∫pano, Venezuela</t>
  </si>
  <si>
    <t>Venezuela</t>
  </si>
  <si>
    <t>M 6.9 - 20 km NNW of Labuan Lombok, Indonesia</t>
  </si>
  <si>
    <t>19-08-2018 14:56</t>
  </si>
  <si>
    <t>Labuan Lombok, Indonesia</t>
  </si>
  <si>
    <t>M 8.2 - 267 km E of Levuka, Fiji</t>
  </si>
  <si>
    <t>19-08-2018 00:19</t>
  </si>
  <si>
    <t>M 6.5 - 124 km N of Labuan Bajo, Indonesia</t>
  </si>
  <si>
    <t>17-08-2018 15:35</t>
  </si>
  <si>
    <t>Labuan Bajo, Indonesia</t>
  </si>
  <si>
    <t>M 6.5 - 108 km WSW of Adak, Alaska</t>
  </si>
  <si>
    <t>15-08-2018 21:56</t>
  </si>
  <si>
    <t>Adak, Alaska</t>
  </si>
  <si>
    <t>M 6.9 - 36 km NW of Labuan Lombok, Indonesia</t>
  </si>
  <si>
    <t>M 6.9 - 18 km SSW of Leilani Estates, Hawaii</t>
  </si>
  <si>
    <t>hv</t>
  </si>
  <si>
    <t>Leilani Estates, Hawaii</t>
  </si>
  <si>
    <t>M 6.8 - 38 km SE of Boyuibe, Bolivia</t>
  </si>
  <si>
    <t>Boyuibe, Bolivia</t>
  </si>
  <si>
    <t>Bolivia</t>
  </si>
  <si>
    <t>M 6.9 - 150 km E of Kimbe, Papua New Guinea</t>
  </si>
  <si>
    <t>29-03-2018 21:25</t>
  </si>
  <si>
    <t>M 6.7 - 140 km E of Kimbe, Papua New Guinea</t>
  </si>
  <si>
    <t>26-03-2018 09:51</t>
  </si>
  <si>
    <t>M 6.8 - 103 km E of Kokopo, Papua New Guinea</t>
  </si>
  <si>
    <t>Kokopo, Papua New Guinea</t>
  </si>
  <si>
    <t>M 6.7 - 62 km SW of Tari, Papua New Guinea</t>
  </si>
  <si>
    <t>Tari, Papua New Guinea</t>
  </si>
  <si>
    <t>M 7.5 - 32 km SW of Tari, Papua New Guinea</t>
  </si>
  <si>
    <t>25-02-2018 17:44</t>
  </si>
  <si>
    <t>M 7.2 - 4 km S of Pinotepa de Don Luis, Mexico</t>
  </si>
  <si>
    <t>16-02-2018 23:39</t>
  </si>
  <si>
    <t>Pinotepa de Don Luis, Mexico</t>
  </si>
  <si>
    <t>M 7.9 - 261 km SE of Chiniak, Alaska</t>
  </si>
  <si>
    <t>23-01-2018 09:31</t>
  </si>
  <si>
    <t>Chiniak, Alaska</t>
  </si>
  <si>
    <t>M 7.1 - 37 km W of Atiquipa, Peru</t>
  </si>
  <si>
    <t>14-01-2018 09:18</t>
  </si>
  <si>
    <t>Atiquipa, Peru</t>
  </si>
  <si>
    <t>M 7.5 - 203 km NNE of Barra Patuca, Honduras</t>
  </si>
  <si>
    <t>Barra Patuca, Honduras</t>
  </si>
  <si>
    <t>M 6.5 - 12 km SSW of Kawalu, Indonesia</t>
  </si>
  <si>
    <t>15-12-2017 16:47</t>
  </si>
  <si>
    <t>Kawalu, Indonesia</t>
  </si>
  <si>
    <t>M 6.5 - Bouvet Island region</t>
  </si>
  <si>
    <t>13-12-2017 18:03</t>
  </si>
  <si>
    <t>Bouvet Island region</t>
  </si>
  <si>
    <t>M 7.0 - 85 km ENE of Tadine, New Caledonia</t>
  </si>
  <si>
    <t>19-11-2017 22:43</t>
  </si>
  <si>
    <t>M 6.6 - 74 km E of Tadine, New Caledonia</t>
  </si>
  <si>
    <t>19-11-2017 15:09</t>
  </si>
  <si>
    <t>M 6.5 - 18 km W of Parrita, Costa Rica</t>
  </si>
  <si>
    <t>13-11-2017 02:28</t>
  </si>
  <si>
    <t>Parrita, Costa Rica</t>
  </si>
  <si>
    <t>Costa Rica</t>
  </si>
  <si>
    <t>M 7.3 - 29 km S of ?alabja, Iraq</t>
  </si>
  <si>
    <t>?alabja, Iraq</t>
  </si>
  <si>
    <t>Iran</t>
  </si>
  <si>
    <t>M 6.5 - 67 km WSW of Angoram, Papua New Guinea</t>
  </si>
  <si>
    <t>Angoram, Papua New Guinea</t>
  </si>
  <si>
    <t>M 6.8 - 97 km NE of Hihifo, Tonga</t>
  </si>
  <si>
    <t>Hihifo, Tonga</t>
  </si>
  <si>
    <t>M 6.6 - 101 km E of Tadine, New Caledonia</t>
  </si>
  <si>
    <t>M 6.7 - 132 km E of Tadine, New Caledonia</t>
  </si>
  <si>
    <t>31-10-2017 00:42</t>
  </si>
  <si>
    <t>M 6.7 - 181 km NNE of Maumere, Indonesia</t>
  </si>
  <si>
    <t>24-10-2017 10:47</t>
  </si>
  <si>
    <t>Maumere, Indonesia</t>
  </si>
  <si>
    <t>M 6.5 - 247 km ESE of Attu Station, Alaska</t>
  </si>
  <si>
    <t>Attu Station, Alaska</t>
  </si>
  <si>
    <t>M 7.1 - 1 km S of Matzaco, Mexico</t>
  </si>
  <si>
    <t>19-09-2017 18:14</t>
  </si>
  <si>
    <t>Matzaco, Mexico</t>
  </si>
  <si>
    <t>M 8.2 - near the coast of Chiapas, Mexico</t>
  </si>
  <si>
    <t>Chiapas, Mexico</t>
  </si>
  <si>
    <t>M 6.5 - 168 km SW of Mawu, China</t>
  </si>
  <si>
    <t>Mawu, China</t>
  </si>
  <si>
    <t>M 6.6 - 11 km ENE of Kos, Greece</t>
  </si>
  <si>
    <t>20-07-2017 22:31</t>
  </si>
  <si>
    <t>Kos, Greece</t>
  </si>
  <si>
    <t>M 7.7 - Komandorskiye Ostrova, Russia region</t>
  </si>
  <si>
    <t>17-07-2017 23:34</t>
  </si>
  <si>
    <t>Komandorskiye Ostrova, Russia region</t>
  </si>
  <si>
    <t>M 6.6 - Auckland Islands, New Zealand region</t>
  </si>
  <si>
    <t>Auckland Islands, New Zealand region</t>
  </si>
  <si>
    <t>M 6.5 - 2 km S of Lim-oo, Philippines</t>
  </si>
  <si>
    <t>Lim-oo, Philippines</t>
  </si>
  <si>
    <t>M 6.8 - 28 km SW of Puerto San Jos√©, Guatemala</t>
  </si>
  <si>
    <t>22-06-2017 12:31</t>
  </si>
  <si>
    <t>Puerto San Jos√©, Guatemala</t>
  </si>
  <si>
    <t>M 6.9 - 2 km SSW of San Pablo, Guatemala</t>
  </si>
  <si>
    <t>14-06-2017 07:29</t>
  </si>
  <si>
    <t>San Pablo, Guatemala</t>
  </si>
  <si>
    <t>Guatemala</t>
  </si>
  <si>
    <t>M 6.8 - 200 km NW of Attu Station, Alaska</t>
  </si>
  <si>
    <t>M 6.6 - 37 km WNW of Poso, Indonesia</t>
  </si>
  <si>
    <t>29-05-2017 14:35</t>
  </si>
  <si>
    <t>Poso, Indonesia</t>
  </si>
  <si>
    <t>M 6.5 - South Sandwich Islands region</t>
  </si>
  <si>
    <t>M 6.8 - 59 km NNE of Port-Olry, Vanuatu</t>
  </si>
  <si>
    <t>M 6.9 - 31 km SW of Burias, Philippines</t>
  </si>
  <si>
    <t>28-04-2017 20:23</t>
  </si>
  <si>
    <t>Burias, Philippines</t>
  </si>
  <si>
    <t>M 6.9 - 40 km W of Valpara√≠so, Chile</t>
  </si>
  <si>
    <t>24-04-2017 21:38</t>
  </si>
  <si>
    <t>Valpara√≠so, Chile</t>
  </si>
  <si>
    <t>M 6.5 - 132 km WSW of Moijabana, Botswana</t>
  </si>
  <si>
    <t>Moijabana, Botswana</t>
  </si>
  <si>
    <t>Africa</t>
  </si>
  <si>
    <t>Botswana</t>
  </si>
  <si>
    <t>M 6.6 - 81 km NNE of Ust‚Äô-Kamchatsk Staryy, Russia</t>
  </si>
  <si>
    <t>29-03-2017 04:09</t>
  </si>
  <si>
    <t>M 6.9 - south of the Fiji Islands</t>
  </si>
  <si>
    <t>24-02-2017 17:28</t>
  </si>
  <si>
    <t>M 6.5 - 41 km E of Padilla, Bolivia</t>
  </si>
  <si>
    <t>21-02-2017 14:09</t>
  </si>
  <si>
    <t>Padilla, Bolivia</t>
  </si>
  <si>
    <t>M 6.5 - 11 km N of Mabua, Philippines</t>
  </si>
  <si>
    <t>Mabua, Philippines</t>
  </si>
  <si>
    <t>M 7.9 - 35 km WNW of Panguna, Papua New Guinea</t>
  </si>
  <si>
    <t>22-01-2017 04:30</t>
  </si>
  <si>
    <t>Panguna, Papua New Guinea</t>
  </si>
  <si>
    <t>M 6.5 - 65 km W of Kirakira, Solomon Islands</t>
  </si>
  <si>
    <t>19-01-2017 23:04</t>
  </si>
  <si>
    <t>M 7.3 - 189 km SSE of Tabiauan, Philippines</t>
  </si>
  <si>
    <t>Tabiauan, Philippines</t>
  </si>
  <si>
    <t>M 6.9 - 225 km SW of Nadi, Fiji</t>
  </si>
  <si>
    <t>Nadi, Fiji</t>
  </si>
  <si>
    <t>M 7.6 - 41 km SW of Quell√≥n, Chile</t>
  </si>
  <si>
    <t>25-12-2016 14:22</t>
  </si>
  <si>
    <t>Quell√≥n, Chile</t>
  </si>
  <si>
    <t>M 6.7 - 151 km NE of Lospalos, Timor Leste</t>
  </si>
  <si>
    <t>21-12-2016 00:17</t>
  </si>
  <si>
    <t>M 7.9 - 140 km E of Kokopo, Papua New Guinea</t>
  </si>
  <si>
    <t>17-12-2016 10:51</t>
  </si>
  <si>
    <t>M 6.9 - 92 km WSW of Kirakira, Solomon Islands</t>
  </si>
  <si>
    <t>M 6.5 - 79 km WSW of Kirakira, Solomon Islands</t>
  </si>
  <si>
    <t>M 7.8 - 69 km WSW of Kirakira, Solomon Islands</t>
  </si>
  <si>
    <t>M 6.6 - 164 km W of Ferndale, California</t>
  </si>
  <si>
    <t>Ferndale, California</t>
  </si>
  <si>
    <t>M 6.5 - 14 km WNW of Reuleuet, Indonesia</t>
  </si>
  <si>
    <t>Reuleuet, Indonesia</t>
  </si>
  <si>
    <t>M 6.6 - 122 km N of Murghob, Tajikistan</t>
  </si>
  <si>
    <t>25-11-2016 14:24</t>
  </si>
  <si>
    <t>Murghob, Tajikistan</t>
  </si>
  <si>
    <t>M 6.9 - 156 km SSW of Puerto El Triunfo, El Salvador</t>
  </si>
  <si>
    <t>24-11-2016 18:43</t>
  </si>
  <si>
    <t>Puerto El Triunfo, El Salvador</t>
  </si>
  <si>
    <t>M 6.9 - 35 km ESE of Namie, Japan</t>
  </si>
  <si>
    <t>21-11-2016 20:59</t>
  </si>
  <si>
    <t>M 6.5 - 74 km NE of Amberley, New Zealand</t>
  </si>
  <si>
    <t>14-11-2016 00:34</t>
  </si>
  <si>
    <t>Amberley, New Zealand</t>
  </si>
  <si>
    <t>New Zealand</t>
  </si>
  <si>
    <t>M 6.5 - 92 km SSW of Blenheim, New Zealand</t>
  </si>
  <si>
    <t>13-11-2016 11:32</t>
  </si>
  <si>
    <t>Blenheim, New Zealand</t>
  </si>
  <si>
    <t>M 7.8 - 53 km NNE of Amberley, New Zealand</t>
  </si>
  <si>
    <t>13-11-2016 11:02</t>
  </si>
  <si>
    <t>M 6.6 - 5 km ESE of Preci, Italy</t>
  </si>
  <si>
    <t>30-10-2016 06:40</t>
  </si>
  <si>
    <t>Preci, Italy</t>
  </si>
  <si>
    <t>Italy</t>
  </si>
  <si>
    <t>M 6.6 - 161 km NNE of Pamanukan, Indonesia</t>
  </si>
  <si>
    <t>19-10-2016 00:26</t>
  </si>
  <si>
    <t>Pamanukan, Indonesia</t>
  </si>
  <si>
    <t>M 6.8 - 76 km WNW of Kandrian, Papua New Guinea</t>
  </si>
  <si>
    <t>17-10-2016 06:14</t>
  </si>
  <si>
    <t>Kandrian, Papua New Guinea</t>
  </si>
  <si>
    <t>M 6.9 - Fiji region</t>
  </si>
  <si>
    <t>24-09-2016 21:28</t>
  </si>
  <si>
    <t>Fiji region</t>
  </si>
  <si>
    <t>M 7.0 - 175 km NE of Gisborne, New Zealand</t>
  </si>
  <si>
    <t>M 6.8 - 90 km NE of Rabaul, Papua New Guinea</t>
  </si>
  <si>
    <t>31-08-2016 03:11</t>
  </si>
  <si>
    <t>Rabaul, Papua New Guinea</t>
  </si>
  <si>
    <t>M 6.8 - 26 km W of Chauk, Myanmar</t>
  </si>
  <si>
    <t>24-08-2016 10:34</t>
  </si>
  <si>
    <t>Chauk, Myanmar</t>
  </si>
  <si>
    <t>Myanmar</t>
  </si>
  <si>
    <t>M 7.2 - southeast of the Loyalty Islands</t>
  </si>
  <si>
    <t>M 7.7 - Pagan region, Northern Mariana Islands</t>
  </si>
  <si>
    <t>29-07-2016 21:18</t>
  </si>
  <si>
    <t>Pagan region, Northern Mariana Islands</t>
  </si>
  <si>
    <t>M 6.6 - 80 km W of Sungai Penuh, Indonesia</t>
  </si>
  <si>
    <t>Sungai Penuh, Indonesia</t>
  </si>
  <si>
    <t>M 7.2 - South Sandwich Islands region</t>
  </si>
  <si>
    <t>28-05-2016 09:46</t>
  </si>
  <si>
    <t>28-05-2016 05:38</t>
  </si>
  <si>
    <t>M 6.9 - 24 km NW of Rosa Zarate, Ecuador</t>
  </si>
  <si>
    <t>18-05-2016 16:46</t>
  </si>
  <si>
    <t>Rosa Zarate, Ecuador</t>
  </si>
  <si>
    <t>M 6.7 - 32 km SE of Muisne, Ecuador</t>
  </si>
  <si>
    <t>18-05-2016 07:57</t>
  </si>
  <si>
    <t>Muisne, Ecuador</t>
  </si>
  <si>
    <t>M 7.0 - 3 km NW of Norsup, Vanuatu</t>
  </si>
  <si>
    <t>28-04-2016 19:33</t>
  </si>
  <si>
    <t>Norsup, Vanuatu</t>
  </si>
  <si>
    <t>M 7.8 - 27 km SSE of Muisne, Ecuador</t>
  </si>
  <si>
    <t>16-04-2016 23:58</t>
  </si>
  <si>
    <t>M 7.0 - 6 km ESE of Kumamoto, Japan</t>
  </si>
  <si>
    <t>15-04-2016 16:25</t>
  </si>
  <si>
    <t>Kumamoto, Japan</t>
  </si>
  <si>
    <t>M 6.9 - 76 km SE of Mawlaik, Myanmar</t>
  </si>
  <si>
    <t>13-04-2016 13:55</t>
  </si>
  <si>
    <t>Mawlaik, Myanmar</t>
  </si>
  <si>
    <t>M 6.6 - 42 km WSW of Ashk?sham, Afghanistan</t>
  </si>
  <si>
    <t>Ashk?sham, Afghanistan</t>
  </si>
  <si>
    <t>Afghanistan</t>
  </si>
  <si>
    <t>M 6.7 - 104 km W of Sola, Vanuatu</t>
  </si>
  <si>
    <t>M 6.7 - 102 km WSW of Sola, Vanuatu</t>
  </si>
  <si>
    <t>M 6.9 - 82 km NNW of Port-Olry, Vanuatu</t>
  </si>
  <si>
    <t>M 7.8 - southwest of Sumatra, Indonesia</t>
  </si>
  <si>
    <t>Sumatra, Indonesia</t>
  </si>
  <si>
    <t>M 7.2 - 80 km S of Mil‚Äôkovo, Russia</t>
  </si>
  <si>
    <t>30-01-2016 03:25</t>
  </si>
  <si>
    <t>Mil‚Äôkovo, Russia</t>
  </si>
  <si>
    <t>M 7.1 - 47 km ESE of Pedro Bay, Alaska</t>
  </si>
  <si>
    <t>24-01-2016 10:30</t>
  </si>
  <si>
    <t>Pedro Bay, Alaska</t>
  </si>
  <si>
    <t>M 6.6 - 203 km SW of La Cruz de Loreto, Mexico</t>
  </si>
  <si>
    <t>21-01-2016 18:06</t>
  </si>
  <si>
    <t>La Cruz de Loreto, Mexico</t>
  </si>
  <si>
    <t>M 6.7 - 52 km SE of Shizunai-furukawach?, Japan</t>
  </si>
  <si>
    <t>14-01-2016 03:25</t>
  </si>
  <si>
    <t>Shizunai-furukawach?, Japan</t>
  </si>
  <si>
    <t>M 6.5 - 227 km SE of Sarangani, Philippines</t>
  </si>
  <si>
    <t>Sarangani, Philippines</t>
  </si>
  <si>
    <t>M 6.7 - 29 km W of Imph?l, India</t>
  </si>
  <si>
    <t>Imph?l, India</t>
  </si>
  <si>
    <t>India</t>
  </si>
  <si>
    <t>M 6.6 - 4 km W of Manuel √Åvila Camacho (Ponte Duro), Mexico</t>
  </si>
  <si>
    <t>17-12-2015 19:49</t>
  </si>
  <si>
    <t>Manuel √Åvila Camacho (Ponte Duro), Mexico</t>
  </si>
  <si>
    <t>M 6.9 - 107 km SE of Amahai, Indonesia</t>
  </si>
  <si>
    <t>Amahai, Indonesia</t>
  </si>
  <si>
    <t>M 7.2 - 104 km W of Murghob, Tajikistan</t>
  </si>
  <si>
    <t>Tajikistan</t>
  </si>
  <si>
    <t>M 6.7 - 125 km SSW of Tarauac√°, Brazil</t>
  </si>
  <si>
    <t>26-11-2015 05:45</t>
  </si>
  <si>
    <t>M 7.6 - 185 km WNW of I√±apari, Peru</t>
  </si>
  <si>
    <t>24-11-2015 22:50</t>
  </si>
  <si>
    <t>M 7.6 - 155 km WNW of I√±apari, Peru</t>
  </si>
  <si>
    <t>24-11-2015 22:45</t>
  </si>
  <si>
    <t>M 6.8 - 153 km WSW of Buala, Solomon Islands</t>
  </si>
  <si>
    <t>18-11-2015 18:31</t>
  </si>
  <si>
    <t>Buala, Solomon Islands</t>
  </si>
  <si>
    <t>M 6.5 - 19 km SSW of Lefk√°da, Greece</t>
  </si>
  <si>
    <t>17-11-2015 07:10</t>
  </si>
  <si>
    <t>Lefk√°da, Greece</t>
  </si>
  <si>
    <t>M 6.7 - 140 km WSW of Makurazaki, Japan</t>
  </si>
  <si>
    <t>13-11-2015 20:51</t>
  </si>
  <si>
    <t>Makurazaki, Japan</t>
  </si>
  <si>
    <t>M 6.9 - 85 km NW of Coquimbo, Chile</t>
  </si>
  <si>
    <t>M 6.9 - 81 km NW of Coquimbo, Chile</t>
  </si>
  <si>
    <t>M 6.6 - Nicobar Islands, India region</t>
  </si>
  <si>
    <t>Nicobar Islands, India region</t>
  </si>
  <si>
    <t>M 6.8 - 39 km SW of Ovalle, Chile</t>
  </si>
  <si>
    <t>Ovalle, Chile</t>
  </si>
  <si>
    <t>M 6.5 - 47 km NW of Maubara, Timor Leste</t>
  </si>
  <si>
    <t>Maubara, Timor Leste</t>
  </si>
  <si>
    <t>M 7.5 - Hindu Kush region, Afghanistan</t>
  </si>
  <si>
    <t>26-10-2015 09:09</t>
  </si>
  <si>
    <t>Hindu Kush region, Afghanistan</t>
  </si>
  <si>
    <t>M 7.1 - 31 km NE of Port-Olry, Vanuatu</t>
  </si>
  <si>
    <t>20-10-2015 21:52</t>
  </si>
  <si>
    <t>M 6.6 - 28 km N of Sorong, Indonesia</t>
  </si>
  <si>
    <t>24-09-2015 15:53</t>
  </si>
  <si>
    <t>Sorong, Indonesia</t>
  </si>
  <si>
    <t>M 6.6 - 22 km WSW of Illapel, Chile</t>
  </si>
  <si>
    <t>21-09-2015 17:40</t>
  </si>
  <si>
    <t>Illapel, Chile</t>
  </si>
  <si>
    <t>M 6.7 - 61 km WNW of Illapel, Chile</t>
  </si>
  <si>
    <t>17-09-2015 04:10</t>
  </si>
  <si>
    <t>M 6.5 - 54 km WNW of Illapel, Chile</t>
  </si>
  <si>
    <t>17-09-2015 03:55</t>
  </si>
  <si>
    <t>M 7.0 - 25 km WNW of Illapel, Chile</t>
  </si>
  <si>
    <t>16-09-2015 23:18</t>
  </si>
  <si>
    <t>M 8.3 - 48 km W of Illapel, Chile</t>
  </si>
  <si>
    <t>16-09-2015 22:54</t>
  </si>
  <si>
    <t>M 6.7 - 95 km SW of Topolobampo, Mexico</t>
  </si>
  <si>
    <t>13-09-2015 08:14</t>
  </si>
  <si>
    <t>Topolobampo, Mexico</t>
  </si>
  <si>
    <t>M 6.5 - 177 km SE of Gizo, Solomon Islands</t>
  </si>
  <si>
    <t>Gizo, Solomon Islands</t>
  </si>
  <si>
    <t>M 6.6 - 186 km WNW of Malango, Solomon Islands</t>
  </si>
  <si>
    <t>M 7.0 - 234 km W of Abepura, Indonesia</t>
  </si>
  <si>
    <t>27-07-2015 21:41</t>
  </si>
  <si>
    <t>Abepura, Indonesia</t>
  </si>
  <si>
    <t>M 6.9 - Fox Islands, Aleutian Islands, Alaska</t>
  </si>
  <si>
    <t>27-07-2015 04:49</t>
  </si>
  <si>
    <t>Fox Islands, Aleutian Islands, Alaska</t>
  </si>
  <si>
    <t>M 7.0 - 80 km WNW of Lata, Solomon Islands</t>
  </si>
  <si>
    <t>18-07-2015 02:27</t>
  </si>
  <si>
    <t>M 6.5 - 128 km NE of Bathsheba, Barbados</t>
  </si>
  <si>
    <t>16-07-2015 15:16</t>
  </si>
  <si>
    <t>Bathsheba, Barbados</t>
  </si>
  <si>
    <t>M 6.7 - 150 km WNW of Malango, Solomon Islands</t>
  </si>
  <si>
    <t>M 6.5 - Bonin Islands, Japan region</t>
  </si>
  <si>
    <t>23-06-2015 12:18</t>
  </si>
  <si>
    <t>Bonin Islands, Japan region</t>
  </si>
  <si>
    <t>M 7.8 - Bonin Islands, Japan region</t>
  </si>
  <si>
    <t>30-05-2015 11:23</t>
  </si>
  <si>
    <t>M 6.8 - 117 km SSE of Ugashik, Alaska</t>
  </si>
  <si>
    <t>29-05-2015 07:00</t>
  </si>
  <si>
    <t>Ugashik, Alaska</t>
  </si>
  <si>
    <t>M 6.8 - 159 km ESE of Kirakira, Solomon Islands</t>
  </si>
  <si>
    <t>22-05-2015 23:59</t>
  </si>
  <si>
    <t>M 6.9 - 205 km ESE of Kirakira, Solomon Islands</t>
  </si>
  <si>
    <t>22-05-2015 21:45</t>
  </si>
  <si>
    <t>M 6.8 - 178 km W of Lata, Solomon Islands</t>
  </si>
  <si>
    <t>20-05-2015 22:48</t>
  </si>
  <si>
    <t>M 6.8 - 32 km SE of ?funato, Japan</t>
  </si>
  <si>
    <t>?funato, Japan</t>
  </si>
  <si>
    <t>M 7.3 - Nepal</t>
  </si>
  <si>
    <t>Nepal</t>
  </si>
  <si>
    <t>M 7.1 - 143 km SW of Panguna, Papua New Guinea</t>
  </si>
  <si>
    <t>M 7.5 - 131 km SSW of Kokopo, Papua New Guinea</t>
  </si>
  <si>
    <t>M 6.8 - 109 km SSW of Kokopo, Papua New Guinea</t>
  </si>
  <si>
    <t>M 6.7 - 126 km SSW of Kokopo, Papua New Guinea</t>
  </si>
  <si>
    <t>30-04-2015 10:45</t>
  </si>
  <si>
    <t>M 6.7 - 21 km SSE of Kod?ri??, Nepal</t>
  </si>
  <si>
    <t>26-04-2015 07:09</t>
  </si>
  <si>
    <t>Kod?ri??, Nepal</t>
  </si>
  <si>
    <t>M 6.6 - 71 km NNE of Bharatpur, Nepal</t>
  </si>
  <si>
    <t>25-04-2015 06:45</t>
  </si>
  <si>
    <t>Bharatpur, Nepal</t>
  </si>
  <si>
    <t>M 7.8 - 67 km NNE of Bharatpur, Nepal</t>
  </si>
  <si>
    <t>25-04-2015 06:11</t>
  </si>
  <si>
    <t>M 6.5 - 181 km SSW of Alo, Wallis and Futuna</t>
  </si>
  <si>
    <t>17-04-2015 15:52</t>
  </si>
  <si>
    <t>M 6.5 - 96 km ENE of Hihifo, Tonga</t>
  </si>
  <si>
    <t>30-03-2015 08:48</t>
  </si>
  <si>
    <t>M 7.5 - 53 km SE of Kokopo, Papua New Guinea</t>
  </si>
  <si>
    <t>29-03-2015 23:48</t>
  </si>
  <si>
    <t>M 7.0 - 150 km NNE of Maumere, Indonesia</t>
  </si>
  <si>
    <t>27-02-2015 13:45</t>
  </si>
  <si>
    <t>M 6.7 - 83 km ENE of Miyako, Japan</t>
  </si>
  <si>
    <t>16-02-2015 23:06</t>
  </si>
  <si>
    <t>Miyako, Japan</t>
  </si>
  <si>
    <t>M 6.7 - 103 km W of El Aguilar, Argentina</t>
  </si>
  <si>
    <t>El Aguilar, Argentina</t>
  </si>
  <si>
    <t>M 6.8 - 81 km NNE of Port-Vila, Vanuatu</t>
  </si>
  <si>
    <t>23-01-2015 03:47</t>
  </si>
  <si>
    <t>Port-Vila, Vanuatu</t>
  </si>
  <si>
    <t>M 6.5 - 236 km S of Punta de Burica, Panama</t>
  </si>
  <si>
    <t>Punta de Burica, Panama</t>
  </si>
  <si>
    <t>M 6.6 - 22 km ESE of Punta de Burica, Panama</t>
  </si>
  <si>
    <t>M 6.6 - 115 km W of Panguna, Papua New Guinea</t>
  </si>
  <si>
    <t>M 6.6 - 106 km WSW of Sangay, Philippines</t>
  </si>
  <si>
    <t>Sangay, Philippines</t>
  </si>
  <si>
    <t>M 6.8 - 157 km NW of Ternate, Indonesia</t>
  </si>
  <si>
    <t>26-11-2014 14:33</t>
  </si>
  <si>
    <t>Ternate, Indonesia</t>
  </si>
  <si>
    <t>M 6.5 - 123 km WNW of Tobelo, Indonesia</t>
  </si>
  <si>
    <t>21-11-2014 10:10</t>
  </si>
  <si>
    <t>Tobelo, Indonesia</t>
  </si>
  <si>
    <t>M 6.7 - 183 km NE of Gisborne, New Zealand</t>
  </si>
  <si>
    <t>16-11-2014 22:33</t>
  </si>
  <si>
    <t>M 7.1 - 155 km NW of Ternate, Indonesia</t>
  </si>
  <si>
    <t>15-11-2014 02:31</t>
  </si>
  <si>
    <t>M 6.6 - 76 km NE of Finschhafen, Papua New Guinea</t>
  </si>
  <si>
    <t>Finschhafen, Papua New Guinea</t>
  </si>
  <si>
    <t>M 7.1 - Fiji region</t>
  </si>
  <si>
    <t>M 7.3 - 74 km S of Intipuc√°, El Salvador</t>
  </si>
  <si>
    <t>14-10-2014 03:51</t>
  </si>
  <si>
    <t>Intipuc√°, El Salvador</t>
  </si>
  <si>
    <t>M 6.7 - 43 km NW of Piti Village, Guam</t>
  </si>
  <si>
    <t>17-09-2014 06:14</t>
  </si>
  <si>
    <t>Piti Village, Guam</t>
  </si>
  <si>
    <t>M 6.8 - 38 km NW of Aniso, Peru</t>
  </si>
  <si>
    <t>24-08-2014 23:21</t>
  </si>
  <si>
    <t>Aniso, Peru</t>
  </si>
  <si>
    <t>M 6.9 - Federated States of Micronesia region</t>
  </si>
  <si>
    <t>Micronesia region</t>
  </si>
  <si>
    <t>21-07-2014 14:54</t>
  </si>
  <si>
    <t>M 6.5 - 139 km ESE of Namie, Japan</t>
  </si>
  <si>
    <t>M 6.9 - 4 km W of Puerto Madero, Mexico</t>
  </si>
  <si>
    <t>M 6.5 - 217 km SSE of Kokopo, Papua New Guinea</t>
  </si>
  <si>
    <t>M 6.7 - 201 km SSE of Mata-Utu, Wallis and Futuna</t>
  </si>
  <si>
    <t>29-06-2014 17:15</t>
  </si>
  <si>
    <t>Mata-Utu, Wallis and Futuna</t>
  </si>
  <si>
    <t>29-06-2014 07:52</t>
  </si>
  <si>
    <t>M 7.9 - Rat Islands, Aleutian Islands, Alaska</t>
  </si>
  <si>
    <t>23-06-2014 20:53</t>
  </si>
  <si>
    <t>Rat Islands, Aleutian Islands, Alaska</t>
  </si>
  <si>
    <t>M 6.7 - Kermadec Islands, New Zealand</t>
  </si>
  <si>
    <t>23-06-2014 20:06</t>
  </si>
  <si>
    <t>mwc</t>
  </si>
  <si>
    <t>23-06-2014 19:21</t>
  </si>
  <si>
    <t>M 6.9 - Kermadec Islands, New Zealand</t>
  </si>
  <si>
    <t>23-06-2014 19:19</t>
  </si>
  <si>
    <t>M 6.9 - 21 km SSW of Kamari√≥tissa, Greece</t>
  </si>
  <si>
    <t>24-05-2014 09:25</t>
  </si>
  <si>
    <t>Kamari√≥tissa, Greece</t>
  </si>
  <si>
    <t>M 6.5 - 110 km SE of Punta de Burica, Panama</t>
  </si>
  <si>
    <t>13-05-2014 06:35</t>
  </si>
  <si>
    <t>M 6.6 - 239 km SSE of Isangel, Vanuatu</t>
  </si>
  <si>
    <t>M 6.5 - 107 km WSW of Vernon, Canada</t>
  </si>
  <si>
    <t>24-04-2014 03:10</t>
  </si>
  <si>
    <t>Vernon, Canada</t>
  </si>
  <si>
    <t>M 7.5 - 70 km SW of Panguna, Papua New Guinea</t>
  </si>
  <si>
    <t>19-04-2014 13:28</t>
  </si>
  <si>
    <t>M 6.6 - 57 km SW of Panguna, Papua New Guinea</t>
  </si>
  <si>
    <t>19-04-2014 01:04</t>
  </si>
  <si>
    <t>M 7.2 - 9 km ENE of Coyuquilla Norte, Mexico</t>
  </si>
  <si>
    <t>18-04-2014 14:27</t>
  </si>
  <si>
    <t>Coyuquilla Norte, Mexico</t>
  </si>
  <si>
    <t>M 6.6 - 75 km S of Kirakira, Solomon Islands</t>
  </si>
  <si>
    <t>13-04-2014 13:24</t>
  </si>
  <si>
    <t>M 7.4 - 112 km S of Kirakira, Solomon Islands</t>
  </si>
  <si>
    <t>13-04-2014 12:36</t>
  </si>
  <si>
    <t>M 7.6 - 93 km SSE of Kirakira, Solomon Islands</t>
  </si>
  <si>
    <t>M 6.6 - 15 km N of Bel√©n, Nicaragua</t>
  </si>
  <si>
    <t>Bel√©n, Nicaragua</t>
  </si>
  <si>
    <t>Nicaragua</t>
  </si>
  <si>
    <t>M 6.5 - 78 km SW of Panguna, Papua New Guinea</t>
  </si>
  <si>
    <t>M 7.1 - 56 km WSW of Panguna, Papua New Guinea</t>
  </si>
  <si>
    <t>M 7.7 - 53 km SW of Iquique, Chile</t>
  </si>
  <si>
    <t>Iquique, Chile</t>
  </si>
  <si>
    <t>M 6.5 - 45 km WSW of Iquique, Chile</t>
  </si>
  <si>
    <t>M 6.9 - 90 km WNW of Iquique, Chile</t>
  </si>
  <si>
    <t>M 8.2 - 93 km NW of Iquique, Chile</t>
  </si>
  <si>
    <t>M 6.7 - 63 km WNW of Iquique, Chile</t>
  </si>
  <si>
    <t>16-03-2014 21:16</t>
  </si>
  <si>
    <t>M 6.8 - 77 km WNW of Indianola, California</t>
  </si>
  <si>
    <t>nc</t>
  </si>
  <si>
    <t>Indianola, California</t>
  </si>
  <si>
    <t>M 6.5 - 109 km NW of Nago, Japan</t>
  </si>
  <si>
    <t>Nago, Japan</t>
  </si>
  <si>
    <t>M 6.5 - 171 km NNE of Greenland, Barbados</t>
  </si>
  <si>
    <t>18-02-2014 09:27</t>
  </si>
  <si>
    <t>Greenland, Barbados</t>
  </si>
  <si>
    <t>M 6.9 - 272 km ESE of Hotan, China</t>
  </si>
  <si>
    <t>Hotan, China</t>
  </si>
  <si>
    <t>M 6.5 - 32 km E of Port-Olry, Vanuatu</t>
  </si>
  <si>
    <t>M 6.5 - south of the Kermadec Islands</t>
  </si>
  <si>
    <t>M 6.5 - 32 km W of Sola, Vanuatu</t>
  </si>
  <si>
    <t>M 6.5 - Fiji region</t>
  </si>
  <si>
    <t>23-11-2013 07:48</t>
  </si>
  <si>
    <t>M 7.7 - Scotia Sea</t>
  </si>
  <si>
    <t>17-11-2013 09:04</t>
  </si>
  <si>
    <t>Scotia Sea</t>
  </si>
  <si>
    <t>M 6.9 - Scotia Sea</t>
  </si>
  <si>
    <t>16-11-2013 03:34</t>
  </si>
  <si>
    <t>M 6.6 - 41 km SSW of Coquimbo, Chile</t>
  </si>
  <si>
    <t>31-10-2013 23:03</t>
  </si>
  <si>
    <t>M 7.1 - off the east coast of Honshu, Japan</t>
  </si>
  <si>
    <t>25-10-2013 17:10</t>
  </si>
  <si>
    <t>off the east coast of Honshu, Japan</t>
  </si>
  <si>
    <t>M 6.6 - 98 km SW of Etchoropo, Mexico</t>
  </si>
  <si>
    <t>19-10-2013 17:54</t>
  </si>
  <si>
    <t>Etchoropo, Mexico</t>
  </si>
  <si>
    <t>M 6.8 - 62 km WSW of Panguna, Papua New Guinea</t>
  </si>
  <si>
    <t>16-10-2013 10:30</t>
  </si>
  <si>
    <t>M 7.1 - 4 km SE of Sagbayan, Philippines</t>
  </si>
  <si>
    <t>15-10-2013 00:12</t>
  </si>
  <si>
    <t>Sagbayan, Philippines</t>
  </si>
  <si>
    <t>M 6.6 - 36 km W of K√≠ssamos, Greece</t>
  </si>
  <si>
    <t>K√≠ssamos, Greece</t>
  </si>
  <si>
    <t>M 6.7 - Sea of Okhotsk</t>
  </si>
  <si>
    <t>Okhotsk</t>
  </si>
  <si>
    <t>30-09-2013 05:55</t>
  </si>
  <si>
    <t>M 6.8 - 129 km WSW of Khuzdar, Pakistan</t>
  </si>
  <si>
    <t>28-09-2013 07:34</t>
  </si>
  <si>
    <t>Khuzdar, Pakistan</t>
  </si>
  <si>
    <t>Pakistan</t>
  </si>
  <si>
    <t>M 7.1 - 16 km WSW of Atiquipa, Peru</t>
  </si>
  <si>
    <t>25-09-2013 16:42</t>
  </si>
  <si>
    <t>M 7.7 - 113 km NW of Bela, Pakistan</t>
  </si>
  <si>
    <t>24-09-2013 11:29</t>
  </si>
  <si>
    <t>Bela, Pakistan</t>
  </si>
  <si>
    <t>M 6.5 - 81 km SSW of Atka, Alaska</t>
  </si>
  <si>
    <t>Atka, Alaska</t>
  </si>
  <si>
    <t>M 6.5 - Izu Islands, Japan region</t>
  </si>
  <si>
    <t>Izu Islands, Japan region</t>
  </si>
  <si>
    <t>M 6.5 - 180 km NE of Lospalos, Timor Leste</t>
  </si>
  <si>
    <t>M 7.0 - 101 km SW of Atka, Alaska</t>
  </si>
  <si>
    <t>30-08-2013 16:25</t>
  </si>
  <si>
    <t>M 6.5 - 29 km SE of Blenheim, New Zealand</t>
  </si>
  <si>
    <t>16-08-2013 02:31</t>
  </si>
  <si>
    <t>M 6.7 - 101 km WSW of Bah√≠a Solano, Colombia</t>
  </si>
  <si>
    <t>13-08-2013 15:43</t>
  </si>
  <si>
    <t>Bah√≠a Solano, Colombia</t>
  </si>
  <si>
    <t>M 6.5 - 38 km ESE of Blenheim, New Zealand</t>
  </si>
  <si>
    <t>21-07-2013 05:09</t>
  </si>
  <si>
    <t>M 7.3 - South Sandwich Islands region</t>
  </si>
  <si>
    <t>15-07-2013 14:03</t>
  </si>
  <si>
    <t>M 6.6 - 26 km NE of Kandrian, Papua New Guinea</t>
  </si>
  <si>
    <t>M 7.3 - 190 km ENE of Kokopo, Papua New Guinea</t>
  </si>
  <si>
    <t>M 6.6 - northern Mid-Atlantic Ridge</t>
  </si>
  <si>
    <t>24-06-2013 22:04</t>
  </si>
  <si>
    <t>northern Mid-Atlantic Ridge</t>
  </si>
  <si>
    <t>M 6.5 - 44 km W of Masachapa, Nicaragua</t>
  </si>
  <si>
    <t>15-06-2013 17:34</t>
  </si>
  <si>
    <t>M 6.7 - south of Java, Indonesia</t>
  </si>
  <si>
    <t>13-06-2013 16:47</t>
  </si>
  <si>
    <t>Java, Indonesia</t>
  </si>
  <si>
    <t>24-05-2013 14:56</t>
  </si>
  <si>
    <t>M 8.3 - Sea of Okhotsk</t>
  </si>
  <si>
    <t>24-05-2013 05:44</t>
  </si>
  <si>
    <t>M 7.4 - 292 km SW of Vaini, Tonga</t>
  </si>
  <si>
    <t>23-05-2013 17:19</t>
  </si>
  <si>
    <t>Vaini, Tonga</t>
  </si>
  <si>
    <t>M 6.8 - Pagan region, Northern Mariana Islands</t>
  </si>
  <si>
    <t>14-05-2013 00:32</t>
  </si>
  <si>
    <t>M 6.5 - 33 km N of Rabaul, Papua New Guinea</t>
  </si>
  <si>
    <t>23-04-2013 23:14</t>
  </si>
  <si>
    <t>M 6.6 - 56 km WSW of Linqiong, China</t>
  </si>
  <si>
    <t>20-04-2013 00:02</t>
  </si>
  <si>
    <t>Linqiong, China</t>
  </si>
  <si>
    <t>M 7.2 - 252 km ENE of Kuril‚Äôsk, Russia</t>
  </si>
  <si>
    <t>19-04-2013 03:05</t>
  </si>
  <si>
    <t>M 6.6 - 23 km ESE of Aitape, Papua New Guinea</t>
  </si>
  <si>
    <t>16-04-2013 22:55</t>
  </si>
  <si>
    <t>Aitape, Papua New Guinea</t>
  </si>
  <si>
    <t>M 7.7 - 79 km ESE of Kh?sh, Iran</t>
  </si>
  <si>
    <t>16-04-2013 10:44</t>
  </si>
  <si>
    <t>Kh?sh, Iran</t>
  </si>
  <si>
    <t>M 6.6 - 98 km W of Panguna, Papua New Guinea</t>
  </si>
  <si>
    <t>14-04-2013 01:32</t>
  </si>
  <si>
    <t>M 7.0 - 260 km WSW of Abepura, Indonesia</t>
  </si>
  <si>
    <t>M 6.5 - 36 km E of Finschhafen, Papua New Guinea</t>
  </si>
  <si>
    <t>M 6.5 - 87 km SE of Ozernovskiy, Russia</t>
  </si>
  <si>
    <t>M 6.9 - 81 km SE of Ozernovskiy, Russia</t>
  </si>
  <si>
    <t>28-02-2013 14:05</t>
  </si>
  <si>
    <t>M 6.6 - 183 km SW of Belaya Gora, Russia</t>
  </si>
  <si>
    <t>14-02-2013 13:13</t>
  </si>
  <si>
    <t>Belaya Gora, Russia</t>
  </si>
  <si>
    <t>M 6.6 - 30 km SSW of Lata, Solomon Islands</t>
  </si>
  <si>
    <t>M 6.9 - 2 km NNE of Yacuanquer, Colombia</t>
  </si>
  <si>
    <t>Yacuanquer, Colombia</t>
  </si>
  <si>
    <t>Colombia</t>
  </si>
  <si>
    <t>M 7.1 - 32 km SE of Lata, Solomon Islands</t>
  </si>
  <si>
    <t>M 6.8 - 22 km ESE of Lata, Solomon Islands</t>
  </si>
  <si>
    <t>M 6.7 - 33 km SSW of Lata, Solomon Islands</t>
  </si>
  <si>
    <t>M 7.0 - 33 km NW of Lata, Solomon Islands</t>
  </si>
  <si>
    <t>M 7.1 - 112 km WSW of Lata, Solomon Islands</t>
  </si>
  <si>
    <t>M 8.0 - 75 km W of Lata, Solomon Islands</t>
  </si>
  <si>
    <t>M 6.9 - 18 km SSW of Obihiro, Japan</t>
  </si>
  <si>
    <t>Obihiro, Japan</t>
  </si>
  <si>
    <t>M 6.8 - 54 km N of Vallenar, Chile</t>
  </si>
  <si>
    <t>30-01-2013 20:15</t>
  </si>
  <si>
    <t>M 7.5 - 110 km SW of Edna Bay, Alaska</t>
  </si>
  <si>
    <t>Edna Bay, Alaska</t>
  </si>
  <si>
    <t>M 6.7 - 59 km SSW of Sola, Vanuatu</t>
  </si>
  <si>
    <t>21-12-2012 22:28</t>
  </si>
  <si>
    <t>M 7.1 - Banda Sea</t>
  </si>
  <si>
    <t>M 7.3 - 234 km SE of ?funato, Japan</t>
  </si>
  <si>
    <t>M 6.5 - 32 km SW of Champerico, Guatemala</t>
  </si>
  <si>
    <t>Champerico, Guatemala</t>
  </si>
  <si>
    <t>M 6.8 - 51 km NNE of Shwebo, Myanmar</t>
  </si>
  <si>
    <t>Shwebo, Myanmar</t>
  </si>
  <si>
    <t>M 7.4 - 33 km S of Champerico, Guatemala</t>
  </si>
  <si>
    <t>M 7.8 - 206 km SW of Prince Rupert, Canada</t>
  </si>
  <si>
    <t>28-10-2012 03:04</t>
  </si>
  <si>
    <t>Prince Rupert, Canada</t>
  </si>
  <si>
    <t>Canada</t>
  </si>
  <si>
    <t>M 6.5 - Costa Rica</t>
  </si>
  <si>
    <t>24-10-2012 00:45</t>
  </si>
  <si>
    <t>M 6.6 - 163 km ENE of Tual, Indonesia</t>
  </si>
  <si>
    <t>Tual, Indonesia</t>
  </si>
  <si>
    <t>M 7.3 - 11 km WNW of San Agust√≠n, Colombia</t>
  </si>
  <si>
    <t>30-09-2012 16:31</t>
  </si>
  <si>
    <t>San Agust√≠n, Colombia</t>
  </si>
  <si>
    <t>M 7.6 - 11 km ENE of Hojancha, Costa Rica</t>
  </si>
  <si>
    <t>Hojancha, Costa Rica</t>
  </si>
  <si>
    <t>M 7.6 - 89 km E of Sulangan, Philippines</t>
  </si>
  <si>
    <t>31-08-2012 12:47</t>
  </si>
  <si>
    <t>Sulangan, Philippines</t>
  </si>
  <si>
    <t>M 7.3 - 126 km S of Puerto El Triunfo, El Salvador</t>
  </si>
  <si>
    <t>27-08-2012 04:37</t>
  </si>
  <si>
    <t>M 6.6 - 140 km WNW of Tobelo, Indonesia</t>
  </si>
  <si>
    <t>26-08-2012 15:05</t>
  </si>
  <si>
    <t>M 7.7 - 156 km ENE of Poronaysk, Russia</t>
  </si>
  <si>
    <t>14-08-2012 02:59</t>
  </si>
  <si>
    <t>Poronaysk, Russia</t>
  </si>
  <si>
    <t>M 6.5 - 105 km ESE of Kokopo, Papua New Guinea</t>
  </si>
  <si>
    <t>28-07-2012 20:03</t>
  </si>
  <si>
    <t>M 6.6 - 76 km W of Neiafu, Tonga</t>
  </si>
  <si>
    <t>28-04-2012 10:08</t>
  </si>
  <si>
    <t>Tonga</t>
  </si>
  <si>
    <t>M 6.7 - 86 km SSE of Manokwari, Indonesia</t>
  </si>
  <si>
    <t>21-04-2012 01:16</t>
  </si>
  <si>
    <t>Manokwari, Indonesia</t>
  </si>
  <si>
    <t>M 6.8 - 140 km N of Lae, Papua New Guinea</t>
  </si>
  <si>
    <t>17-04-2012 07:13</t>
  </si>
  <si>
    <t>Lae, Papua New Guinea</t>
  </si>
  <si>
    <t>M 6.7 - 22 km NW of Hacienda La Calera, Chile</t>
  </si>
  <si>
    <t>17-04-2012 03:50</t>
  </si>
  <si>
    <t>Hacienda La Calera, Chile</t>
  </si>
  <si>
    <t>M 7.0 - 69 km ENE of San Luis, Mexico</t>
  </si>
  <si>
    <t>San Luis, Mexico</t>
  </si>
  <si>
    <t>M 6.5 - 41 km NW of El Habillal, Mexico</t>
  </si>
  <si>
    <t>El Habillal, Mexico</t>
  </si>
  <si>
    <t>M 8.2 - off the west coast of northern Sumatra</t>
  </si>
  <si>
    <t>off the west coast of northern Sumatra</t>
  </si>
  <si>
    <t>M 8.6 - off the west coast of northern Sumatra</t>
  </si>
  <si>
    <t>official</t>
  </si>
  <si>
    <t>M 7.1 - 23 km NE of Constituci√≥n, Chile</t>
  </si>
  <si>
    <t>25-03-2012 22:37</t>
  </si>
  <si>
    <t>M 6.6 - 11 km ENE of Kainantu, Papua New Guinea</t>
  </si>
  <si>
    <t>21-03-2012 22:15</t>
  </si>
  <si>
    <t>M 7.4 - 6 km E of Santiago Llano Grande, Mexico</t>
  </si>
  <si>
    <t>20-03-2012 18:02</t>
  </si>
  <si>
    <t>Santiago Llano Grande, Mexico</t>
  </si>
  <si>
    <t>M 6.7 - 38 km NE of Saryg-Sep, Russia</t>
  </si>
  <si>
    <t>26-02-2012 06:17</t>
  </si>
  <si>
    <t>Saryg-Sep, Russia</t>
  </si>
  <si>
    <t>M 6.7 - 2 km NNE of Jimalalud, Philippines</t>
  </si>
  <si>
    <t>Jimalalud, Philippines</t>
  </si>
  <si>
    <t>M 7.1 - 125 km W of Port-Vila, Vanuatu</t>
  </si>
  <si>
    <t>M 7.2 - off the west coast of northern Sumatra</t>
  </si>
  <si>
    <t>M 6.6 - 45 km NNE of Saryg-Sep, Russia</t>
  </si>
  <si>
    <t>27-12-2011 15:21</t>
  </si>
  <si>
    <t>M 7.1 - 25 km SSE of Wau, Papua New Guinea</t>
  </si>
  <si>
    <t>14-12-2011 05:04</t>
  </si>
  <si>
    <t>Wau, Papua New Guinea</t>
  </si>
  <si>
    <t>M 6.5 - 6 km SSW of Nuevo Balsas, Mexico</t>
  </si>
  <si>
    <t>Nuevo Balsas, Mexico</t>
  </si>
  <si>
    <t>M 6.9 - 39 km SW of Santiago, Peru</t>
  </si>
  <si>
    <t>28-10-2011 18:54</t>
  </si>
  <si>
    <t>Santiago, Peru</t>
  </si>
  <si>
    <t>M 7.1 - 27 km NNE of Van, Turkey</t>
  </si>
  <si>
    <t>23-10-2011 10:41</t>
  </si>
  <si>
    <t>Van, Turkey</t>
  </si>
  <si>
    <t>M 6.5 - 4 km ESE of Finschhafen, Papua New Guinea</t>
  </si>
  <si>
    <t>14-10-2011 03:35</t>
  </si>
  <si>
    <t>M 6.9 - 43 km NW of Mangan, India</t>
  </si>
  <si>
    <t>18-09-2011 12:40</t>
  </si>
  <si>
    <t>Mangan, India</t>
  </si>
  <si>
    <t>M 6.7 - 99 km NE of Miyako, Japan</t>
  </si>
  <si>
    <t>16-09-2011 19:26</t>
  </si>
  <si>
    <t>M 6.7 - 68 km WSW of Kabanjahe, Indonesia</t>
  </si>
  <si>
    <t>Kabanjahe, Indonesia</t>
  </si>
  <si>
    <t>M 7.0 - 133 km SSE of Isangel, Vanuatu</t>
  </si>
  <si>
    <t>M 7.0 - 64 km ESE of Contamana, Peru</t>
  </si>
  <si>
    <t>24-08-2011 17:46</t>
  </si>
  <si>
    <t>Contamana, Peru</t>
  </si>
  <si>
    <t>M 7.1 - 64 km S of Port-Vila, Vanuatu</t>
  </si>
  <si>
    <t>20-08-2011 18:19</t>
  </si>
  <si>
    <t>M 6.5 - 65 km SSW of Port-Vila, Vanuatu</t>
  </si>
  <si>
    <t>20-08-2011 17:13</t>
  </si>
  <si>
    <t>M 7.2 - 71 km SSW of Port-Vila, Vanuatu</t>
  </si>
  <si>
    <t>20-08-2011 16:55</t>
  </si>
  <si>
    <t>M 6.6 - 103 km NE of Angoram, Papua New Guinea</t>
  </si>
  <si>
    <t>31-07-2011 23:38</t>
  </si>
  <si>
    <t>M 7.6 - Kermadec Islands region</t>
  </si>
  <si>
    <t>M 6.7 - 41 km NNE of Miyako, Japan</t>
  </si>
  <si>
    <t>22-06-2011 21:50</t>
  </si>
  <si>
    <t>M 6.8 - 124 km NE of W√©, New Caledonia</t>
  </si>
  <si>
    <t>W√©, New Caledonia</t>
  </si>
  <si>
    <t>M 6.8 - 79 km W of Kirakira, Solomon Islands</t>
  </si>
  <si>
    <t>23-04-2011 04:16</t>
  </si>
  <si>
    <t>M 6.6 - 17 km SSW of Ishikawa, Japan</t>
  </si>
  <si>
    <t>Ishikawa, Japan</t>
  </si>
  <si>
    <t>M 7.1 - 29 km ESE of Ishinomaki, Japan</t>
  </si>
  <si>
    <t>M 6.6 - 7 km SW of Helio Garc√≠a Alfaro, Mexico</t>
  </si>
  <si>
    <t>Helio Garc√≠a Alfaro, Mexico</t>
  </si>
  <si>
    <t>M 6.9 - 27 km NNW of Tachilek, Myanmar</t>
  </si>
  <si>
    <t>24-03-2011 13:55</t>
  </si>
  <si>
    <t>Tachilek, Myanmar</t>
  </si>
  <si>
    <t>M 6.6 - 50 km ESE of ?tsuchi, Japan</t>
  </si>
  <si>
    <t>ms</t>
  </si>
  <si>
    <t>?tsuchi, Japan</t>
  </si>
  <si>
    <t>M 6.5 - 81 km NE of Hasaki, Japan</t>
  </si>
  <si>
    <t>mb</t>
  </si>
  <si>
    <t>Hasaki, Japan</t>
  </si>
  <si>
    <t>M 7.7 - 272 km ESE of Kamaishi, Japan</t>
  </si>
  <si>
    <t>Kamaishi, Japan</t>
  </si>
  <si>
    <t>M 7.9 - 47 km E of ?arai, Japan</t>
  </si>
  <si>
    <t>?arai, Japan</t>
  </si>
  <si>
    <t>M 9.1 - 2011 Great Tohoku Earthquake, Japan</t>
  </si>
  <si>
    <t>2011 Great Tohoku Earthquake, Japan</t>
  </si>
  <si>
    <t>M 7.3 - 120 km SE of ?funato, Japan</t>
  </si>
  <si>
    <t>M 6.7 - 38 km W of Constituci√≥n, Chile</t>
  </si>
  <si>
    <t>14-02-2011 03:40</t>
  </si>
  <si>
    <t>M 6.9 - 21 km N of Tom√©, Chile</t>
  </si>
  <si>
    <t>Tom√©, Chile</t>
  </si>
  <si>
    <t>M 7.2 - 46 km WSW of Dalbandin, Pakistan</t>
  </si>
  <si>
    <t>18-01-2011 20:23</t>
  </si>
  <si>
    <t>Dalbandin, Pakistan</t>
  </si>
  <si>
    <t>M 7.0 - 118 km NNE of Tadine, New Caledonia</t>
  </si>
  <si>
    <t>13-01-2011 16:16</t>
  </si>
  <si>
    <t>M 7.2 - 42 km NNW of Carahue, Chile</t>
  </si>
  <si>
    <t>Carahue, Chile</t>
  </si>
  <si>
    <t>M 7.3 - 141 km W of Isangel, Vanuatu</t>
  </si>
  <si>
    <t>25-12-2010 13:16</t>
  </si>
  <si>
    <t>M 6.7 - 111 km SE of Bam, Iran</t>
  </si>
  <si>
    <t>20-12-2010 18:41</t>
  </si>
  <si>
    <t>Bam, Iran</t>
  </si>
  <si>
    <t>M 6.6 - 52 km ENE of Kandrian, Papua New Guinea</t>
  </si>
  <si>
    <t>M 7.8 - 215 km SW of Sungai Penuh, Indonesia</t>
  </si>
  <si>
    <t>25-10-2010 14:42</t>
  </si>
  <si>
    <t>M 6.7 - 97 km SSW of El Huitusi, Mexico</t>
  </si>
  <si>
    <t>21-10-2010 17:53</t>
  </si>
  <si>
    <t>El Huitusi, Mexico</t>
  </si>
  <si>
    <t>M 7.0 - Near the south coast of Papua, Indonesia</t>
  </si>
  <si>
    <t>29-09-2010 17:11</t>
  </si>
  <si>
    <t>Papua, Indonesia</t>
  </si>
  <si>
    <t>M 7.0 - 19 km NE of Methven, New Zealand</t>
  </si>
  <si>
    <t>Methven, New Zealand</t>
  </si>
  <si>
    <t>M 7.1 - Ecuador</t>
  </si>
  <si>
    <t>M 7.3 - 33 km NW of Port-Vila, Vanuatu</t>
  </si>
  <si>
    <t>M 7.0 - 72 km ESE of Kimbe, Papua New Guinea</t>
  </si>
  <si>
    <t>M 6.5 - 118 km ESE of Madang, Papua New Guinea</t>
  </si>
  <si>
    <t>Madang, Papua New Guinea</t>
  </si>
  <si>
    <t>M 7.6 - 61 km W of Bantogon, Philippines</t>
  </si>
  <si>
    <t>23-07-2010 22:51</t>
  </si>
  <si>
    <t>Bantogon, Philippines</t>
  </si>
  <si>
    <t>M 7.3 - New Britain region, Papua New Guinea</t>
  </si>
  <si>
    <t>18-07-2010 13:34</t>
  </si>
  <si>
    <t>New Britain region, Papua New Guinea</t>
  </si>
  <si>
    <t>M 6.9 - 56 km SE of Kimbe, Papua New Guinea</t>
  </si>
  <si>
    <t>18-07-2010 13:04</t>
  </si>
  <si>
    <t>M 6.6 - 30 km SSE of Ca√±ete, Chile</t>
  </si>
  <si>
    <t>14-07-2010 08:32</t>
  </si>
  <si>
    <t>Ca√±ete, Chile</t>
  </si>
  <si>
    <t>M 6.7 - 55 km WSW of Kirakira, Solomon Islands</t>
  </si>
  <si>
    <t>26-06-2010 05:30</t>
  </si>
  <si>
    <t>M 6.6 - 135 km SSE of Biak, Indonesia</t>
  </si>
  <si>
    <t>16-06-2010 03:58</t>
  </si>
  <si>
    <t>Biak, Indonesia</t>
  </si>
  <si>
    <t>M 7.0 - 121 km SSE of Biak, Indonesia</t>
  </si>
  <si>
    <t>16-06-2010 03:16</t>
  </si>
  <si>
    <t>M 7.5 - Nicobar Islands, India region</t>
  </si>
  <si>
    <t>M 7.2 - 100 km WNW of Sola, Vanuatu</t>
  </si>
  <si>
    <t>27-05-2010 17:14</t>
  </si>
  <si>
    <t>M 7.2 - 45 km SSW of Meulaboh, Indonesia</t>
  </si>
  <si>
    <t>Meulaboh, Indonesia</t>
  </si>
  <si>
    <t>M 6.9 - 233 km NNW of Qamdo, China</t>
  </si>
  <si>
    <t>13-04-2010 23:49</t>
  </si>
  <si>
    <t>Qamdo, China</t>
  </si>
  <si>
    <t>M 6.9 - 99 km WSW of Kirakira, Solomon Islands</t>
  </si>
  <si>
    <t>M 7.8 - 75 km E of Sinabang, Indonesia</t>
  </si>
  <si>
    <t>M 7.2 - 12km SW of Delta, B.C., MX</t>
  </si>
  <si>
    <t>Delta, B.C., MX</t>
  </si>
  <si>
    <t>M 6.6 - 217 km N of Bamboo Flat, India</t>
  </si>
  <si>
    <t>30-03-2010 16:54</t>
  </si>
  <si>
    <t>Bamboo Flat, India</t>
  </si>
  <si>
    <t>M 6.7 - 52 km NNW of Tom√©, Chile</t>
  </si>
  <si>
    <t>16-03-2010 02:21</t>
  </si>
  <si>
    <t>M 6.5 - 59 km ENE of Namie, Japan</t>
  </si>
  <si>
    <t>14-03-2010 08:08</t>
  </si>
  <si>
    <t>M 7.0 - 52 km NW of Santa Cruz, Chile</t>
  </si>
  <si>
    <t>Santa Cruz, Chile</t>
  </si>
  <si>
    <t>M 6.9 - 61 km NW of Santa Cruz, Chile</t>
  </si>
  <si>
    <t>M 6.8 - 141 km W of Bengkulu, Indonesia</t>
  </si>
  <si>
    <t>M 6.6 - 23 km WNW of Talcahuano, Chile</t>
  </si>
  <si>
    <t>Talcahuano, Chile</t>
  </si>
  <si>
    <t>M 6.5 - 48 km NW of Sola, Vanuatu</t>
  </si>
  <si>
    <t>M 7.4 - 124 km W of Lebu, Chile</t>
  </si>
  <si>
    <t>27-02-2010 08:01</t>
  </si>
  <si>
    <t>Lebu, Chile</t>
  </si>
  <si>
    <t>M 8.8 - 36 km WNW of Quirihue, Chile</t>
  </si>
  <si>
    <t>27-02-2010 06:34</t>
  </si>
  <si>
    <t>Quirihue, Chile</t>
  </si>
  <si>
    <t>M 7.0 - 70 km SE of Katsuren-haebaru, Japan</t>
  </si>
  <si>
    <t>26-02-2010 20:31</t>
  </si>
  <si>
    <t>Katsuren-haebaru, Japan</t>
  </si>
  <si>
    <t>M 7.0 - 10 km SE of L√©og√¢ne, Haiti</t>
  </si>
  <si>
    <t>L√©og√¢ne, Haiti</t>
  </si>
  <si>
    <t>M 6.5 - 37 km WNW of Ferndale, California</t>
  </si>
  <si>
    <t>M 6.8 - 127 km SE of Gizo, Solomon Islands</t>
  </si>
  <si>
    <t>M 7.1 - 94 km SE of Gizo, Solomon Islands</t>
  </si>
  <si>
    <t>M 6.6 - 98 km SE of Gizo, Solomon Islands</t>
  </si>
  <si>
    <t>M 6.5 - 92 km N of Iquique, Chile</t>
  </si>
  <si>
    <t>13-11-2009 03:05</t>
  </si>
  <si>
    <t>M 7.3 - 77 km ENE of Ba, Fiji</t>
  </si>
  <si>
    <t>Ba, Fiji</t>
  </si>
  <si>
    <t>M 6.6 - 29 km NNW of Bima, Indonesia</t>
  </si>
  <si>
    <t>Bima, Indonesia</t>
  </si>
  <si>
    <t>M 6.8 - 98 km NNE of Naze, Japan</t>
  </si>
  <si>
    <t>30-10-2009 07:03</t>
  </si>
  <si>
    <t>M 6.9 - 268 km WSW of Tual, Indonesia</t>
  </si>
  <si>
    <t>24-10-2009 14:40</t>
  </si>
  <si>
    <t>M 6.8 - 188 km WNW of Sola, Vanuatu</t>
  </si>
  <si>
    <t>M 7.4 - 143 km NW of Sola, Vanuatu</t>
  </si>
  <si>
    <t>M 7.8 - 196 km NW of Sola, Vanuatu</t>
  </si>
  <si>
    <t>M 7.7 - 148 km NW of Sola, Vanuatu</t>
  </si>
  <si>
    <t>M 6.6 - 49 km SSE of Sungai Penuh, Indonesia</t>
  </si>
  <si>
    <t>M 7.6 - 30 km WSW of Pariaman, Indonesia</t>
  </si>
  <si>
    <t>30-09-2009 10:16</t>
  </si>
  <si>
    <t>M 8.1 - 168 km SSW of Matavai, Samoa</t>
  </si>
  <si>
    <t>29-09-2009 17:48</t>
  </si>
  <si>
    <t>Matavai, Samoa</t>
  </si>
  <si>
    <t>M 7.0 - 66 km SSW of Banjar, Indonesia</t>
  </si>
  <si>
    <t>Banjar, Indonesia</t>
  </si>
  <si>
    <t>M 6.7 - 112 km WSW of Padang, Indonesia</t>
  </si>
  <si>
    <t>16-08-2009 07:38</t>
  </si>
  <si>
    <t>Padang, Indonesia</t>
  </si>
  <si>
    <t>M 6.6 - 244 km SSE of Tateyama, Japan</t>
  </si>
  <si>
    <t>Tateyama, Japan</t>
  </si>
  <si>
    <t>M 7.5 - 266 km N of Bamboo Flat, India</t>
  </si>
  <si>
    <t>M 7.1 - 161 km S of ?yama, Japan</t>
  </si>
  <si>
    <t>?yama, Japan</t>
  </si>
  <si>
    <t>M 6.9 - 96 km WNW of Bah√≠a de Kino, Mexico</t>
  </si>
  <si>
    <t>Bah√≠a de Kino, Mexico</t>
  </si>
  <si>
    <t>M 7.8 - 97 km WSW of Te Anau, New Zealand</t>
  </si>
  <si>
    <t>15-07-2009 09:22</t>
  </si>
  <si>
    <t>Te Anau, New Zealand</t>
  </si>
  <si>
    <t>M 6.7 - 190 km ESE of Kokopo, Papua New Guinea</t>
  </si>
  <si>
    <t>23-06-2009 14:19</t>
  </si>
  <si>
    <t>M 7.3 - 46 km NW of Guanaja, Honduras</t>
  </si>
  <si>
    <t>28-05-2009 08:24</t>
  </si>
  <si>
    <t>Guanaja, Honduras</t>
  </si>
  <si>
    <t>M 7.6 - 191 km S of ‚ÄòOhonua, Tonga</t>
  </si>
  <si>
    <t>19-03-2009 18:17</t>
  </si>
  <si>
    <t>‚ÄòOhonua, Tonga</t>
  </si>
  <si>
    <t>M 7.2 - 196 km SSE of Sarangani, Philippines</t>
  </si>
  <si>
    <t>M 7.4 - 86 km WNW of Manokwari, Indonesia</t>
  </si>
  <si>
    <t>M 6.6 - 50 km S of Jurm, Afghanistan</t>
  </si>
  <si>
    <t>Jurm, Afghanistan</t>
  </si>
  <si>
    <t>M 7.7 - 140 km WNW of Manokwari, Indonesia</t>
  </si>
  <si>
    <t>M 7.4 - 135 km NW of Gorontalo, Indonesia</t>
  </si>
  <si>
    <t>16-11-2008 17:02</t>
  </si>
  <si>
    <t>Gorontalo, Indonesia</t>
  </si>
  <si>
    <t>M 6.7 - 19 km SW of Brisas Barra de Suchiate, Mexico</t>
  </si>
  <si>
    <t>16-10-2008 19:41</t>
  </si>
  <si>
    <t>Brisas Barra de Suchiate, Mexico</t>
  </si>
  <si>
    <t>M 6.7 - 131 km SE of Nookat, Kyrgyzstan</t>
  </si>
  <si>
    <t>Nookat, Kyrgyzstan</t>
  </si>
  <si>
    <t>Kyrgyzstan</t>
  </si>
  <si>
    <t>M 6.8 - 122 km SSE of Obihiro, Japan</t>
  </si>
  <si>
    <t>M 6.6 - 73 km WNW of Tobelo, Indonesia</t>
  </si>
  <si>
    <t>M 6.9 - 75 km WNW of Sola, Vanuatu</t>
  </si>
  <si>
    <t>M 6.7 - 221 km NE of Jumla, Nepal</t>
  </si>
  <si>
    <t>25-08-2008 13:21</t>
  </si>
  <si>
    <t>Jumla, Nepal</t>
  </si>
  <si>
    <t>M 6.8 - 29 km ENE of Morioka, Japan</t>
  </si>
  <si>
    <t>23-07-2008 15:26</t>
  </si>
  <si>
    <t>Morioka, Japan</t>
  </si>
  <si>
    <t>M 7.0 - 107 km E of Namie, Japan</t>
  </si>
  <si>
    <t>19-07-2008 02:39</t>
  </si>
  <si>
    <t>M 6.9 - 151 km E of Namie, Japan</t>
  </si>
  <si>
    <t>duputel</t>
  </si>
  <si>
    <t>M 6.6 - 124 km SW of Bamboo Flat, India</t>
  </si>
  <si>
    <t>27-06-2008 11:40</t>
  </si>
  <si>
    <t>M 6.9 - 24 km WSW of Mizusawa, Japan</t>
  </si>
  <si>
    <t>13-06-2008 23:43</t>
  </si>
  <si>
    <t>Mizusawa, Japan</t>
  </si>
  <si>
    <t>M 7.9 - 58 km W of Tianpeng, China</t>
  </si>
  <si>
    <t>Tianpeng, China</t>
  </si>
  <si>
    <t>M 6.9 - 78 km NE of Hasaki, Japan</t>
  </si>
  <si>
    <t>M 7.3 - 71 km SW of Isangel, Vanuatu</t>
  </si>
  <si>
    <t>M 7.2 - 226 km SE of Hotan, China</t>
  </si>
  <si>
    <t>20-03-2008 22:32</t>
  </si>
  <si>
    <t>M 6.9 - Philippine Islands region</t>
  </si>
  <si>
    <t>Philippine Islands region</t>
  </si>
  <si>
    <t>M 6.7 - 155 km SSW of Padang, Indonesia</t>
  </si>
  <si>
    <t>25-02-2008 21:02</t>
  </si>
  <si>
    <t>M 6.6 - 161 km SSW of Padang, Indonesia</t>
  </si>
  <si>
    <t>25-02-2008 18:06</t>
  </si>
  <si>
    <t>M 7.2 - 164 km WSW of Sungai Penuh, Indonesia</t>
  </si>
  <si>
    <t>25-02-2008 08:36</t>
  </si>
  <si>
    <t>M 6.5 - 166 km WSW of Sungai Penuh, Indonesia</t>
  </si>
  <si>
    <t>24-02-2008 14:46</t>
  </si>
  <si>
    <t>M 7.4 - 56 km NW of Sinabang, Indonesia</t>
  </si>
  <si>
    <t>20-02-2008 08:08</t>
  </si>
  <si>
    <t>M 6.5 - 50 km S of Kor√≥ni, Greece</t>
  </si>
  <si>
    <t>14-02-2008 12:08</t>
  </si>
  <si>
    <t>Kor√≥ni, Greece</t>
  </si>
  <si>
    <t>M 6.9 - 35 km S of Meth√≥ni, Greece</t>
  </si>
  <si>
    <t>14-02-2008 10:09</t>
  </si>
  <si>
    <t>Meth√≥ni, Greece</t>
  </si>
  <si>
    <t>M 6.5 - 9 km SSW of General Pascual Fentes, Mexico</t>
  </si>
  <si>
    <t>General Pascual Fentes, Mexico</t>
  </si>
  <si>
    <t>M 6.6 - 46 km SSE of Gisborne, New Zealand</t>
  </si>
  <si>
    <t>20-12-2007 07:55</t>
  </si>
  <si>
    <t>M 6.7 - 80 km NNE of Antofagasta, Chile</t>
  </si>
  <si>
    <t>16-12-2007 08:09</t>
  </si>
  <si>
    <t>Ant</t>
  </si>
  <si>
    <t>M 7.4 - 18 km WNW of Basse-Pointe, Martinique</t>
  </si>
  <si>
    <t>29-11-2007 19:00</t>
  </si>
  <si>
    <t>Basse-Pointe, Martinique</t>
  </si>
  <si>
    <t>Martinique</t>
  </si>
  <si>
    <t>M 6.6 - 60 km SSE of Kirakira, Solomon Islands</t>
  </si>
  <si>
    <t>27-11-2007 11:49</t>
  </si>
  <si>
    <t>M 6.5 - 34 km N of Dompu, Indonesia</t>
  </si>
  <si>
    <t>25-11-2007 19:53</t>
  </si>
  <si>
    <t>Dompu, Indonesia</t>
  </si>
  <si>
    <t>M 6.5 - 28 km NNW of Dompu, Indonesia</t>
  </si>
  <si>
    <t>25-11-2007 16:02</t>
  </si>
  <si>
    <t>M 6.8 - 107 km N of Lae, Papua New Guinea</t>
  </si>
  <si>
    <t>22-11-2007 08:48</t>
  </si>
  <si>
    <t>M 6.8 - 30 km E of Macas, Ecuador</t>
  </si>
  <si>
    <t>16-11-2007 03:13</t>
  </si>
  <si>
    <t>Macas, Ecuador</t>
  </si>
  <si>
    <t>M 6.8 - 82 km NNE of Antofagasta, Chile</t>
  </si>
  <si>
    <t>15-11-2007 15:05</t>
  </si>
  <si>
    <t>M 7.7 - 36 km ESE of Tocopilla, Chile</t>
  </si>
  <si>
    <t>14-11-2007 15:40</t>
  </si>
  <si>
    <t>Tocopilla, Chile</t>
  </si>
  <si>
    <t>M 6.8 - 138 km W of Bengkulu, Indonesia</t>
  </si>
  <si>
    <t>24-10-2007 21:02</t>
  </si>
  <si>
    <t>M 6.8 - 70 km N of Te Anau, New Zealand</t>
  </si>
  <si>
    <t>15-10-2007 12:29</t>
  </si>
  <si>
    <t>M 6.8 - 154 km ESE of Kokopo, Papua New Guinea</t>
  </si>
  <si>
    <t>26-09-2007 12:36</t>
  </si>
  <si>
    <t>M 6.7 - 118 km SSW of Padang, Indonesia</t>
  </si>
  <si>
    <t>20-09-2007 08:31</t>
  </si>
  <si>
    <t>M 7.0 - 153 km SSW of Padang, Indonesia</t>
  </si>
  <si>
    <t>13-09-2007 03:35</t>
  </si>
  <si>
    <t>M 6.5 - Kepulauan Mentawai region, Indonesia</t>
  </si>
  <si>
    <t>13-09-2007 02:30</t>
  </si>
  <si>
    <t>Kepulauan Mentawai region, Indonesia</t>
  </si>
  <si>
    <t>M 7.9 - 87 km SW of Sungai Penuh, Indonesia</t>
  </si>
  <si>
    <t>M 7.8 - 148 km WSW of Sungai Penuh, Indonesia</t>
  </si>
  <si>
    <t>M 8.4 - 122 km SW of Bengkulu, Indonesia</t>
  </si>
  <si>
    <t>M 6.8 - 39 km WNW of Timbiqu√≠, Colombia</t>
  </si>
  <si>
    <t>Timbiqu√≠, Colombia</t>
  </si>
  <si>
    <t>M 7.2 - 97 km S of Lata, Solomon Islands</t>
  </si>
  <si>
    <t>M 6.5 - 31 km WSW of Malango, Solomon Islands</t>
  </si>
  <si>
    <t>16-08-2007 08:39</t>
  </si>
  <si>
    <t>M 8.0 - 41 km SW of San Vicente de Ca√±ete, Peru</t>
  </si>
  <si>
    <t>15-08-2007 23:40</t>
  </si>
  <si>
    <t>San Vicente de Ca√±ete, Peru</t>
  </si>
  <si>
    <t>M 7.5 - 35 km NNE of Rengasdengklok, Indonesia</t>
  </si>
  <si>
    <t>Rengasdengklok, Indonesia</t>
  </si>
  <si>
    <t>M 7.2 - 56 km E of Luganville, Vanuatu</t>
  </si>
  <si>
    <t>Luganville, Vanuatu</t>
  </si>
  <si>
    <t>M 6.9 - 140 km NNW of Tobelo, Indonesia</t>
  </si>
  <si>
    <t>26-07-2007 05:40</t>
  </si>
  <si>
    <t>M 6.8 - 133 km WNW of Mikuni, Japan</t>
  </si>
  <si>
    <t>16-07-2007 14:17</t>
  </si>
  <si>
    <t>Mikuni, Japan</t>
  </si>
  <si>
    <t>M 6.6 - 20 km NNW of Kashiwazaki, Japan</t>
  </si>
  <si>
    <t>16-07-2007 01:13</t>
  </si>
  <si>
    <t>Kashiwazaki, Japan</t>
  </si>
  <si>
    <t>M 6.7 - 43 km SSE of Iztapa, Guatemala</t>
  </si>
  <si>
    <t>13-06-2007 19:29</t>
  </si>
  <si>
    <t>Iztapa, Guatemala</t>
  </si>
  <si>
    <t>M 6.9 - 113 km SSE of Panguna, Papua New Guinea</t>
  </si>
  <si>
    <t>M 6.6 - 99 km SSE of Panguna, Papua New Guinea</t>
  </si>
  <si>
    <t>M 8.1 - 45 km SSE of Gizo, Solomon Islands</t>
  </si>
  <si>
    <t>M 6.7 - 46 km NW of Nanao, Japan</t>
  </si>
  <si>
    <t>25-03-2007 00:41</t>
  </si>
  <si>
    <t>Nanao, Japan</t>
  </si>
  <si>
    <t>M 7.1 - 119 km S of Isangel, Vanuatu</t>
  </si>
  <si>
    <t>25-03-2007 00:40</t>
  </si>
  <si>
    <t>M 6.7 - 206 km SSW of Sofifi, Indonesia</t>
  </si>
  <si>
    <t>20-02-2007 08:04</t>
  </si>
  <si>
    <t>S</t>
  </si>
  <si>
    <t>M 7.5 - 126 km WNW of Ternate, Indonesia</t>
  </si>
  <si>
    <t>21-01-2007 11:27</t>
  </si>
  <si>
    <t>M 8.1 - east of the Kuril Islands</t>
  </si>
  <si>
    <t>13-01-2007 04:23</t>
  </si>
  <si>
    <t>the Kuril Islands</t>
  </si>
  <si>
    <t>M 6.9 - 26 km W of Hengchun, Taiwan</t>
  </si>
  <si>
    <t>26-12-2006 12:34</t>
  </si>
  <si>
    <t>Hengchun, Taiwan</t>
  </si>
  <si>
    <t>M 7.1 - 30 km SW of Hengchun, Taiwan</t>
  </si>
  <si>
    <t>26-12-2006 12:26</t>
  </si>
  <si>
    <t>M 8.3 - Kuril Islands</t>
  </si>
  <si>
    <t>15-11-2006 11:14</t>
  </si>
  <si>
    <t>Kuril Islands</t>
  </si>
  <si>
    <t>M 6.6 - 155 km SE of Kimbe, Papua New Guinea</t>
  </si>
  <si>
    <t>M 6.7 - 52 km SW of San Vicente de Ca√±ete, Peru</t>
  </si>
  <si>
    <t>20-10-2006 10:48</t>
  </si>
  <si>
    <t>M 6.7 - 100 km ESE of Kimbe, Papua New Guinea</t>
  </si>
  <si>
    <t>17-10-2006 01:25</t>
  </si>
  <si>
    <t>M 6.7 - 14 km SW of Puako, Hawaii</t>
  </si>
  <si>
    <t>15-10-2006 17:07</t>
  </si>
  <si>
    <t>md</t>
  </si>
  <si>
    <t>Puako, Hawaii</t>
  </si>
  <si>
    <t>M 6.9 - 201 km ESE of Hihifo, Tonga</t>
  </si>
  <si>
    <t>28-09-2006 06:22</t>
  </si>
  <si>
    <t>M 6.8 - 49 km S of Panguna, Papua New Guinea</t>
  </si>
  <si>
    <t>M 6.5 - 81 km ESE of Ozernovskiy, Russia</t>
  </si>
  <si>
    <t>24-08-2006 21:50</t>
  </si>
  <si>
    <t>M 6.8 - 51 km NE of Norsup, Vanuatu</t>
  </si>
  <si>
    <t>M 7.7 - 226 km SSW of Singaparna, Indonesia</t>
  </si>
  <si>
    <t>17-07-2006 08:19</t>
  </si>
  <si>
    <t>Singaparna, Indonesia</t>
  </si>
  <si>
    <t>M 6.5 - 111 km E of Kimbe, Papua New Guinea</t>
  </si>
  <si>
    <t>28-05-2006 03:12</t>
  </si>
  <si>
    <t>M 6.6 - 42 km NNW of Tilichiki, Russia</t>
  </si>
  <si>
    <t>22-05-2006 11:12</t>
  </si>
  <si>
    <t>Tilichiki, Russia</t>
  </si>
  <si>
    <t>M 6.8 - 256 km SSW of Singkil, Indonesia</t>
  </si>
  <si>
    <t>16-05-2006 15:28</t>
  </si>
  <si>
    <t>Singkil, Indonesia</t>
  </si>
  <si>
    <t>M 8.0 - 47 km SSE of Pangai, Tonga</t>
  </si>
  <si>
    <t>M 8.0 - 50 km ESE of Pangai, Tonga</t>
  </si>
  <si>
    <t>M 6.5 - 73 km WNW of Copiap√≥, Chile</t>
  </si>
  <si>
    <t>30-04-2006 21:40</t>
  </si>
  <si>
    <t>Copiap√≥, Chile</t>
  </si>
  <si>
    <t>M 6.7 - 78 km WNW of Copiap√≥, Chile</t>
  </si>
  <si>
    <t>30-04-2006 19:17</t>
  </si>
  <si>
    <t>M 6.6 - 80 km E of Tilichiki, Russia</t>
  </si>
  <si>
    <t>29-04-2006 16:58</t>
  </si>
  <si>
    <t>M 7.6 - 80 km NE of Tilichiki, Russia</t>
  </si>
  <si>
    <t>20-04-2006 23:25</t>
  </si>
  <si>
    <t>M 6.5 - 130 km NNW of Lautoka, Fiji</t>
  </si>
  <si>
    <t>Lautoka, Fiji</t>
  </si>
  <si>
    <t>M 6.7 - 108 km W of Ambon, Indonesia</t>
  </si>
  <si>
    <t>14-03-2006 06:57</t>
  </si>
  <si>
    <t>Ambon, Indonesia</t>
  </si>
  <si>
    <t>M 7.0 - 160 km SE of Chipinge, Zimbabwe</t>
  </si>
  <si>
    <t>22-02-2006 22:19</t>
  </si>
  <si>
    <t>Chipinge, Zimbabwe</t>
  </si>
  <si>
    <t>Mozambique</t>
  </si>
  <si>
    <t>M 6.7 - 26 km NE of K√Ωthira, Greece</t>
  </si>
  <si>
    <t>K√Ωthira, Greece</t>
  </si>
  <si>
    <t>M 6.6 - 75 km SSW of Bah√≠a de Kino, Mexico</t>
  </si>
  <si>
    <t>M 6.5 - 53 km SW of Ashk?sham, Afghanistan</t>
  </si>
  <si>
    <t>M 6.8 - 76 km ESE of Kalemie, Democratic Republic of the Congo</t>
  </si>
  <si>
    <t>Kalemie, Democratic Republic</t>
  </si>
  <si>
    <t>Tanzania</t>
  </si>
  <si>
    <t>M 6.5 - 80 km ESE of Ishinomaki, Japan</t>
  </si>
  <si>
    <t>M 6.5 - 57 km SE of Sinabang, Indonesia</t>
  </si>
  <si>
    <t>19-11-2005 14:10</t>
  </si>
  <si>
    <t>M 6.8 - 68 km NNE of San Pedro de Atacama, Chile</t>
  </si>
  <si>
    <t>17-11-2005 19:26</t>
  </si>
  <si>
    <t>M 7.6 - 21 km NNE of Muzaffar?b?d, Pakistan</t>
  </si>
  <si>
    <t>Muzaffar?b?d, Pakistan</t>
  </si>
  <si>
    <t>M 6.6 - 129 km SSW of Kokopo, Papua New Guinea</t>
  </si>
  <si>
    <t>29-09-2005 15:50</t>
  </si>
  <si>
    <t>M 7.5 - 39 km NW of Yurimaguas, Peru</t>
  </si>
  <si>
    <t>26-09-2005 01:55</t>
  </si>
  <si>
    <t>Yurimaguas, Peru</t>
  </si>
  <si>
    <t>M 7.6 - 135 km E of Kokopo, Papua New Guinea</t>
  </si>
  <si>
    <t>M 7.2 - 66 km ESE of Ishinomaki, Japan</t>
  </si>
  <si>
    <t>16-08-2005 02:46</t>
  </si>
  <si>
    <t>M 7.2 - Nicobar Islands, India region</t>
  </si>
  <si>
    <t>24-07-2005 15:42</t>
  </si>
  <si>
    <t>M 6.7 - 94 km WSW of Singkil, Indonesia</t>
  </si>
  <si>
    <t>M 6.6 - 32 km W of San Juan del Sur, Nicaragua</t>
  </si>
  <si>
    <t>San Juan del Sur, Nicaragua</t>
  </si>
  <si>
    <t>M 7.2 - 153 km W of Big Lagoon, California</t>
  </si>
  <si>
    <t>15-06-2005 02:50</t>
  </si>
  <si>
    <t>Big Lagoon, California</t>
  </si>
  <si>
    <t>M 7.8 - 102 km ENE of Iquique, Chile</t>
  </si>
  <si>
    <t>13-06-2005 22:44</t>
  </si>
  <si>
    <t>M 6.9 - 89 km WSW of Singkil, Indonesia</t>
  </si>
  <si>
    <t>19-05-2005 01:54</t>
  </si>
  <si>
    <t>M 6.7 - 125 km SW of Padangsidempuan, Indonesia</t>
  </si>
  <si>
    <t>14-05-2005 05:05</t>
  </si>
  <si>
    <t>Padangsidempuan, Indonesia</t>
  </si>
  <si>
    <t>M 6.5 - 106 km SW of Padang, Indonesia</t>
  </si>
  <si>
    <t>M 6.7 - 113 km SW of Padang, Indonesia</t>
  </si>
  <si>
    <t>M 8.6 - 78 km WSW of Singkil, Indonesia</t>
  </si>
  <si>
    <t>28-03-2005 16:09</t>
  </si>
  <si>
    <t>M 6.6 - 28 km NNW of Maebaru-ch??, Japan</t>
  </si>
  <si>
    <t>20-03-2005 01:53</t>
  </si>
  <si>
    <t>Maebaru-ch??, Japan</t>
  </si>
  <si>
    <t>M 6.8 - 99 km WNW of Sinabang, Indonesia</t>
  </si>
  <si>
    <t>26-02-2005 12:56</t>
  </si>
  <si>
    <t>M 6.5 - 81 km SSW of Katabu, Indonesia</t>
  </si>
  <si>
    <t>19-02-2005 00:04</t>
  </si>
  <si>
    <t>M 6.5 - Pulau-Pulau Talaud, Indonesia</t>
  </si>
  <si>
    <t>15-02-2005 14:42</t>
  </si>
  <si>
    <t>Pulau-Pulau Talaud, Indonesia</t>
  </si>
  <si>
    <t>M 6.7 - 52 km SW of Sola, Vanuatu</t>
  </si>
  <si>
    <t>M 7.1 - 138 km SW of Palimbang, Philippines</t>
  </si>
  <si>
    <t>Palimbang, Philippines</t>
  </si>
  <si>
    <t>M 6.6 - 161 km SE of Katsuura, Japan</t>
  </si>
  <si>
    <t>19-01-2005 06:11</t>
  </si>
  <si>
    <t>Katsuura, Japan</t>
  </si>
  <si>
    <t>26-12-2004 09:20</t>
  </si>
  <si>
    <t>M 7.2 - 284 km WNW of Sabang, Indonesia</t>
  </si>
  <si>
    <t>26-12-2004 04:21</t>
  </si>
  <si>
    <t>Sabang, Indonesia</t>
  </si>
  <si>
    <t>M 9.1 - 2004 Sumatra - Andaman Islands Earthquake</t>
  </si>
  <si>
    <t>26-12-2004 00:58</t>
  </si>
  <si>
    <t>2004 Sumatra - Andaman Islands Earthquake</t>
  </si>
  <si>
    <t>M 8.1 - north of Macquarie Island</t>
  </si>
  <si>
    <t>23-12-2004 14:59</t>
  </si>
  <si>
    <t>Macquarie Island</t>
  </si>
  <si>
    <t>M 6.8 - 36 km S of George Town, Cayman Islands</t>
  </si>
  <si>
    <t>14-12-2004 23:20</t>
  </si>
  <si>
    <t>George Town, Cayman Islands</t>
  </si>
  <si>
    <t>M 6.8 - 54 km SSW of Nemuro, Japan</t>
  </si>
  <si>
    <t>Nemuro, Japan</t>
  </si>
  <si>
    <t>M 7.0 - 51 km SW of Nemuro, Japan</t>
  </si>
  <si>
    <t>28-11-2004 18:32</t>
  </si>
  <si>
    <t>M 7.1 - 29 km SSW of Nabire, Indonesia</t>
  </si>
  <si>
    <t>26-11-2004 02:25</t>
  </si>
  <si>
    <t>Nabire, Indonesia</t>
  </si>
  <si>
    <t>M 7.1 - 255 km W of Riverton, New Zealand</t>
  </si>
  <si>
    <t>22-11-2004 20:26</t>
  </si>
  <si>
    <t>Riverton, New Zealand</t>
  </si>
  <si>
    <t>M 7.2 - 32 km SSW of Pizarro, Colombia</t>
  </si>
  <si>
    <t>15-11-2004 09:06</t>
  </si>
  <si>
    <t>Pizarro, Colombia</t>
  </si>
  <si>
    <t>M 7.5 - 63 km NW of Maubara, Timor Leste</t>
  </si>
  <si>
    <t>M 6.7 - 80 km SSE of Kirakira, Solomon Islands</t>
  </si>
  <si>
    <t>M 6.7 - 189 km SW of Port McNeill, Canada</t>
  </si>
  <si>
    <t>M 6.6 - 8 km SSW of Ojiya, Japan</t>
  </si>
  <si>
    <t>23-10-2004 08:56</t>
  </si>
  <si>
    <t>Ojiya, Japan</t>
  </si>
  <si>
    <t>M 6.7 - 31 km WNW of Yonakuni, Japan</t>
  </si>
  <si>
    <t>15-10-2004 04:08</t>
  </si>
  <si>
    <t>Yonakuni, Japan</t>
  </si>
  <si>
    <t>M 7.0 - 43 km SSW of Masachapa, Nicaragua</t>
  </si>
  <si>
    <t>M 6.5 - 9 km W of Talisay, Philippines</t>
  </si>
  <si>
    <t>Talisay, Philippines</t>
  </si>
  <si>
    <t>M 6.8 - 60 km SSE of Kirakira, Solomon Islands</t>
  </si>
  <si>
    <t>M 6.6 - 129 km ESE of Shing?, Japan</t>
  </si>
  <si>
    <t>Shing?, Japan</t>
  </si>
  <si>
    <t>M 7.4 - 118 km ESE of Shing?, Japan</t>
  </si>
  <si>
    <t>M 7.2 - 94 km SE of Shing?, Japan</t>
  </si>
  <si>
    <t>M 6.5 - 67 km ESE of Teno, Chile</t>
  </si>
  <si>
    <t>28-08-2004 13:41</t>
  </si>
  <si>
    <t>Teno, Chile</t>
  </si>
  <si>
    <t>M 6.5 - 117 km WNW of Manokwari, Indonesia</t>
  </si>
  <si>
    <t>28-07-2004 03:56</t>
  </si>
  <si>
    <t>M 6.9 - 24 km ENE of Atlasovo, Russia</t>
  </si>
  <si>
    <t>Atlasovo, Russia</t>
  </si>
  <si>
    <t>M 6.6 - 11 km N of Ca√±ete, Chile</t>
  </si>
  <si>
    <t>M 6.7 - 105 km WNW of Naisano Dua, Indonesia</t>
  </si>
  <si>
    <t>23-04-2004 01:50</t>
  </si>
  <si>
    <t>Naisano Dua, Indonesia</t>
  </si>
  <si>
    <t>M 6.5 - 86 km NNW of Sola, Vanuatu</t>
  </si>
  <si>
    <t>M 6.6 - Afghanistan-Tajikistan-Pakistan region</t>
  </si>
  <si>
    <t>Afghanistan-Tajikistan-Pakistan region</t>
  </si>
  <si>
    <t>M 6.7 - 38 km SSW of Nabire, Indonesia</t>
  </si>
  <si>
    <t>M 7.3 - Near the south coast of Papua, Indonesia</t>
  </si>
  <si>
    <t>M 7.0 - 28 km S of Nabire, Indonesia</t>
  </si>
  <si>
    <t>M 6.7 - 107 km NW of Ambon, Indonesia</t>
  </si>
  <si>
    <t>28-01-2004 22:15</t>
  </si>
  <si>
    <t>M 7.3 - 201 km ESE of Tadine, New Caledonia</t>
  </si>
  <si>
    <t>27-12-2003 16:00</t>
  </si>
  <si>
    <t>M 6.6 - 13 km SSW of Bam, Iran</t>
  </si>
  <si>
    <t>26-12-2003 01:56</t>
  </si>
  <si>
    <t>M 6.5 - 3 km SSE of Progreso, Panama</t>
  </si>
  <si>
    <t>25-12-2003 07:11</t>
  </si>
  <si>
    <t>Progreso, Panama</t>
  </si>
  <si>
    <t>M 6.5 - 10 km NE of San Simeon, California</t>
  </si>
  <si>
    <t>22-12-2003 19:15</t>
  </si>
  <si>
    <t>San Simeon, California</t>
  </si>
  <si>
    <t>M 6.8 - 92 km E of Yujing, Taiwan</t>
  </si>
  <si>
    <t>M 6.6 - 82 km E of Kimbe, Papua New Guinea</t>
  </si>
  <si>
    <t>25-11-2003 20:19</t>
  </si>
  <si>
    <t>M 6.5 - 4 km NW of Can-Avid, Philippines</t>
  </si>
  <si>
    <t>18-11-2003 17:14</t>
  </si>
  <si>
    <t>Can-Avid, Philippines</t>
  </si>
  <si>
    <t>M 6.6 - 51 km NW of Isangel, Vanuatu</t>
  </si>
  <si>
    <t>M 7.0 - 133 km ESE of Ishinomaki, Japan</t>
  </si>
  <si>
    <t>31-10-2003 01:06</t>
  </si>
  <si>
    <t>M 6.7 - 39 km SSE of Kushiro, Japan</t>
  </si>
  <si>
    <t>Kushiro, Japan</t>
  </si>
  <si>
    <t>M 6.7 - 9 km S of Aktash, Russia</t>
  </si>
  <si>
    <t>Aktash, Russia</t>
  </si>
  <si>
    <t>M 6.5 - 58 km S of Kushiro, Japan</t>
  </si>
  <si>
    <t>29-09-2003 02:36</t>
  </si>
  <si>
    <t>M 7.3 - 29 km S of Aktash, Russia</t>
  </si>
  <si>
    <t>27-09-2003 11:33</t>
  </si>
  <si>
    <t>M 7.4 - 119 km ESE of Shizunai-furukawach?, Japan</t>
  </si>
  <si>
    <t>25-09-2003 21:08</t>
  </si>
  <si>
    <t>M 8.2 - 134 km SSW of Kushiro, Japan</t>
  </si>
  <si>
    <t>25-09-2003 19:50</t>
  </si>
  <si>
    <t>M 6.6 - 16 km SE of Taungdwingyi, Myanmar</t>
  </si>
  <si>
    <t>21-09-2003 18:16</t>
  </si>
  <si>
    <t>Taungdwingyi, Myanmar</t>
  </si>
  <si>
    <t>M 7.2 - 56 km NW of Te Anau, New Zealand</t>
  </si>
  <si>
    <t>21-08-2003 12:12</t>
  </si>
  <si>
    <t>M 7.6 - Scotia Sea</t>
  </si>
  <si>
    <t>M 6.5 - 41 km N of Rabaul, Papua New Guinea</t>
  </si>
  <si>
    <t>15-07-2003 18:46</t>
  </si>
  <si>
    <t>M 6.8 - 42 km W of Ovalle, Chile</t>
  </si>
  <si>
    <t>20-06-2003 13:30</t>
  </si>
  <si>
    <t>M 6.9 - 25 km ESE of Atlasovo, Russia</t>
  </si>
  <si>
    <t>16-06-2003 22:08</t>
  </si>
  <si>
    <t>M 6.6 - 87 km SSE of Kokopo, Papua New Guinea</t>
  </si>
  <si>
    <t>M 7.0 - 116 km NE of Tobelo, Indonesia</t>
  </si>
  <si>
    <t>26-05-2003 19:23</t>
  </si>
  <si>
    <t>M 7.0 - 27 km SSW of ?funato, Japan</t>
  </si>
  <si>
    <t>26-05-2003 09:24</t>
  </si>
  <si>
    <t>M 6.8 - 25 km WNW of Dellys, Algeria</t>
  </si>
  <si>
    <t>21-05-2003 18:44</t>
  </si>
  <si>
    <t>Dellys, Algeria</t>
  </si>
  <si>
    <t>Algeria</t>
  </si>
  <si>
    <t>M 6.5 - 46 km NE of Ruteng, Indonesia</t>
  </si>
  <si>
    <t>25-03-2003 02:53</t>
  </si>
  <si>
    <t>Ruteng, Indonesia</t>
  </si>
  <si>
    <t>M 6.8 - 114 km ESE of Kokopo, Papua New Guinea</t>
  </si>
  <si>
    <t>M 7.6 - 16 km SSW of Cuyutl√°n, Mexico</t>
  </si>
  <si>
    <t>22-01-2003 02:06</t>
  </si>
  <si>
    <t>Cuyutl√°n, Mexico</t>
  </si>
  <si>
    <t>M 6.5 - 33 km S of Puerto San Jos√©, Guatemala</t>
  </si>
  <si>
    <t>21-01-2003 02:46</t>
  </si>
  <si>
    <t>M 7.3 - 126 km W of Kirakira, Solomon Islands</t>
  </si>
  <si>
    <t>20-01-2003 08:43</t>
  </si>
  <si>
    <t>M 6.7 - 191 km SE of Kokopo, Papua New Guinea</t>
  </si>
  <si>
    <t>M 6.7 - New Ireland region, Papua New Guinea</t>
  </si>
  <si>
    <t>New Ireland region, Papua New Guinea</t>
  </si>
  <si>
    <t>M 7.9 - 75 km E of Cantwell, Alaska</t>
  </si>
  <si>
    <t>Cantwell, Alaska</t>
  </si>
  <si>
    <t>M 7.4 - 50 km NW of Sinabang, Indonesia</t>
  </si>
  <si>
    <t>M 6.6 - 53 km ENE of Cantwell, Alaska</t>
  </si>
  <si>
    <t>23-10-2002 11:27</t>
  </si>
  <si>
    <t>M 6.7 - 72 km S of Manokwari, Indonesia</t>
  </si>
  <si>
    <t>M 7.6 - 102 km SSE of Manokwari, Indonesia</t>
  </si>
  <si>
    <t>M 6.5 - 152 km NNE of Bamboo Flat, India</t>
  </si>
  <si>
    <t>13-09-2002 22:28</t>
  </si>
  <si>
    <t>M 7.6 - 68 km ESE of Aitape, Papua New Guinea</t>
  </si>
  <si>
    <t>M 6.5 - 114 km SSE of San Jose Village, Northern Mariana Islands</t>
  </si>
  <si>
    <t>14-08-2002 13:57</t>
  </si>
  <si>
    <t>San Jose Village, Northern Mariana Islands</t>
  </si>
  <si>
    <t>M 6.5 - 14 km SE of Punta de Burica, Panama</t>
  </si>
  <si>
    <t>31-07-2002 00:16</t>
  </si>
  <si>
    <t>M 6.5 - 59 km SSW of Abhar, Iran</t>
  </si>
  <si>
    <t>22-06-2002 02:58</t>
  </si>
  <si>
    <t>Abhar, Iran</t>
  </si>
  <si>
    <t>M 6.6 - 20 km SW of Monte Patria, Chile</t>
  </si>
  <si>
    <t>18-06-2002 13:56</t>
  </si>
  <si>
    <t>Monte Patria, Chile</t>
  </si>
  <si>
    <t>M 6.7 - 190 km NW of Sola, Vanuatu</t>
  </si>
  <si>
    <t>17-06-2002 21:26</t>
  </si>
  <si>
    <t>M 7.1 - 20 km SSW of Merizo Village, Guam</t>
  </si>
  <si>
    <t>26-04-2002 16:06</t>
  </si>
  <si>
    <t>Merizo Village, Guam</t>
  </si>
  <si>
    <t>M 6.7 - 31 km SW of Copiap√≥, Chile</t>
  </si>
  <si>
    <t>18-04-2002 16:08</t>
  </si>
  <si>
    <t>M 6.8 - 27 km SSW of Nuxco, Mexico</t>
  </si>
  <si>
    <t>18-04-2002 05:02</t>
  </si>
  <si>
    <t>Nuxco, Mexico</t>
  </si>
  <si>
    <t>M 7.1 - 67 km ENE of Hualien City, Taiwan</t>
  </si>
  <si>
    <t>31-03-2002 06:52</t>
  </si>
  <si>
    <t>M 6.5 - 107 km NE of Calama, Chile</t>
  </si>
  <si>
    <t>28-03-2002 04:56</t>
  </si>
  <si>
    <t>Calama, Chile</t>
  </si>
  <si>
    <t>M 7.5 - Mindanao, Philippines</t>
  </si>
  <si>
    <t>Mindanao, Philippines</t>
  </si>
  <si>
    <t>M 7.4 - 51 km SW of Jurm, Afghanistan</t>
  </si>
  <si>
    <t>M 6.6 - 125 km E of Kimbe, Papua New Guinea</t>
  </si>
  <si>
    <t>M 6.5 - 5 km NE of Sultanda??, Turkey</t>
  </si>
  <si>
    <t>Sultanda??, Turkey</t>
  </si>
  <si>
    <t>M 6.7 - 11 km SE of Aitape, Papua New Guinea</t>
  </si>
  <si>
    <t>M 6.6 - 33 km WNW of Port-Vila, Vanuatu</t>
  </si>
  <si>
    <t>M 7.2 - 50 km WNW of Port-Vila, Vanuatu</t>
  </si>
  <si>
    <t>M 6.8 - 22 km WNW of Malango, Solomon Islands</t>
  </si>
  <si>
    <t>23-12-2001 22:52</t>
  </si>
  <si>
    <t>M 6.8 - 62 km SSW of Yonakuni, Japan</t>
  </si>
  <si>
    <t>18-12-2001 04:02</t>
  </si>
  <si>
    <t>M 6.5 - 3 km NW of Hanamaki, Japan</t>
  </si>
  <si>
    <t>Hanamaki, Japan</t>
  </si>
  <si>
    <t>M 7.8 - Southern Qinghai, China</t>
  </si>
  <si>
    <t>14-11-2001 09:26</t>
  </si>
  <si>
    <t>M 7.0 - 40 km S of Kimbe, Papua New Guinea</t>
  </si>
  <si>
    <t>31-10-2001 09:10</t>
  </si>
  <si>
    <t>M 7.5 - 155 km E of Kendari, Indonesia</t>
  </si>
  <si>
    <t>19-10-2001 03:28</t>
  </si>
  <si>
    <t>Kendari, Indonesia</t>
  </si>
  <si>
    <t>M 7.0 - 69 km SSE of Inarajan Village, Guam</t>
  </si>
  <si>
    <t>Inarajan Village, Guam</t>
  </si>
  <si>
    <t>M 6.5 - 108 km WNW of Manokwari, Indonesia</t>
  </si>
  <si>
    <t>M 6.6 - 74 km S of Kokhanok, Alaska</t>
  </si>
  <si>
    <t>28-07-2001 07:32</t>
  </si>
  <si>
    <t>Kokhanok, Alaska</t>
  </si>
  <si>
    <t>M 6.5 - 32 km WNW of Sk√Ωros, Greece</t>
  </si>
  <si>
    <t>26-07-2001 00:21</t>
  </si>
  <si>
    <t>Sk√Ωros, Greece</t>
  </si>
  <si>
    <t>M 7.6 - 51 km SW of Punta de Bomb√≥n, Peru</t>
  </si>
  <si>
    <t>Punta de Bomb√≥n, Peru</t>
  </si>
  <si>
    <t>M 6.6 - 31 km S of Achanizo, Peru</t>
  </si>
  <si>
    <t>Achanizo, Peru</t>
  </si>
  <si>
    <t>M 6.7 - 34 km WSW of Pacocha, Peru</t>
  </si>
  <si>
    <t>26-06-2001 04:18</t>
  </si>
  <si>
    <t>Pacocha, Peru</t>
  </si>
  <si>
    <t>M 8.4 - 6 km SSW of Atico, Peru</t>
  </si>
  <si>
    <t>23-06-2001 20:33</t>
  </si>
  <si>
    <t>Atico, Peru</t>
  </si>
  <si>
    <t>M 6.7 - 128 km SSE of Panguna, Papua New Guinea</t>
  </si>
  <si>
    <t>19-04-2001 21:43</t>
  </si>
  <si>
    <t>M 6.8 - 16 km SSW of Kure, Japan</t>
  </si>
  <si>
    <t>24-03-2001 06:27</t>
  </si>
  <si>
    <t>Kure, Japan</t>
  </si>
  <si>
    <t>M 6.5 - 41 km SSW of Ambon, Indonesia</t>
  </si>
  <si>
    <t>19-03-2001 05:52</t>
  </si>
  <si>
    <t>M 6.8 - 7 km SSE of Longbranch, Washington</t>
  </si>
  <si>
    <t>28-02-2001 18:54</t>
  </si>
  <si>
    <t>uw</t>
  </si>
  <si>
    <t>Longbranch, Washington</t>
  </si>
  <si>
    <t>M 7.1 - 137 km WNW of Ternate, Indonesia</t>
  </si>
  <si>
    <t>24-02-2001 07:23</t>
  </si>
  <si>
    <t>M 7.4 - 102 km SSE of Bengkulu, Indonesia</t>
  </si>
  <si>
    <t>13-02-2001 19:28</t>
  </si>
  <si>
    <t>M 6.6 - 5 km S of Cojutepeque, El Salvador</t>
  </si>
  <si>
    <t>13-02-2001 14:22</t>
  </si>
  <si>
    <t>Cojutepeque, El Salvador</t>
  </si>
  <si>
    <t>El Salvador</t>
  </si>
  <si>
    <t>M 7.7 - 17 km NW of Bhach?u, India</t>
  </si>
  <si>
    <t>26-01-2001 03:16</t>
  </si>
  <si>
    <t>Bhach?u, India</t>
  </si>
  <si>
    <t>M 6.9 - 59 km WSW of Bengkulu, Indonesia</t>
  </si>
  <si>
    <t>16-01-2001 13:25</t>
  </si>
  <si>
    <t>M 7.7 - 28 km SSW of Puerto El Triunfo, El Salvador</t>
  </si>
  <si>
    <t>13-01-2001 17:33</t>
  </si>
  <si>
    <t>M 6.9 - 47 km S of Old Harbor, Alaska</t>
  </si>
  <si>
    <t>Old Harbor, Alaska</t>
  </si>
  <si>
    <t>M 7.1 - 16 km NE of Port-Olry, Vanuatu</t>
  </si>
  <si>
    <t>M 6.8 - Mindanao, Philippines</t>
  </si>
  <si>
    <t>M 7.5 - 21 km SE of Lukatan, Philippines</t>
  </si>
  <si>
    <t>Lukatan, Philippines</t>
  </si>
  <si>
    <t>Australia</t>
  </si>
  <si>
    <t>Honduras</t>
  </si>
  <si>
    <t>Papau New Guinea</t>
  </si>
  <si>
    <t>Phillippines</t>
  </si>
  <si>
    <t>Cyprus</t>
  </si>
  <si>
    <t>Jamaica</t>
  </si>
  <si>
    <t>Barbados</t>
  </si>
  <si>
    <t>New Caledonia</t>
  </si>
  <si>
    <t>Guam</t>
  </si>
  <si>
    <t>Row Labels</t>
  </si>
  <si>
    <t>Grand Total</t>
  </si>
  <si>
    <t>Count of title</t>
  </si>
  <si>
    <t>No Continent</t>
  </si>
  <si>
    <t>NA</t>
  </si>
  <si>
    <t>Continent</t>
  </si>
  <si>
    <t>China</t>
  </si>
  <si>
    <t>UK</t>
  </si>
  <si>
    <t>USA</t>
  </si>
  <si>
    <t>(blank)</t>
  </si>
  <si>
    <t>Sum of tsunami</t>
  </si>
  <si>
    <t>date</t>
  </si>
  <si>
    <t>0101</t>
  </si>
  <si>
    <t>0113</t>
  </si>
  <si>
    <t>0116</t>
  </si>
  <si>
    <t>0126</t>
  </si>
  <si>
    <t>0212</t>
  </si>
  <si>
    <t>0213</t>
  </si>
  <si>
    <t>0224</t>
  </si>
  <si>
    <t>0228</t>
  </si>
  <si>
    <t>0319</t>
  </si>
  <si>
    <t>0324</t>
  </si>
  <si>
    <t>0419</t>
  </si>
  <si>
    <t>0507</t>
  </si>
  <si>
    <t>0623</t>
  </si>
  <si>
    <t>0626</t>
  </si>
  <si>
    <t>0707</t>
  </si>
  <si>
    <t>0726</t>
  </si>
  <si>
    <t>0728</t>
  </si>
  <si>
    <t>0901</t>
  </si>
  <si>
    <t>1001</t>
  </si>
  <si>
    <t>1019</t>
  </si>
  <si>
    <t>1031</t>
  </si>
  <si>
    <t>1109</t>
  </si>
  <si>
    <t>1114</t>
  </si>
  <si>
    <t>1210</t>
  </si>
  <si>
    <t>1218</t>
  </si>
  <si>
    <t>1223</t>
  </si>
  <si>
    <t>0201</t>
  </si>
  <si>
    <t>0211</t>
  </si>
  <si>
    <t>0301</t>
  </si>
  <si>
    <t>0302</t>
  </si>
  <si>
    <t>0303</t>
  </si>
  <si>
    <t>0311</t>
  </si>
  <si>
    <t>0328</t>
  </si>
  <si>
    <t>0331</t>
  </si>
  <si>
    <t>0418</t>
  </si>
  <si>
    <t>0426</t>
  </si>
  <si>
    <t>0502</t>
  </si>
  <si>
    <t>0503</t>
  </si>
  <si>
    <t>0617</t>
  </si>
  <si>
    <t>0618</t>
  </si>
  <si>
    <t>0622</t>
  </si>
  <si>
    <t>0731</t>
  </si>
  <si>
    <t>0809</t>
  </si>
  <si>
    <t>0814</t>
  </si>
  <si>
    <t>0913</t>
  </si>
  <si>
    <t>1010</t>
  </si>
  <si>
    <t>1023</t>
  </si>
  <si>
    <t>1212</t>
  </si>
  <si>
    <t>0110</t>
  </si>
  <si>
    <t>0120</t>
  </si>
  <si>
    <t>0121</t>
  </si>
  <si>
    <t>0122</t>
  </si>
  <si>
    <t>0325</t>
  </si>
  <si>
    <t>0408</t>
  </si>
  <si>
    <t>0521</t>
  </si>
  <si>
    <t>0526</t>
  </si>
  <si>
    <t>0611</t>
  </si>
  <si>
    <t>0616</t>
  </si>
  <si>
    <t>0620</t>
  </si>
  <si>
    <t>0706</t>
  </si>
  <si>
    <t>0715</t>
  </si>
  <si>
    <t>0810</t>
  </si>
  <si>
    <t>0821</t>
  </si>
  <si>
    <t>0921</t>
  </si>
  <si>
    <t>0925</t>
  </si>
  <si>
    <t>0927</t>
  </si>
  <si>
    <t>0929</t>
  </si>
  <si>
    <t>1012</t>
  </si>
  <si>
    <t>1103</t>
  </si>
  <si>
    <t>1118</t>
  </si>
  <si>
    <t>1125</t>
  </si>
  <si>
    <t>1222</t>
  </si>
  <si>
    <t>1225</t>
  </si>
  <si>
    <t>1226</t>
  </si>
  <si>
    <t>1227</t>
  </si>
  <si>
    <t>0128</t>
  </si>
  <si>
    <t>0305</t>
  </si>
  <si>
    <t>0423</t>
  </si>
  <si>
    <t>0504</t>
  </si>
  <si>
    <t>0509</t>
  </si>
  <si>
    <t>0609</t>
  </si>
  <si>
    <t>0612</t>
  </si>
  <si>
    <t>0702</t>
  </si>
  <si>
    <t>0802</t>
  </si>
  <si>
    <t>0828</t>
  </si>
  <si>
    <t>0904</t>
  </si>
  <si>
    <t>0910</t>
  </si>
  <si>
    <t>1006</t>
  </si>
  <si>
    <t>1015</t>
  </si>
  <si>
    <t>1111</t>
  </si>
  <si>
    <t>1115</t>
  </si>
  <si>
    <t>1122</t>
  </si>
  <si>
    <t>1126</t>
  </si>
  <si>
    <t>1128</t>
  </si>
  <si>
    <t>1214</t>
  </si>
  <si>
    <t>0119</t>
  </si>
  <si>
    <t>0203</t>
  </si>
  <si>
    <t>0207</t>
  </si>
  <si>
    <t>0215</t>
  </si>
  <si>
    <t>0219</t>
  </si>
  <si>
    <t>0226</t>
  </si>
  <si>
    <t>0320</t>
  </si>
  <si>
    <t>0512</t>
  </si>
  <si>
    <t>0514</t>
  </si>
  <si>
    <t>0519</t>
  </si>
  <si>
    <t>0613</t>
  </si>
  <si>
    <t>0615</t>
  </si>
  <si>
    <t>0724</t>
  </si>
  <si>
    <t>0816</t>
  </si>
  <si>
    <t>0909</t>
  </si>
  <si>
    <t>0926</t>
  </si>
  <si>
    <t>1004</t>
  </si>
  <si>
    <t>1117</t>
  </si>
  <si>
    <t>1119</t>
  </si>
  <si>
    <t>0109</t>
  </si>
  <si>
    <t>0222</t>
  </si>
  <si>
    <t>0314</t>
  </si>
  <si>
    <t>0401</t>
  </si>
  <si>
    <t>0420</t>
  </si>
  <si>
    <t>0429</t>
  </si>
  <si>
    <t>0430</t>
  </si>
  <si>
    <t>0516</t>
  </si>
  <si>
    <t>0522</t>
  </si>
  <si>
    <t>0528</t>
  </si>
  <si>
    <t>0704</t>
  </si>
  <si>
    <t>0708</t>
  </si>
  <si>
    <t>0711</t>
  </si>
  <si>
    <t>0717</t>
  </si>
  <si>
    <t>0801</t>
  </si>
  <si>
    <t>0824</t>
  </si>
  <si>
    <t>0928</t>
  </si>
  <si>
    <t>1017</t>
  </si>
  <si>
    <t>1020</t>
  </si>
  <si>
    <t>0104</t>
  </si>
  <si>
    <t>0108</t>
  </si>
  <si>
    <t>0209</t>
  </si>
  <si>
    <t>0220</t>
  </si>
  <si>
    <t>0716</t>
  </si>
  <si>
    <t>0808</t>
  </si>
  <si>
    <t>0815</t>
  </si>
  <si>
    <t>0920</t>
  </si>
  <si>
    <t>1009</t>
  </si>
  <si>
    <t>1024</t>
  </si>
  <si>
    <t>1116</t>
  </si>
  <si>
    <t>1127</t>
  </si>
  <si>
    <t>1129</t>
  </si>
  <si>
    <t>1209</t>
  </si>
  <si>
    <t>1216</t>
  </si>
  <si>
    <t>1220</t>
  </si>
  <si>
    <t>0214</t>
  </si>
  <si>
    <t>0225</t>
  </si>
  <si>
    <t>0510</t>
  </si>
  <si>
    <t>0627</t>
  </si>
  <si>
    <t>0705</t>
  </si>
  <si>
    <t>0719</t>
  </si>
  <si>
    <t>0723</t>
  </si>
  <si>
    <t>0825</t>
  </si>
  <si>
    <t>1016</t>
  </si>
  <si>
    <t>1202</t>
  </si>
  <si>
    <t>1205</t>
  </si>
  <si>
    <t>0308</t>
  </si>
  <si>
    <t>0710</t>
  </si>
  <si>
    <t>0811</t>
  </si>
  <si>
    <t>0908</t>
  </si>
  <si>
    <t>0911</t>
  </si>
  <si>
    <t>0930</t>
  </si>
  <si>
    <t>1008</t>
  </si>
  <si>
    <t>1030</t>
  </si>
  <si>
    <t>1102</t>
  </si>
  <si>
    <t>1113</t>
  </si>
  <si>
    <t>1208</t>
  </si>
  <si>
    <t>0227</t>
  </si>
  <si>
    <t>0309</t>
  </si>
  <si>
    <t>0316</t>
  </si>
  <si>
    <t>0330</t>
  </si>
  <si>
    <t>0403</t>
  </si>
  <si>
    <t>0404</t>
  </si>
  <si>
    <t>0413</t>
  </si>
  <si>
    <t>0501</t>
  </si>
  <si>
    <t>0527</t>
  </si>
  <si>
    <t>0604</t>
  </si>
  <si>
    <t>0714</t>
  </si>
  <si>
    <t>0718</t>
  </si>
  <si>
    <t>0905</t>
  </si>
  <si>
    <t>1021</t>
  </si>
  <si>
    <t>1025</t>
  </si>
  <si>
    <t>1104</t>
  </si>
  <si>
    <t>1201</t>
  </si>
  <si>
    <t>1206</t>
  </si>
  <si>
    <t>0118</t>
  </si>
  <si>
    <t>0607</t>
  </si>
  <si>
    <t>0820</t>
  </si>
  <si>
    <t>0903</t>
  </si>
  <si>
    <t>0916</t>
  </si>
  <si>
    <t>0918</t>
  </si>
  <si>
    <t>1005</t>
  </si>
  <si>
    <t>1014</t>
  </si>
  <si>
    <t>1028</t>
  </si>
  <si>
    <t>1112</t>
  </si>
  <si>
    <t>0202</t>
  </si>
  <si>
    <t>0321</t>
  </si>
  <si>
    <t>0417</t>
  </si>
  <si>
    <t>0421</t>
  </si>
  <si>
    <t>0428</t>
  </si>
  <si>
    <t>0602</t>
  </si>
  <si>
    <t>0712</t>
  </si>
  <si>
    <t>0826</t>
  </si>
  <si>
    <t>0827</t>
  </si>
  <si>
    <t>0831</t>
  </si>
  <si>
    <t>1204</t>
  </si>
  <si>
    <t>1221</t>
  </si>
  <si>
    <t>0103</t>
  </si>
  <si>
    <t>0130</t>
  </si>
  <si>
    <t>0409</t>
  </si>
  <si>
    <t>0414</t>
  </si>
  <si>
    <t>0416</t>
  </si>
  <si>
    <t>0523</t>
  </si>
  <si>
    <t>0524</t>
  </si>
  <si>
    <t>0624</t>
  </si>
  <si>
    <t>0721</t>
  </si>
  <si>
    <t>0813</t>
  </si>
  <si>
    <t>0830</t>
  </si>
  <si>
    <t>0902</t>
  </si>
  <si>
    <t>0924</t>
  </si>
  <si>
    <t>1003</t>
  </si>
  <si>
    <t>1123</t>
  </si>
  <si>
    <t>0105</t>
  </si>
  <si>
    <t>0111</t>
  </si>
  <si>
    <t>0218</t>
  </si>
  <si>
    <t>0304</t>
  </si>
  <si>
    <t>0407</t>
  </si>
  <si>
    <t>0424</t>
  </si>
  <si>
    <t>0513</t>
  </si>
  <si>
    <t>0629</t>
  </si>
  <si>
    <t>0812</t>
  </si>
  <si>
    <t>0917</t>
  </si>
  <si>
    <t>1107</t>
  </si>
  <si>
    <t>1121</t>
  </si>
  <si>
    <t>0123</t>
  </si>
  <si>
    <t>0216</t>
  </si>
  <si>
    <t>0329</t>
  </si>
  <si>
    <t>0411</t>
  </si>
  <si>
    <t>0425</t>
  </si>
  <si>
    <t>0505</t>
  </si>
  <si>
    <t>0520</t>
  </si>
  <si>
    <t>0529</t>
  </si>
  <si>
    <t>0530</t>
  </si>
  <si>
    <t>0701</t>
  </si>
  <si>
    <t>0727</t>
  </si>
  <si>
    <t>0912</t>
  </si>
  <si>
    <t>1007</t>
  </si>
  <si>
    <t>1026</t>
  </si>
  <si>
    <t>1124</t>
  </si>
  <si>
    <t>1217</t>
  </si>
  <si>
    <t>0106</t>
  </si>
  <si>
    <t>0114</t>
  </si>
  <si>
    <t>0124</t>
  </si>
  <si>
    <t>0415</t>
  </si>
  <si>
    <t>0518</t>
  </si>
  <si>
    <t>0729</t>
  </si>
  <si>
    <t>1101</t>
  </si>
  <si>
    <t>0206</t>
  </si>
  <si>
    <t>0221</t>
  </si>
  <si>
    <t>0614</t>
  </si>
  <si>
    <t>0720</t>
  </si>
  <si>
    <t>0919</t>
  </si>
  <si>
    <t>1002</t>
  </si>
  <si>
    <t>1211</t>
  </si>
  <si>
    <t>1213</t>
  </si>
  <si>
    <t>1215</t>
  </si>
  <si>
    <t>0204</t>
  </si>
  <si>
    <t>0326</t>
  </si>
  <si>
    <t>0405</t>
  </si>
  <si>
    <t>0508</t>
  </si>
  <si>
    <t>0603</t>
  </si>
  <si>
    <t>0803</t>
  </si>
  <si>
    <t>0817</t>
  </si>
  <si>
    <t>0819</t>
  </si>
  <si>
    <t>0829</t>
  </si>
  <si>
    <t>1013</t>
  </si>
  <si>
    <t>1022</t>
  </si>
  <si>
    <t>1130</t>
  </si>
  <si>
    <t>1229</t>
  </si>
  <si>
    <t>0102</t>
  </si>
  <si>
    <t>0115</t>
  </si>
  <si>
    <t>0208</t>
  </si>
  <si>
    <t>0601</t>
  </si>
  <si>
    <t>0605</t>
  </si>
  <si>
    <t>1029</t>
  </si>
  <si>
    <t>0205</t>
  </si>
  <si>
    <t>0306</t>
  </si>
  <si>
    <t>0515</t>
  </si>
  <si>
    <t>0722</t>
  </si>
  <si>
    <t>0818</t>
  </si>
  <si>
    <t>0210</t>
  </si>
  <si>
    <t>0822</t>
  </si>
  <si>
    <t>0922</t>
  </si>
  <si>
    <t>1011</t>
  </si>
  <si>
    <t>1108</t>
  </si>
  <si>
    <t>1110</t>
  </si>
  <si>
    <t>0129</t>
  </si>
  <si>
    <t>0313</t>
  </si>
  <si>
    <t>0322</t>
  </si>
  <si>
    <t>0806</t>
  </si>
  <si>
    <t>0914</t>
  </si>
  <si>
    <t>MM</t>
  </si>
  <si>
    <t>01</t>
  </si>
  <si>
    <t>02</t>
  </si>
  <si>
    <t>03</t>
  </si>
  <si>
    <t>04</t>
  </si>
  <si>
    <t>05</t>
  </si>
  <si>
    <t>06</t>
  </si>
  <si>
    <t>07</t>
  </si>
  <si>
    <t>09</t>
  </si>
  <si>
    <t>10</t>
  </si>
  <si>
    <t>11</t>
  </si>
  <si>
    <t>12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</si>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</sst>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2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Inherit"/>
    </font>
    <font>
      <sz val="16"/>
      <color rgb="FF818A91"/>
      <name val="Arial"/>
      <family val="2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16">
    <xf numFmtId="0" fontId="0" fillId="0" borderId="0" xfId="0"/>
    <xf numFmtId="22" fontId="0" fillId="0" borderId="0" xfId="0" applyNumberFormat="1"/>
    <xf numFmtId="0" fontId="0" fillId="33" borderId="0" xfId="0" applyFill="1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applyBorder="1"/>
    <xf numFmtId="0" fontId="19" fillId="0" borderId="11" xfId="0" applyFont="1" applyBorder="1" applyAlignment="1">
      <alignment horizontal="center"/>
    </xf>
    <xf numFmtId="14" fontId="0" fillId="0" borderId="0" xfId="0" applyNumberFormat="1"/>
    <xf numFmtId="14" fontId="0" fillId="33" borderId="0" xfId="0" applyNumberFormat="1" applyFill="1"/>
    <xf numFmtId="0" fontId="20" fillId="0" borderId="0" xfId="0" applyFont="1"/>
    <xf numFmtId="0" fontId="24" fillId="0" borderId="0" xfId="42"/>
    <xf numFmtId="0" fontId="21" fillId="0" borderId="0" xfId="0" applyFont="1"/>
    <xf numFmtId="0" fontId="22" fillId="0" borderId="0" xfId="0" applyFont="1"/>
    <xf numFmtId="0" fontId="23" fillId="0" borderId="0" xfId="0" applyFont="1"/>
    <xf numFmtId="16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[Where are earthquakes happening data.xlsm]Total # by Country!PivotTable8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# by Country'!$B$1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'Total # by Country'!$A$2:$A$59</c:f>
              <c:strCache>
                <c:ptCount val="57"/>
                <c:pt idx="0">
                  <c:v>Afghanistan</c:v>
                </c:pt>
                <c:pt idx="1">
                  <c:v>Algeria</c:v>
                </c:pt>
                <c:pt idx="2">
                  <c:v>Argentina</c:v>
                </c:pt>
                <c:pt idx="3">
                  <c:v>Australia</c:v>
                </c:pt>
                <c:pt idx="4">
                  <c:v>Barbados</c:v>
                </c:pt>
                <c:pt idx="5">
                  <c:v>Bolivia</c:v>
                </c:pt>
                <c:pt idx="6">
                  <c:v>Botswana</c:v>
                </c:pt>
                <c:pt idx="7">
                  <c:v>Brazil</c:v>
                </c:pt>
                <c:pt idx="8">
                  <c:v>Canada</c:v>
                </c:pt>
                <c:pt idx="9">
                  <c:v>Chile</c:v>
                </c:pt>
                <c:pt idx="10">
                  <c:v>China</c:v>
                </c:pt>
                <c:pt idx="11">
                  <c:v>Colombia</c:v>
                </c:pt>
                <c:pt idx="12">
                  <c:v>Costa Rica</c:v>
                </c:pt>
                <c:pt idx="13">
                  <c:v>Cyprus</c:v>
                </c:pt>
                <c:pt idx="14">
                  <c:v>Ecuador</c:v>
                </c:pt>
                <c:pt idx="15">
                  <c:v>El Salvador</c:v>
                </c:pt>
                <c:pt idx="16">
                  <c:v>Fiji</c:v>
                </c:pt>
                <c:pt idx="17">
                  <c:v>Greece</c:v>
                </c:pt>
                <c:pt idx="18">
                  <c:v>Guam</c:v>
                </c:pt>
                <c:pt idx="19">
                  <c:v>Guatemala</c:v>
                </c:pt>
                <c:pt idx="20">
                  <c:v>Haiti</c:v>
                </c:pt>
                <c:pt idx="21">
                  <c:v>Honduras</c:v>
                </c:pt>
                <c:pt idx="22">
                  <c:v>India</c:v>
                </c:pt>
                <c:pt idx="23">
                  <c:v>Indonesia</c:v>
                </c:pt>
                <c:pt idx="24">
                  <c:v>Iran</c:v>
                </c:pt>
                <c:pt idx="25">
                  <c:v>Italy</c:v>
                </c:pt>
                <c:pt idx="26">
                  <c:v>Jamaica</c:v>
                </c:pt>
                <c:pt idx="27">
                  <c:v>Japan</c:v>
                </c:pt>
                <c:pt idx="28">
                  <c:v>Kyrgyzstan</c:v>
                </c:pt>
                <c:pt idx="29">
                  <c:v>Martinique</c:v>
                </c:pt>
                <c:pt idx="30">
                  <c:v>Mexico</c:v>
                </c:pt>
                <c:pt idx="31">
                  <c:v>Mongolia</c:v>
                </c:pt>
                <c:pt idx="32">
                  <c:v>Mozambique</c:v>
                </c:pt>
                <c:pt idx="33">
                  <c:v>Myanmar</c:v>
                </c:pt>
                <c:pt idx="34">
                  <c:v>NA</c:v>
                </c:pt>
                <c:pt idx="35">
                  <c:v>Nepal</c:v>
                </c:pt>
                <c:pt idx="36">
                  <c:v>New Caledonia</c:v>
                </c:pt>
                <c:pt idx="37">
                  <c:v>New Zealand</c:v>
                </c:pt>
                <c:pt idx="38">
                  <c:v>Nicaragua</c:v>
                </c:pt>
                <c:pt idx="39">
                  <c:v>Pakistan</c:v>
                </c:pt>
                <c:pt idx="40">
                  <c:v>Panama</c:v>
                </c:pt>
                <c:pt idx="41">
                  <c:v>Papau New Guinea</c:v>
                </c:pt>
                <c:pt idx="42">
                  <c:v>Papua New Guinea</c:v>
                </c:pt>
                <c:pt idx="43">
                  <c:v>Peru</c:v>
                </c:pt>
                <c:pt idx="44">
                  <c:v>Philippines</c:v>
                </c:pt>
                <c:pt idx="45">
                  <c:v>Phillippines</c:v>
                </c:pt>
                <c:pt idx="46">
                  <c:v>Russia</c:v>
                </c:pt>
                <c:pt idx="47">
                  <c:v>Solomon Islands</c:v>
                </c:pt>
                <c:pt idx="48">
                  <c:v>Taiwan</c:v>
                </c:pt>
                <c:pt idx="49">
                  <c:v>Tajikistan</c:v>
                </c:pt>
                <c:pt idx="50">
                  <c:v>Tanzania</c:v>
                </c:pt>
                <c:pt idx="51">
                  <c:v>Tonga</c:v>
                </c:pt>
                <c:pt idx="52">
                  <c:v>Turkey</c:v>
                </c:pt>
                <c:pt idx="53">
                  <c:v>UK</c:v>
                </c:pt>
                <c:pt idx="54">
                  <c:v>USA</c:v>
                </c:pt>
                <c:pt idx="55">
                  <c:v>Vanuatu</c:v>
                </c:pt>
                <c:pt idx="56">
                  <c:v>Venezuela</c:v>
                </c:pt>
              </c:strCache>
            </c:strRef>
          </c:cat>
          <c:val>
            <c:numRef>
              <c:f>'Total # by Country'!$B$2:$B$59</c:f>
              <c:numCache>
                <c:formatCode>General</c:formatCode>
                <c:ptCount val="5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49</c:v>
                </c:pt>
                <c:pt idx="10">
                  <c:v>10</c:v>
                </c:pt>
                <c:pt idx="11">
                  <c:v>5</c:v>
                </c:pt>
                <c:pt idx="12">
                  <c:v>3</c:v>
                </c:pt>
                <c:pt idx="13">
                  <c:v>1</c:v>
                </c:pt>
                <c:pt idx="14">
                  <c:v>6</c:v>
                </c:pt>
                <c:pt idx="15">
                  <c:v>6</c:v>
                </c:pt>
                <c:pt idx="16">
                  <c:v>19</c:v>
                </c:pt>
                <c:pt idx="17">
                  <c:v>10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11</c:v>
                </c:pt>
                <c:pt idx="23">
                  <c:v>119</c:v>
                </c:pt>
                <c:pt idx="24">
                  <c:v>5</c:v>
                </c:pt>
                <c:pt idx="25">
                  <c:v>1</c:v>
                </c:pt>
                <c:pt idx="26">
                  <c:v>1</c:v>
                </c:pt>
                <c:pt idx="27">
                  <c:v>65</c:v>
                </c:pt>
                <c:pt idx="28">
                  <c:v>1</c:v>
                </c:pt>
                <c:pt idx="29">
                  <c:v>1</c:v>
                </c:pt>
                <c:pt idx="30">
                  <c:v>27</c:v>
                </c:pt>
                <c:pt idx="31">
                  <c:v>1</c:v>
                </c:pt>
                <c:pt idx="32">
                  <c:v>1</c:v>
                </c:pt>
                <c:pt idx="33">
                  <c:v>5</c:v>
                </c:pt>
                <c:pt idx="34">
                  <c:v>45</c:v>
                </c:pt>
                <c:pt idx="35">
                  <c:v>5</c:v>
                </c:pt>
                <c:pt idx="36">
                  <c:v>11</c:v>
                </c:pt>
                <c:pt idx="37">
                  <c:v>28</c:v>
                </c:pt>
                <c:pt idx="38">
                  <c:v>6</c:v>
                </c:pt>
                <c:pt idx="39">
                  <c:v>4</c:v>
                </c:pt>
                <c:pt idx="40">
                  <c:v>7</c:v>
                </c:pt>
                <c:pt idx="41">
                  <c:v>1</c:v>
                </c:pt>
                <c:pt idx="42">
                  <c:v>66</c:v>
                </c:pt>
                <c:pt idx="43">
                  <c:v>20</c:v>
                </c:pt>
                <c:pt idx="44">
                  <c:v>23</c:v>
                </c:pt>
                <c:pt idx="45">
                  <c:v>2</c:v>
                </c:pt>
                <c:pt idx="46">
                  <c:v>24</c:v>
                </c:pt>
                <c:pt idx="47">
                  <c:v>39</c:v>
                </c:pt>
                <c:pt idx="48">
                  <c:v>7</c:v>
                </c:pt>
                <c:pt idx="49">
                  <c:v>2</c:v>
                </c:pt>
                <c:pt idx="50">
                  <c:v>1</c:v>
                </c:pt>
                <c:pt idx="51">
                  <c:v>12</c:v>
                </c:pt>
                <c:pt idx="52">
                  <c:v>4</c:v>
                </c:pt>
                <c:pt idx="53">
                  <c:v>6</c:v>
                </c:pt>
                <c:pt idx="54">
                  <c:v>41</c:v>
                </c:pt>
                <c:pt idx="55">
                  <c:v>43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5F-5645-88B6-446841A6E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378624"/>
        <c:axId val="161380352"/>
      </c:barChart>
      <c:catAx>
        <c:axId val="1613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80352"/>
        <c:crosses val="autoZero"/>
        <c:auto val="1"/>
        <c:lblAlgn val="ctr"/>
        <c:lblOffset val="100"/>
        <c:noMultiLvlLbl val="0"/>
      </c:catAx>
      <c:valAx>
        <c:axId val="1613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7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[Where are earthquakes happening data.xlsm]Total # by Continent!PivotTable9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# by Continent'!$B$1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# by Continent'!$A$2:$A$10</c:f>
              <c:strCache>
                <c:ptCount val="8"/>
                <c:pt idx="0">
                  <c:v>Africa</c:v>
                </c:pt>
                <c:pt idx="1">
                  <c:v>Antarctica</c:v>
                </c:pt>
                <c:pt idx="2">
                  <c:v>Asia</c:v>
                </c:pt>
                <c:pt idx="3">
                  <c:v>Europe</c:v>
                </c:pt>
                <c:pt idx="4">
                  <c:v>No Continent</c:v>
                </c:pt>
                <c:pt idx="5">
                  <c:v>North America</c:v>
                </c:pt>
                <c:pt idx="6">
                  <c:v>Oceania</c:v>
                </c:pt>
                <c:pt idx="7">
                  <c:v>South America</c:v>
                </c:pt>
              </c:strCache>
            </c:strRef>
          </c:cat>
          <c:val>
            <c:numRef>
              <c:f>'Total # by Continent'!$B$2:$B$10</c:f>
              <c:numCache>
                <c:formatCode>General</c:formatCode>
                <c:ptCount val="8"/>
                <c:pt idx="0">
                  <c:v>4</c:v>
                </c:pt>
                <c:pt idx="1">
                  <c:v>11</c:v>
                </c:pt>
                <c:pt idx="2">
                  <c:v>299</c:v>
                </c:pt>
                <c:pt idx="3">
                  <c:v>17</c:v>
                </c:pt>
                <c:pt idx="4">
                  <c:v>16</c:v>
                </c:pt>
                <c:pt idx="5">
                  <c:v>109</c:v>
                </c:pt>
                <c:pt idx="6">
                  <c:v>234</c:v>
                </c:pt>
                <c:pt idx="7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5-714B-B960-8F049AC9B23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45275375"/>
        <c:axId val="1645278591"/>
      </c:barChart>
      <c:catAx>
        <c:axId val="164527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278591"/>
        <c:crosses val="autoZero"/>
        <c:auto val="1"/>
        <c:lblAlgn val="ctr"/>
        <c:lblOffset val="100"/>
        <c:noMultiLvlLbl val="0"/>
      </c:catAx>
      <c:valAx>
        <c:axId val="16452785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4527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[Where are earthquakes happening data.xlsm]MMDD Graph!PivotTable6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'MMDD Graph'!$B$1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'MMDD Graph'!$A$2:$A$308</c:f>
              <c:strCache>
                <c:ptCount val="306"/>
                <c:pt idx="0">
                  <c:v>0101</c:v>
                </c:pt>
                <c:pt idx="1">
                  <c:v>0102</c:v>
                </c:pt>
                <c:pt idx="2">
                  <c:v>0103</c:v>
                </c:pt>
                <c:pt idx="3">
                  <c:v>0104</c:v>
                </c:pt>
                <c:pt idx="4">
                  <c:v>0105</c:v>
                </c:pt>
                <c:pt idx="5">
                  <c:v>0106</c:v>
                </c:pt>
                <c:pt idx="6">
                  <c:v>0108</c:v>
                </c:pt>
                <c:pt idx="7">
                  <c:v>0109</c:v>
                </c:pt>
                <c:pt idx="8">
                  <c:v>0110</c:v>
                </c:pt>
                <c:pt idx="9">
                  <c:v>0111</c:v>
                </c:pt>
                <c:pt idx="10">
                  <c:v>0113</c:v>
                </c:pt>
                <c:pt idx="11">
                  <c:v>0114</c:v>
                </c:pt>
                <c:pt idx="12">
                  <c:v>0115</c:v>
                </c:pt>
                <c:pt idx="13">
                  <c:v>0116</c:v>
                </c:pt>
                <c:pt idx="14">
                  <c:v>0118</c:v>
                </c:pt>
                <c:pt idx="15">
                  <c:v>0119</c:v>
                </c:pt>
                <c:pt idx="16">
                  <c:v>0120</c:v>
                </c:pt>
                <c:pt idx="17">
                  <c:v>0121</c:v>
                </c:pt>
                <c:pt idx="18">
                  <c:v>0122</c:v>
                </c:pt>
                <c:pt idx="19">
                  <c:v>0123</c:v>
                </c:pt>
                <c:pt idx="20">
                  <c:v>0124</c:v>
                </c:pt>
                <c:pt idx="21">
                  <c:v>0126</c:v>
                </c:pt>
                <c:pt idx="22">
                  <c:v>0128</c:v>
                </c:pt>
                <c:pt idx="23">
                  <c:v>0129</c:v>
                </c:pt>
                <c:pt idx="24">
                  <c:v>0130</c:v>
                </c:pt>
                <c:pt idx="25">
                  <c:v>0201</c:v>
                </c:pt>
                <c:pt idx="26">
                  <c:v>0202</c:v>
                </c:pt>
                <c:pt idx="27">
                  <c:v>0203</c:v>
                </c:pt>
                <c:pt idx="28">
                  <c:v>0204</c:v>
                </c:pt>
                <c:pt idx="29">
                  <c:v>0205</c:v>
                </c:pt>
                <c:pt idx="30">
                  <c:v>0206</c:v>
                </c:pt>
                <c:pt idx="31">
                  <c:v>0207</c:v>
                </c:pt>
                <c:pt idx="32">
                  <c:v>0208</c:v>
                </c:pt>
                <c:pt idx="33">
                  <c:v>0209</c:v>
                </c:pt>
                <c:pt idx="34">
                  <c:v>0210</c:v>
                </c:pt>
                <c:pt idx="35">
                  <c:v>0211</c:v>
                </c:pt>
                <c:pt idx="36">
                  <c:v>0212</c:v>
                </c:pt>
                <c:pt idx="37">
                  <c:v>0213</c:v>
                </c:pt>
                <c:pt idx="38">
                  <c:v>0214</c:v>
                </c:pt>
                <c:pt idx="39">
                  <c:v>0215</c:v>
                </c:pt>
                <c:pt idx="40">
                  <c:v>0216</c:v>
                </c:pt>
                <c:pt idx="41">
                  <c:v>0218</c:v>
                </c:pt>
                <c:pt idx="42">
                  <c:v>0219</c:v>
                </c:pt>
                <c:pt idx="43">
                  <c:v>0220</c:v>
                </c:pt>
                <c:pt idx="44">
                  <c:v>0221</c:v>
                </c:pt>
                <c:pt idx="45">
                  <c:v>0222</c:v>
                </c:pt>
                <c:pt idx="46">
                  <c:v>0224</c:v>
                </c:pt>
                <c:pt idx="47">
                  <c:v>0225</c:v>
                </c:pt>
                <c:pt idx="48">
                  <c:v>0226</c:v>
                </c:pt>
                <c:pt idx="49">
                  <c:v>0227</c:v>
                </c:pt>
                <c:pt idx="50">
                  <c:v>0228</c:v>
                </c:pt>
                <c:pt idx="51">
                  <c:v>0301</c:v>
                </c:pt>
                <c:pt idx="52">
                  <c:v>0302</c:v>
                </c:pt>
                <c:pt idx="53">
                  <c:v>0303</c:v>
                </c:pt>
                <c:pt idx="54">
                  <c:v>0304</c:v>
                </c:pt>
                <c:pt idx="55">
                  <c:v>0305</c:v>
                </c:pt>
                <c:pt idx="56">
                  <c:v>0306</c:v>
                </c:pt>
                <c:pt idx="57">
                  <c:v>0308</c:v>
                </c:pt>
                <c:pt idx="58">
                  <c:v>0309</c:v>
                </c:pt>
                <c:pt idx="59">
                  <c:v>0311</c:v>
                </c:pt>
                <c:pt idx="60">
                  <c:v>0313</c:v>
                </c:pt>
                <c:pt idx="61">
                  <c:v>0314</c:v>
                </c:pt>
                <c:pt idx="62">
                  <c:v>0316</c:v>
                </c:pt>
                <c:pt idx="63">
                  <c:v>0319</c:v>
                </c:pt>
                <c:pt idx="64">
                  <c:v>0320</c:v>
                </c:pt>
                <c:pt idx="65">
                  <c:v>0321</c:v>
                </c:pt>
                <c:pt idx="66">
                  <c:v>0322</c:v>
                </c:pt>
                <c:pt idx="67">
                  <c:v>0324</c:v>
                </c:pt>
                <c:pt idx="68">
                  <c:v>0325</c:v>
                </c:pt>
                <c:pt idx="69">
                  <c:v>0326</c:v>
                </c:pt>
                <c:pt idx="70">
                  <c:v>0328</c:v>
                </c:pt>
                <c:pt idx="71">
                  <c:v>0329</c:v>
                </c:pt>
                <c:pt idx="72">
                  <c:v>0330</c:v>
                </c:pt>
                <c:pt idx="73">
                  <c:v>0331</c:v>
                </c:pt>
                <c:pt idx="74">
                  <c:v>0401</c:v>
                </c:pt>
                <c:pt idx="75">
                  <c:v>0403</c:v>
                </c:pt>
                <c:pt idx="76">
                  <c:v>0404</c:v>
                </c:pt>
                <c:pt idx="77">
                  <c:v>0405</c:v>
                </c:pt>
                <c:pt idx="78">
                  <c:v>0407</c:v>
                </c:pt>
                <c:pt idx="79">
                  <c:v>0408</c:v>
                </c:pt>
                <c:pt idx="80">
                  <c:v>0409</c:v>
                </c:pt>
                <c:pt idx="81">
                  <c:v>0411</c:v>
                </c:pt>
                <c:pt idx="82">
                  <c:v>0413</c:v>
                </c:pt>
                <c:pt idx="83">
                  <c:v>0414</c:v>
                </c:pt>
                <c:pt idx="84">
                  <c:v>0415</c:v>
                </c:pt>
                <c:pt idx="85">
                  <c:v>0416</c:v>
                </c:pt>
                <c:pt idx="86">
                  <c:v>0417</c:v>
                </c:pt>
                <c:pt idx="87">
                  <c:v>0418</c:v>
                </c:pt>
                <c:pt idx="88">
                  <c:v>0419</c:v>
                </c:pt>
                <c:pt idx="89">
                  <c:v>0420</c:v>
                </c:pt>
                <c:pt idx="90">
                  <c:v>0421</c:v>
                </c:pt>
                <c:pt idx="91">
                  <c:v>0423</c:v>
                </c:pt>
                <c:pt idx="92">
                  <c:v>0424</c:v>
                </c:pt>
                <c:pt idx="93">
                  <c:v>0425</c:v>
                </c:pt>
                <c:pt idx="94">
                  <c:v>0426</c:v>
                </c:pt>
                <c:pt idx="95">
                  <c:v>0428</c:v>
                </c:pt>
                <c:pt idx="96">
                  <c:v>0429</c:v>
                </c:pt>
                <c:pt idx="97">
                  <c:v>0430</c:v>
                </c:pt>
                <c:pt idx="98">
                  <c:v>0501</c:v>
                </c:pt>
                <c:pt idx="99">
                  <c:v>0502</c:v>
                </c:pt>
                <c:pt idx="100">
                  <c:v>0503</c:v>
                </c:pt>
                <c:pt idx="101">
                  <c:v>0504</c:v>
                </c:pt>
                <c:pt idx="102">
                  <c:v>0505</c:v>
                </c:pt>
                <c:pt idx="103">
                  <c:v>0507</c:v>
                </c:pt>
                <c:pt idx="104">
                  <c:v>0508</c:v>
                </c:pt>
                <c:pt idx="105">
                  <c:v>0509</c:v>
                </c:pt>
                <c:pt idx="106">
                  <c:v>0510</c:v>
                </c:pt>
                <c:pt idx="107">
                  <c:v>0512</c:v>
                </c:pt>
                <c:pt idx="108">
                  <c:v>0513</c:v>
                </c:pt>
                <c:pt idx="109">
                  <c:v>0514</c:v>
                </c:pt>
                <c:pt idx="110">
                  <c:v>0515</c:v>
                </c:pt>
                <c:pt idx="111">
                  <c:v>0516</c:v>
                </c:pt>
                <c:pt idx="112">
                  <c:v>0518</c:v>
                </c:pt>
                <c:pt idx="113">
                  <c:v>0519</c:v>
                </c:pt>
                <c:pt idx="114">
                  <c:v>0520</c:v>
                </c:pt>
                <c:pt idx="115">
                  <c:v>0521</c:v>
                </c:pt>
                <c:pt idx="116">
                  <c:v>0522</c:v>
                </c:pt>
                <c:pt idx="117">
                  <c:v>0523</c:v>
                </c:pt>
                <c:pt idx="118">
                  <c:v>0524</c:v>
                </c:pt>
                <c:pt idx="119">
                  <c:v>0526</c:v>
                </c:pt>
                <c:pt idx="120">
                  <c:v>0527</c:v>
                </c:pt>
                <c:pt idx="121">
                  <c:v>0528</c:v>
                </c:pt>
                <c:pt idx="122">
                  <c:v>0529</c:v>
                </c:pt>
                <c:pt idx="123">
                  <c:v>0530</c:v>
                </c:pt>
                <c:pt idx="124">
                  <c:v>0601</c:v>
                </c:pt>
                <c:pt idx="125">
                  <c:v>0602</c:v>
                </c:pt>
                <c:pt idx="126">
                  <c:v>0603</c:v>
                </c:pt>
                <c:pt idx="127">
                  <c:v>0604</c:v>
                </c:pt>
                <c:pt idx="128">
                  <c:v>0605</c:v>
                </c:pt>
                <c:pt idx="129">
                  <c:v>0607</c:v>
                </c:pt>
                <c:pt idx="130">
                  <c:v>0609</c:v>
                </c:pt>
                <c:pt idx="131">
                  <c:v>0611</c:v>
                </c:pt>
                <c:pt idx="132">
                  <c:v>0612</c:v>
                </c:pt>
                <c:pt idx="133">
                  <c:v>0613</c:v>
                </c:pt>
                <c:pt idx="134">
                  <c:v>0614</c:v>
                </c:pt>
                <c:pt idx="135">
                  <c:v>0615</c:v>
                </c:pt>
                <c:pt idx="136">
                  <c:v>0616</c:v>
                </c:pt>
                <c:pt idx="137">
                  <c:v>0617</c:v>
                </c:pt>
                <c:pt idx="138">
                  <c:v>0618</c:v>
                </c:pt>
                <c:pt idx="139">
                  <c:v>0620</c:v>
                </c:pt>
                <c:pt idx="140">
                  <c:v>0622</c:v>
                </c:pt>
                <c:pt idx="141">
                  <c:v>0623</c:v>
                </c:pt>
                <c:pt idx="142">
                  <c:v>0624</c:v>
                </c:pt>
                <c:pt idx="143">
                  <c:v>0626</c:v>
                </c:pt>
                <c:pt idx="144">
                  <c:v>0627</c:v>
                </c:pt>
                <c:pt idx="145">
                  <c:v>0629</c:v>
                </c:pt>
                <c:pt idx="146">
                  <c:v>0701</c:v>
                </c:pt>
                <c:pt idx="147">
                  <c:v>0702</c:v>
                </c:pt>
                <c:pt idx="148">
                  <c:v>0704</c:v>
                </c:pt>
                <c:pt idx="149">
                  <c:v>0705</c:v>
                </c:pt>
                <c:pt idx="150">
                  <c:v>0706</c:v>
                </c:pt>
                <c:pt idx="151">
                  <c:v>0707</c:v>
                </c:pt>
                <c:pt idx="152">
                  <c:v>0708</c:v>
                </c:pt>
                <c:pt idx="153">
                  <c:v>0710</c:v>
                </c:pt>
                <c:pt idx="154">
                  <c:v>0711</c:v>
                </c:pt>
                <c:pt idx="155">
                  <c:v>0712</c:v>
                </c:pt>
                <c:pt idx="156">
                  <c:v>0714</c:v>
                </c:pt>
                <c:pt idx="157">
                  <c:v>0715</c:v>
                </c:pt>
                <c:pt idx="158">
                  <c:v>0716</c:v>
                </c:pt>
                <c:pt idx="159">
                  <c:v>0717</c:v>
                </c:pt>
                <c:pt idx="160">
                  <c:v>0718</c:v>
                </c:pt>
                <c:pt idx="161">
                  <c:v>0719</c:v>
                </c:pt>
                <c:pt idx="162">
                  <c:v>0720</c:v>
                </c:pt>
                <c:pt idx="163">
                  <c:v>0721</c:v>
                </c:pt>
                <c:pt idx="164">
                  <c:v>0722</c:v>
                </c:pt>
                <c:pt idx="165">
                  <c:v>0723</c:v>
                </c:pt>
                <c:pt idx="166">
                  <c:v>0724</c:v>
                </c:pt>
                <c:pt idx="167">
                  <c:v>0726</c:v>
                </c:pt>
                <c:pt idx="168">
                  <c:v>0727</c:v>
                </c:pt>
                <c:pt idx="169">
                  <c:v>0728</c:v>
                </c:pt>
                <c:pt idx="170">
                  <c:v>0729</c:v>
                </c:pt>
                <c:pt idx="171">
                  <c:v>0731</c:v>
                </c:pt>
                <c:pt idx="172">
                  <c:v>0801</c:v>
                </c:pt>
                <c:pt idx="173">
                  <c:v>0802</c:v>
                </c:pt>
                <c:pt idx="174">
                  <c:v>0803</c:v>
                </c:pt>
                <c:pt idx="175">
                  <c:v>0806</c:v>
                </c:pt>
                <c:pt idx="176">
                  <c:v>0808</c:v>
                </c:pt>
                <c:pt idx="177">
                  <c:v>0809</c:v>
                </c:pt>
                <c:pt idx="178">
                  <c:v>0810</c:v>
                </c:pt>
                <c:pt idx="179">
                  <c:v>0811</c:v>
                </c:pt>
                <c:pt idx="180">
                  <c:v>0812</c:v>
                </c:pt>
                <c:pt idx="181">
                  <c:v>0813</c:v>
                </c:pt>
                <c:pt idx="182">
                  <c:v>0814</c:v>
                </c:pt>
                <c:pt idx="183">
                  <c:v>0815</c:v>
                </c:pt>
                <c:pt idx="184">
                  <c:v>0816</c:v>
                </c:pt>
                <c:pt idx="185">
                  <c:v>0817</c:v>
                </c:pt>
                <c:pt idx="186">
                  <c:v>0818</c:v>
                </c:pt>
                <c:pt idx="187">
                  <c:v>0819</c:v>
                </c:pt>
                <c:pt idx="188">
                  <c:v>0820</c:v>
                </c:pt>
                <c:pt idx="189">
                  <c:v>0821</c:v>
                </c:pt>
                <c:pt idx="190">
                  <c:v>0822</c:v>
                </c:pt>
                <c:pt idx="191">
                  <c:v>0824</c:v>
                </c:pt>
                <c:pt idx="192">
                  <c:v>0825</c:v>
                </c:pt>
                <c:pt idx="193">
                  <c:v>0826</c:v>
                </c:pt>
                <c:pt idx="194">
                  <c:v>0827</c:v>
                </c:pt>
                <c:pt idx="195">
                  <c:v>0828</c:v>
                </c:pt>
                <c:pt idx="196">
                  <c:v>0829</c:v>
                </c:pt>
                <c:pt idx="197">
                  <c:v>0830</c:v>
                </c:pt>
                <c:pt idx="198">
                  <c:v>0831</c:v>
                </c:pt>
                <c:pt idx="199">
                  <c:v>0901</c:v>
                </c:pt>
                <c:pt idx="200">
                  <c:v>0902</c:v>
                </c:pt>
                <c:pt idx="201">
                  <c:v>0903</c:v>
                </c:pt>
                <c:pt idx="202">
                  <c:v>0904</c:v>
                </c:pt>
                <c:pt idx="203">
                  <c:v>0905</c:v>
                </c:pt>
                <c:pt idx="204">
                  <c:v>0908</c:v>
                </c:pt>
                <c:pt idx="205">
                  <c:v>0909</c:v>
                </c:pt>
                <c:pt idx="206">
                  <c:v>0910</c:v>
                </c:pt>
                <c:pt idx="207">
                  <c:v>0911</c:v>
                </c:pt>
                <c:pt idx="208">
                  <c:v>0912</c:v>
                </c:pt>
                <c:pt idx="209">
                  <c:v>0913</c:v>
                </c:pt>
                <c:pt idx="210">
                  <c:v>0914</c:v>
                </c:pt>
                <c:pt idx="211">
                  <c:v>0916</c:v>
                </c:pt>
                <c:pt idx="212">
                  <c:v>0917</c:v>
                </c:pt>
                <c:pt idx="213">
                  <c:v>0918</c:v>
                </c:pt>
                <c:pt idx="214">
                  <c:v>0919</c:v>
                </c:pt>
                <c:pt idx="215">
                  <c:v>0920</c:v>
                </c:pt>
                <c:pt idx="216">
                  <c:v>0921</c:v>
                </c:pt>
                <c:pt idx="217">
                  <c:v>0922</c:v>
                </c:pt>
                <c:pt idx="218">
                  <c:v>0924</c:v>
                </c:pt>
                <c:pt idx="219">
                  <c:v>0925</c:v>
                </c:pt>
                <c:pt idx="220">
                  <c:v>0926</c:v>
                </c:pt>
                <c:pt idx="221">
                  <c:v>0927</c:v>
                </c:pt>
                <c:pt idx="222">
                  <c:v>0928</c:v>
                </c:pt>
                <c:pt idx="223">
                  <c:v>0929</c:v>
                </c:pt>
                <c:pt idx="224">
                  <c:v>0930</c:v>
                </c:pt>
                <c:pt idx="225">
                  <c:v>1001</c:v>
                </c:pt>
                <c:pt idx="226">
                  <c:v>1002</c:v>
                </c:pt>
                <c:pt idx="227">
                  <c:v>1003</c:v>
                </c:pt>
                <c:pt idx="228">
                  <c:v>1004</c:v>
                </c:pt>
                <c:pt idx="229">
                  <c:v>1005</c:v>
                </c:pt>
                <c:pt idx="230">
                  <c:v>1006</c:v>
                </c:pt>
                <c:pt idx="231">
                  <c:v>1007</c:v>
                </c:pt>
                <c:pt idx="232">
                  <c:v>1008</c:v>
                </c:pt>
                <c:pt idx="233">
                  <c:v>1009</c:v>
                </c:pt>
                <c:pt idx="234">
                  <c:v>1010</c:v>
                </c:pt>
                <c:pt idx="235">
                  <c:v>1011</c:v>
                </c:pt>
                <c:pt idx="236">
                  <c:v>1012</c:v>
                </c:pt>
                <c:pt idx="237">
                  <c:v>1013</c:v>
                </c:pt>
                <c:pt idx="238">
                  <c:v>1014</c:v>
                </c:pt>
                <c:pt idx="239">
                  <c:v>1015</c:v>
                </c:pt>
                <c:pt idx="240">
                  <c:v>1016</c:v>
                </c:pt>
                <c:pt idx="241">
                  <c:v>1017</c:v>
                </c:pt>
                <c:pt idx="242">
                  <c:v>1019</c:v>
                </c:pt>
                <c:pt idx="243">
                  <c:v>1020</c:v>
                </c:pt>
                <c:pt idx="244">
                  <c:v>1021</c:v>
                </c:pt>
                <c:pt idx="245">
                  <c:v>1022</c:v>
                </c:pt>
                <c:pt idx="246">
                  <c:v>1023</c:v>
                </c:pt>
                <c:pt idx="247">
                  <c:v>1024</c:v>
                </c:pt>
                <c:pt idx="248">
                  <c:v>1025</c:v>
                </c:pt>
                <c:pt idx="249">
                  <c:v>1026</c:v>
                </c:pt>
                <c:pt idx="250">
                  <c:v>1028</c:v>
                </c:pt>
                <c:pt idx="251">
                  <c:v>1029</c:v>
                </c:pt>
                <c:pt idx="252">
                  <c:v>1030</c:v>
                </c:pt>
                <c:pt idx="253">
                  <c:v>1031</c:v>
                </c:pt>
                <c:pt idx="254">
                  <c:v>1101</c:v>
                </c:pt>
                <c:pt idx="255">
                  <c:v>1102</c:v>
                </c:pt>
                <c:pt idx="256">
                  <c:v>1103</c:v>
                </c:pt>
                <c:pt idx="257">
                  <c:v>1104</c:v>
                </c:pt>
                <c:pt idx="258">
                  <c:v>1107</c:v>
                </c:pt>
                <c:pt idx="259">
                  <c:v>1108</c:v>
                </c:pt>
                <c:pt idx="260">
                  <c:v>1109</c:v>
                </c:pt>
                <c:pt idx="261">
                  <c:v>1110</c:v>
                </c:pt>
                <c:pt idx="262">
                  <c:v>1111</c:v>
                </c:pt>
                <c:pt idx="263">
                  <c:v>1112</c:v>
                </c:pt>
                <c:pt idx="264">
                  <c:v>1113</c:v>
                </c:pt>
                <c:pt idx="265">
                  <c:v>1114</c:v>
                </c:pt>
                <c:pt idx="266">
                  <c:v>1115</c:v>
                </c:pt>
                <c:pt idx="267">
                  <c:v>1116</c:v>
                </c:pt>
                <c:pt idx="268">
                  <c:v>1117</c:v>
                </c:pt>
                <c:pt idx="269">
                  <c:v>1118</c:v>
                </c:pt>
                <c:pt idx="270">
                  <c:v>1119</c:v>
                </c:pt>
                <c:pt idx="271">
                  <c:v>1121</c:v>
                </c:pt>
                <c:pt idx="272">
                  <c:v>1122</c:v>
                </c:pt>
                <c:pt idx="273">
                  <c:v>1123</c:v>
                </c:pt>
                <c:pt idx="274">
                  <c:v>1124</c:v>
                </c:pt>
                <c:pt idx="275">
                  <c:v>1125</c:v>
                </c:pt>
                <c:pt idx="276">
                  <c:v>1126</c:v>
                </c:pt>
                <c:pt idx="277">
                  <c:v>1127</c:v>
                </c:pt>
                <c:pt idx="278">
                  <c:v>1128</c:v>
                </c:pt>
                <c:pt idx="279">
                  <c:v>1129</c:v>
                </c:pt>
                <c:pt idx="280">
                  <c:v>1130</c:v>
                </c:pt>
                <c:pt idx="281">
                  <c:v>1201</c:v>
                </c:pt>
                <c:pt idx="282">
                  <c:v>1202</c:v>
                </c:pt>
                <c:pt idx="283">
                  <c:v>1204</c:v>
                </c:pt>
                <c:pt idx="284">
                  <c:v>1205</c:v>
                </c:pt>
                <c:pt idx="285">
                  <c:v>1206</c:v>
                </c:pt>
                <c:pt idx="286">
                  <c:v>1208</c:v>
                </c:pt>
                <c:pt idx="287">
                  <c:v>1209</c:v>
                </c:pt>
                <c:pt idx="288">
                  <c:v>1210</c:v>
                </c:pt>
                <c:pt idx="289">
                  <c:v>1211</c:v>
                </c:pt>
                <c:pt idx="290">
                  <c:v>1212</c:v>
                </c:pt>
                <c:pt idx="291">
                  <c:v>1213</c:v>
                </c:pt>
                <c:pt idx="292">
                  <c:v>1214</c:v>
                </c:pt>
                <c:pt idx="293">
                  <c:v>1215</c:v>
                </c:pt>
                <c:pt idx="294">
                  <c:v>1216</c:v>
                </c:pt>
                <c:pt idx="295">
                  <c:v>1217</c:v>
                </c:pt>
                <c:pt idx="296">
                  <c:v>1218</c:v>
                </c:pt>
                <c:pt idx="297">
                  <c:v>1220</c:v>
                </c:pt>
                <c:pt idx="298">
                  <c:v>1221</c:v>
                </c:pt>
                <c:pt idx="299">
                  <c:v>1222</c:v>
                </c:pt>
                <c:pt idx="300">
                  <c:v>1223</c:v>
                </c:pt>
                <c:pt idx="301">
                  <c:v>1225</c:v>
                </c:pt>
                <c:pt idx="302">
                  <c:v>1226</c:v>
                </c:pt>
                <c:pt idx="303">
                  <c:v>1227</c:v>
                </c:pt>
                <c:pt idx="304">
                  <c:v>1229</c:v>
                </c:pt>
                <c:pt idx="305">
                  <c:v>(blank)</c:v>
                </c:pt>
              </c:strCache>
            </c:strRef>
          </c:cat>
          <c:val>
            <c:numRef>
              <c:f>'MMDD Graph'!$B$2:$B$308</c:f>
              <c:numCache>
                <c:formatCode>General</c:formatCode>
                <c:ptCount val="30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3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0</c:v>
                </c:pt>
                <c:pt idx="75">
                  <c:v>3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3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2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0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3</c:v>
                </c:pt>
                <c:pt idx="142">
                  <c:v>2</c:v>
                </c:pt>
                <c:pt idx="143">
                  <c:v>0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2</c:v>
                </c:pt>
                <c:pt idx="152">
                  <c:v>0</c:v>
                </c:pt>
                <c:pt idx="153">
                  <c:v>0</c:v>
                </c:pt>
                <c:pt idx="154">
                  <c:v>3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3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3</c:v>
                </c:pt>
                <c:pt idx="169">
                  <c:v>0</c:v>
                </c:pt>
                <c:pt idx="170">
                  <c:v>3</c:v>
                </c:pt>
                <c:pt idx="171">
                  <c:v>1</c:v>
                </c:pt>
                <c:pt idx="172">
                  <c:v>0</c:v>
                </c:pt>
                <c:pt idx="173">
                  <c:v>2</c:v>
                </c:pt>
                <c:pt idx="174">
                  <c:v>1</c:v>
                </c:pt>
                <c:pt idx="175">
                  <c:v>0</c:v>
                </c:pt>
                <c:pt idx="176">
                  <c:v>0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3</c:v>
                </c:pt>
                <c:pt idx="181">
                  <c:v>1</c:v>
                </c:pt>
                <c:pt idx="182">
                  <c:v>4</c:v>
                </c:pt>
                <c:pt idx="183">
                  <c:v>1</c:v>
                </c:pt>
                <c:pt idx="184">
                  <c:v>2</c:v>
                </c:pt>
                <c:pt idx="185">
                  <c:v>0</c:v>
                </c:pt>
                <c:pt idx="186">
                  <c:v>2</c:v>
                </c:pt>
                <c:pt idx="187">
                  <c:v>1</c:v>
                </c:pt>
                <c:pt idx="188">
                  <c:v>0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4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0</c:v>
                </c:pt>
                <c:pt idx="229">
                  <c:v>2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0</c:v>
                </c:pt>
                <c:pt idx="245">
                  <c:v>2</c:v>
                </c:pt>
                <c:pt idx="246">
                  <c:v>0</c:v>
                </c:pt>
                <c:pt idx="247">
                  <c:v>0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3</c:v>
                </c:pt>
                <c:pt idx="254">
                  <c:v>7</c:v>
                </c:pt>
                <c:pt idx="255">
                  <c:v>1</c:v>
                </c:pt>
                <c:pt idx="256">
                  <c:v>0</c:v>
                </c:pt>
                <c:pt idx="257">
                  <c:v>3</c:v>
                </c:pt>
                <c:pt idx="258">
                  <c:v>2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0</c:v>
                </c:pt>
                <c:pt idx="274">
                  <c:v>2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0</c:v>
                </c:pt>
                <c:pt idx="282">
                  <c:v>0</c:v>
                </c:pt>
                <c:pt idx="283">
                  <c:v>2</c:v>
                </c:pt>
                <c:pt idx="284">
                  <c:v>2</c:v>
                </c:pt>
                <c:pt idx="285">
                  <c:v>0</c:v>
                </c:pt>
                <c:pt idx="286">
                  <c:v>3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2-9C44-B872-B9BAB23D1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1962000"/>
        <c:axId val="611964000"/>
      </c:barChart>
      <c:catAx>
        <c:axId val="61196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64000"/>
        <c:crosses val="autoZero"/>
        <c:auto val="1"/>
        <c:lblAlgn val="ctr"/>
        <c:lblOffset val="100"/>
        <c:noMultiLvlLbl val="0"/>
      </c:catAx>
      <c:valAx>
        <c:axId val="6119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6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[Where are earthquakes happening data.xlsm]MM Graph!PivotTable7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'MM Graph'!$B$1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'MM Graph'!$A$2:$A$15</c:f>
              <c:strCache>
                <c:ptCount val="13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(blank)</c:v>
                </c:pt>
              </c:strCache>
            </c:strRef>
          </c:cat>
          <c:val>
            <c:numRef>
              <c:f>'MM Graph'!$B$2:$B$15</c:f>
              <c:numCache>
                <c:formatCode>General</c:formatCode>
                <c:ptCount val="13"/>
                <c:pt idx="0">
                  <c:v>28</c:v>
                </c:pt>
                <c:pt idx="1">
                  <c:v>16</c:v>
                </c:pt>
                <c:pt idx="2">
                  <c:v>18</c:v>
                </c:pt>
                <c:pt idx="3">
                  <c:v>25</c:v>
                </c:pt>
                <c:pt idx="4">
                  <c:v>23</c:v>
                </c:pt>
                <c:pt idx="5">
                  <c:v>22</c:v>
                </c:pt>
                <c:pt idx="6">
                  <c:v>29</c:v>
                </c:pt>
                <c:pt idx="7">
                  <c:v>28</c:v>
                </c:pt>
                <c:pt idx="8">
                  <c:v>28</c:v>
                </c:pt>
                <c:pt idx="9">
                  <c:v>31</c:v>
                </c:pt>
                <c:pt idx="10">
                  <c:v>39</c:v>
                </c:pt>
                <c:pt idx="1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C6-9348-A237-34259FDED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1688048"/>
        <c:axId val="611743552"/>
      </c:barChart>
      <c:catAx>
        <c:axId val="61168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743552"/>
        <c:crosses val="autoZero"/>
        <c:auto val="1"/>
        <c:lblAlgn val="ctr"/>
        <c:lblOffset val="100"/>
        <c:noMultiLvlLbl val="0"/>
      </c:catAx>
      <c:valAx>
        <c:axId val="61174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[Where are earthquakes happening data.xlsm]MM Updated Data!PivotTable8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'MM Updated Data'!$K$788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'MM Updated Data'!$J$789:$J$801</c:f>
              <c:strCache>
                <c:ptCount val="12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'MM Updated Data'!$K$789:$K$801</c:f>
              <c:numCache>
                <c:formatCode>General</c:formatCode>
                <c:ptCount val="12"/>
                <c:pt idx="0">
                  <c:v>28</c:v>
                </c:pt>
                <c:pt idx="1">
                  <c:v>16</c:v>
                </c:pt>
                <c:pt idx="2">
                  <c:v>18</c:v>
                </c:pt>
                <c:pt idx="3">
                  <c:v>25</c:v>
                </c:pt>
                <c:pt idx="4">
                  <c:v>23</c:v>
                </c:pt>
                <c:pt idx="5">
                  <c:v>22</c:v>
                </c:pt>
                <c:pt idx="6">
                  <c:v>29</c:v>
                </c:pt>
                <c:pt idx="7">
                  <c:v>28</c:v>
                </c:pt>
                <c:pt idx="8">
                  <c:v>28</c:v>
                </c:pt>
                <c:pt idx="9">
                  <c:v>31</c:v>
                </c:pt>
                <c:pt idx="10">
                  <c:v>39</c:v>
                </c:pt>
                <c:pt idx="1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DF-3545-8A36-22EB22F48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9267455"/>
        <c:axId val="1599269183"/>
      </c:barChart>
      <c:catAx>
        <c:axId val="159926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9269183"/>
        <c:crosses val="autoZero"/>
        <c:auto val="1"/>
        <c:lblAlgn val="ctr"/>
        <c:lblOffset val="100"/>
        <c:noMultiLvlLbl val="0"/>
      </c:catAx>
      <c:valAx>
        <c:axId val="159926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926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0</xdr:rowOff>
    </xdr:from>
    <xdr:to>
      <xdr:col>13</xdr:col>
      <xdr:colOff>50800</xdr:colOff>
      <xdr:row>26</xdr:row>
      <xdr:rowOff>193040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80868A-B39A-0C58-8B82-E67E8F850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2E99CE-B1B3-965B-4CBB-15DEF3755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711200</xdr:colOff>
      <xdr:row>1</xdr:row>
      <xdr:rowOff>0</xdr:rowOff>
    </xdr:from>
    <xdr:to>
      <xdr:col>14</xdr:col>
      <xdr:colOff>342900</xdr:colOff>
      <xdr:row>29</xdr:row>
      <xdr:rowOff>33020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FD0EDD-E204-5A69-84EE-AC1DF95E6F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E6843F-29F7-9C83-6544-D7142B65F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20</xdr:row>
      <xdr:rowOff>25400</xdr:rowOff>
    </xdr:from>
    <xdr:to>
      <xdr:col>2</xdr:col>
      <xdr:colOff>546100</xdr:colOff>
      <xdr:row>33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F509A8-297D-8258-3036-342401B487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99.157785185183" createdVersion="8" refreshedVersion="8" minRefreshableVersion="3" recordCount="782" xr:uid="{3C734AC2-1E5B-DE4B-B790-D655A2B0B06E}">
  <cacheSource type="worksheet">
    <worksheetSource ref="A1:AC783" sheet="Updated earthquake_data"/>
  </cacheSource>
  <cacheFields count="29">
    <cacheField name="title" numFmtId="0">
      <sharedItems count="768">
        <s v="M 6.8 - 25 km WNW of Dellys, Algeria"/>
        <s v="M 6.5 - 132 km WSW of Moijabana, Botswana"/>
        <s v="M 7.0 - 160 km SE of Chipinge, Zimbabwe"/>
        <s v="M 6.8 - 76 km ESE of Kalemie, Democratic Republic of the Congo"/>
        <s v="M 6.6 - Afghanistan-Tajikistan-Pakistan region"/>
        <s v="M 6.6 - 42 km WSW of Ashk?sham, Afghanistan"/>
        <s v="M 6.5 - 53 km SW of Ashk?sham, Afghanistan"/>
        <s v="M 7.5 - Hindu Kush region, Afghanistan"/>
        <s v="M 7.4 - 51 km SW of Jurm, Afghanistan"/>
        <s v="M 6.6 - 50 km S of Jurm, Afghanistan"/>
        <s v="M 6.6 - 48 km WNW of P√≥lis, Cyprus"/>
        <s v="M 6.6 - 217 km N of Bamboo Flat, India"/>
        <s v="M 6.5 - 152 km NNE of Bamboo Flat, India"/>
        <s v="M 7.5 - 266 km N of Bamboo Flat, India"/>
        <s v="M 6.6 - 124 km SW of Bamboo Flat, India"/>
        <s v="M 7.7 - 17 km NW of Bhach?u, India"/>
        <s v="M 6.7 - 29 km W of Imph?l, India"/>
        <s v="M 6.9 - 43 km NW of Mangan, India"/>
        <s v="M 7.5 - Nicobar Islands, India region"/>
        <s v="M 6.6 - Nicobar Islands, India region"/>
        <s v="M 7.2 - Nicobar Islands, India region"/>
        <s v="M 9.1 - 2004 Sumatra - Andaman Islands Earthquake"/>
        <s v="M 7.0 - 234 km W of Abepura, Indonesia"/>
        <s v="M 7.0 - 260 km WSW of Abepura, Indonesia"/>
        <s v="M 6.9 - 107 km SE of Amahai, Indonesia"/>
        <s v="M 6.7 - 108 km W of Ambon, Indonesia"/>
        <s v="M 6.7 - 107 km NW of Ambon, Indonesia"/>
        <s v="M 6.5 - 41 km SSW of Ambon, Indonesia"/>
        <s v="M 7.1 - Banda Sea"/>
        <s v="M 6.8 - Banda Sea"/>
        <s v="M 7.0 - 66 km SSW of Banjar, Indonesia"/>
        <s v="M 6.6 - 97 km N of Batang, Indonesia"/>
        <s v="M 8.4 - 122 km SW of Bengkulu, Indonesia"/>
        <s v="M 7.4 - 102 km SSE of Bengkulu, Indonesia"/>
        <s v="M 6.9 - 122 km WSW of Bengkulu, Indonesia"/>
        <s v="M 6.9 - 59 km WSW of Bengkulu, Indonesia"/>
        <s v="M 6.8 - 138 km WSW of Bengkulu, Indonesia"/>
        <s v="M 6.8 - 141 km W of Bengkulu, Indonesia"/>
        <s v="M 6.8 - 138 km W of Bengkulu, Indonesia"/>
        <s v="M 6.9 - 204 km SW of Bengkulu, Indonesia"/>
        <s v="M 7.0 - 121 km SSE of Biak, Indonesia"/>
        <s v="M 6.6 - 135 km SSE of Biak, Indonesia"/>
        <s v="M 6.6 - 29 km NNW of Bima, Indonesia"/>
        <s v="M 7.1 - 138km E of Bitung, Indonesia"/>
        <s v="M 6.5 - 34 km N of Dompu, Indonesia"/>
        <s v="M 6.5 - 28 km NNW of Dompu, Indonesia"/>
        <s v="M 7.3 - Flores Sea"/>
        <s v="M 7.4 - 135 km NW of Gorontalo, Indonesia"/>
        <s v="M 6.7 - south of Java, Indonesia"/>
        <s v="M 6.7 - 68 km WSW of Kabanjahe, Indonesia"/>
        <s v="M 6.5 - 11km S of Kairatu, Indonesia"/>
        <s v="M 6.9 - 222 km SSE of Katabu, Indonesia"/>
        <s v="M 6.5 - 81 km SSW of Katabu, Indonesia"/>
        <s v="M 6.5 - 12 km SSW of Kawalu, Indonesia"/>
        <s v="M 7.5 - 155 km E of Kendari, Indonesia"/>
        <s v="M 6.5 - Kepulauan Mentawai region, Indonesia"/>
        <s v="M 6.9 - 134km WSW of Kota Ternate, Indonesia"/>
        <s v="M 6.5 - 124 km N of Labuan Bajo, Indonesia"/>
        <s v="M 6.9 - 20 km NNW of Labuan Lombok, Indonesia"/>
        <s v="M 6.9 - 36 km NW of Labuan Lombok, Indonesia"/>
        <s v="M 6.6 - 80 km SW of Labuan, Indonesia"/>
        <s v="M 6.9 - 152 km SW of Labuan, Indonesia"/>
        <s v="M 7.2 - 93km NNE of Laiwui, Indonesia"/>
        <s v="M 7.3 - 125 km NNE of Lospalos, Timor Leste"/>
        <s v="M 6.7 - 151 km NE of Lospalos, Timor Leste"/>
        <s v="M 6.5 - 180 km NE of Lospalos, Timor Leste"/>
        <s v="M 6.8 - 98km SSW of Luwuk, Indonesia"/>
        <s v="M 7.7 - 140 km WNW of Manokwari, Indonesia"/>
        <s v="M 7.6 - 102 km SSE of Manokwari, Indonesia"/>
        <s v="M 7.4 - 86 km WNW of Manokwari, Indonesia"/>
        <s v="M 6.7 - 86 km SSE of Manokwari, Indonesia"/>
        <s v="M 6.7 - 72 km S of Manokwari, Indonesia"/>
        <s v="M 6.5 - 117 km WNW of Manokwari, Indonesia"/>
        <s v="M 6.5 - 108 km WNW of Manokwari, Indonesia"/>
        <s v="M 7.5 - 63 km NW of Maubara, Timor Leste"/>
        <s v="M 6.5 - 47 km NW of Maubara, Timor Leste"/>
        <s v="M 7.0 - 150 km NNE of Maumere, Indonesia"/>
        <s v="M 6.7 - 181 km NNE of Maumere, Indonesia"/>
        <s v="M 7.2 - 45 km SSW of Meulaboh, Indonesia"/>
        <s v="M 6.6 - Molucca Sea"/>
        <s v="M 7.1 - 29 km SSW of Nabire, Indonesia"/>
        <s v="M 7.0 - 28 km S of Nabire, Indonesia"/>
        <s v="M 6.7 - 38 km SSW of Nabire, Indonesia"/>
        <s v="M 6.7 - 105 km WNW of Naisano Dua, Indonesia"/>
        <s v="M 7.0 - 153 km SSW of Padang, Indonesia"/>
        <s v="M 6.7 - 112 km WSW of Padang, Indonesia"/>
        <s v="M 6.7 - 155 km SSW of Padang, Indonesia"/>
        <s v="M 6.7 - 118 km SSW of Padang, Indonesia"/>
        <s v="M 6.7 - 113 km SW of Padang, Indonesia"/>
        <s v="M 6.6 - 161 km SSW of Padang, Indonesia"/>
        <s v="M 6.5 - 106 km SW of Padang, Indonesia"/>
        <s v="M 6.7 - 125 km SW of Padangsidempuan, Indonesia"/>
        <s v="M 7.5 - 72 km N of Palu, Indonesia"/>
        <s v="M 6.6 - 161 km NNE of Pamanukan, Indonesia"/>
        <s v="M 7.3 - Near the south coast of Papua, Indonesia"/>
        <s v="M 7.0 - Near the south coast of Papua, Indonesia"/>
        <s v="M 7.6 - 30 km WSW of Pariaman, Indonesia"/>
        <s v="M 6.7 - 166 km W of Pariaman, Indonesia"/>
        <s v="M 6.6 - 37 km WNW of Poso, Indonesia"/>
        <s v="M 6.5 - Pulau-Pulau Talaud, Indonesia"/>
        <s v="M 7.5 - 35 km NNE of Rengasdengklok, Indonesia"/>
        <s v="M 6.5 - 14 km WNW of Reuleuet, Indonesia"/>
        <s v="M 6.5 - 46 km NE of Ruteng, Indonesia"/>
        <s v="M 6.7 - 206 km SSW of Sofifi, Indonesia"/>
        <s v="M 7.2 - 196 km SSE of Sarangani, Philippines"/>
        <s v="M 6.5 - 227 km SE of Sarangani, Philippines"/>
        <s v="M 7.3 - 292km NW of Saumlaki, Indonesia"/>
        <s v="M 7.8 - 75 km E of Sinabang, Indonesia"/>
        <s v="M 7.4 - 56 km NW of Sinabang, Indonesia"/>
        <s v="M 7.4 - 50 km NW of Sinabang, Indonesia"/>
        <s v="M 6.8 - 99 km WNW of Sinabang, Indonesia"/>
        <s v="M 6.5 - 57 km SE of Sinabang, Indonesia"/>
        <s v="M 6.7 - 260 km S of Sinabang, Indonesia"/>
        <s v="M 7.7 - 226 km SSW of Singaparna, Indonesia"/>
        <s v="M 8.6 - 78 km WSW of Singkil, Indonesia"/>
        <s v="M 6.9 - 89 km WSW of Singkil, Indonesia"/>
        <s v="M 6.7 - 94 km WSW of Singkil, Indonesia"/>
        <s v="M 6.8 - 256 km SSW of Singkil, Indonesia"/>
        <s v="M 6.6 - 28 km N of Sorong, Indonesia"/>
        <s v="M 7.9 - 87 km SW of Sungai Penuh, Indonesia"/>
        <s v="M 7.8 - 148 km WSW of Sungai Penuh, Indonesia"/>
        <s v="M 7.2 - 164 km WSW of Sungai Penuh, Indonesia"/>
        <s v="M 6.6 - 80 km W of Sungai Penuh, Indonesia"/>
        <s v="M 6.6 - 49 km SSE of Sungai Penuh, Indonesia"/>
        <s v="M 6.5 - 166 km WSW of Sungai Penuh, Indonesia"/>
        <s v="M 7.5 - 126 km WNW of Ternate, Indonesia"/>
        <s v="M 7.1 - 155 km NW of Ternate, Indonesia"/>
        <s v="M 7.1 - 137 km WNW of Ternate, Indonesia"/>
        <s v="M 6.8 - 157 km NW of Ternate, Indonesia"/>
        <s v="M 7.0 - 116 km NE of Tobelo, Indonesia"/>
        <s v="M 6.9 - 140 km NNW of Tobelo, Indonesia"/>
        <s v="M 6.6 - 140 km WNW of Tobelo, Indonesia"/>
        <s v="M 6.6 - 73 km WNW of Tobelo, Indonesia"/>
        <s v="M 6.5 - 123 km WNW of Tobelo, Indonesia"/>
        <s v="M 6.9 - 268 km WSW of Tual, Indonesia"/>
        <s v="M 6.6 - 163 km ENE of Tual, Indonesia"/>
        <s v="M 7.2 - 284 km WNW of Sabang, Indonesia"/>
        <s v="M 7.8 - southwest of Sumatra, Indonesia"/>
        <s v="M 7.8 - 215 km SW of Sungai Penuh, Indonesia"/>
        <s v="M 7.3 - 29 km S of ?alabja, Iraq"/>
        <s v="M 6.5 - 59 km SSW of Abhar, Iran"/>
        <s v="M 6.7 - 111 km SE of Bam, Iran"/>
        <s v="M 6.6 - 13 km SSW of Bam, Iran"/>
        <s v="M 7.7 - 79 km ESE of Kh?sh, Iran"/>
        <s v="M 7.9 - 47 km E of ?arai, Japan"/>
        <s v="M 7.0 - 27 km SSW of ?funato, Japan"/>
        <s v="M 6.8 - 32 km SE of ?funato, Japan"/>
        <s v="M 7.3 - 234 km SE of ?funato, Japan"/>
        <s v="M 7.3 - 120 km SE of ?funato, Japan"/>
        <s v="M 6.6 - 50 km ESE of ?tsuchi, Japan"/>
        <s v="M 7.1 - 161 km S of ?yama, Japan"/>
        <s v="M 9.1 - 2011 Great Tohoku Earthquake, Japan"/>
        <s v="M 7.8 - Bonin Islands, Japan region"/>
        <s v="M 6.5 - Bonin Islands, Japan region"/>
        <s v="M 6.6 - 27 km ESE of Chitose, Japan"/>
        <s v="M 6.5 - 3 km NW of Hanamaki, Japan"/>
        <s v="M 6.9 - 78 km NE of Hasaki, Japan"/>
        <s v="M 6.5 - 81 km NE of Hasaki, Japan"/>
        <s v="M 6.6 - 177 km SE of Hirara, Japan"/>
        <s v="M 6.6 - 17 km SSW of Ishikawa, Japan"/>
        <s v="M 7.1 - 29 km ESE of Ishinomaki, Japan"/>
        <s v="M 7.0 - 30 km E of Ishinomaki, Japan"/>
        <s v="M 7.2 - 66 km ESE of Ishinomaki, Japan"/>
        <s v="M 7.0 - 133 km ESE of Ishinomaki, Japan"/>
        <s v="M 6.5 - 80 km ESE of Ishinomaki, Japan"/>
        <s v="M 6.5 - Izu Islands, Japan region"/>
        <s v="M 7.7 - 272 km ESE of Kamaishi, Japan"/>
        <s v="M 6.6 - 20 km NNW of Kashiwazaki, Japan"/>
        <s v="M 7.0 - 70 km SE of Katsuren-haebaru, Japan"/>
        <s v="M 6.6 - 161 km SE of Katsuura, Japan"/>
        <s v="M 7.0 - 6 km ESE of Kumamoto, Japan"/>
        <s v="M 6.8 - 16 km SSW of Kure, Japan"/>
        <s v="M 8.2 - 134 km SSW of Kushiro, Japan"/>
        <s v="M 6.7 - 39 km SSE of Kushiro, Japan"/>
        <s v="M 6.5 - 58 km S of Kushiro, Japan"/>
        <s v="M 6.6 - 28 km NNW of Maebaru-ch??, Japan"/>
        <s v="M 6.7 - 140 km WSW of Makurazaki, Japan"/>
        <s v="M 6.8 - 133 km WNW of Mikuni, Japan"/>
        <s v="M 6.7 - 41 km NNE of Miyako, Japan"/>
        <s v="M 6.7 - 83 km ENE of Miyako, Japan"/>
        <s v="M 6.7 - 99 km NE of Miyako, Japan"/>
        <s v="M 6.9 - 24 km WSW of Mizusawa, Japan"/>
        <s v="M 6.8 - 29 km ENE of Morioka, Japan"/>
        <s v="M 6.5 - 109 km NW of Nago, Japan"/>
        <s v="M 7.3 - 57 km ENE of Namie, Japan"/>
        <s v="M 7.1 - 73 km ENE of Namie, Japan"/>
        <s v="M 7.0 - 107 km E of Namie, Japan"/>
        <s v="M 6.9 - 35 km ESE of Namie, Japan"/>
        <s v="M 6.9 - 151 km E of Namie, Japan"/>
        <s v="M 6.5 - 139 km ESE of Namie, Japan"/>
        <s v="M 6.5 - 59 km ENE of Namie, Japan"/>
        <s v="M 6.7 - 46 km NW of Nanao, Japan"/>
        <s v="M 6.8 - 98 km NNE of Naze, Japan"/>
        <s v="M 6.6 - 130 km WNW of Naze, Japan"/>
        <s v="M 7.0 - 51 km SW of Nemuro, Japan"/>
        <s v="M 6.8 - 54 km SSW of Nemuro, Japan"/>
        <s v="M 6.9 - 18 km SSW of Obihiro, Japan"/>
        <s v="M 6.8 - 122 km SSE of Obihiro, Japan"/>
        <s v="M 7.1 - off the east coast of Honshu, Japan"/>
        <s v="M 6.6 - 8 km SSW of Ojiya, Japan"/>
        <s v="M 7.4 - 118 km ESE of Shing?, Japan"/>
        <s v="M 7.2 - 94 km SE of Shing?, Japan"/>
        <s v="M 6.6 - 129 km ESE of Shing?, Japan"/>
        <s v="M 6.7 - 52 km SE of Shizunai-furukawach?, Japan"/>
        <s v="M 7.4 - 119 km ESE of Shizunai-furukawach?, Japan"/>
        <s v="M 6.6 - 244 km SSE of Tateyama, Japan"/>
        <s v="M 6.8 - 62 km SSW of Yonakuni, Japan"/>
        <s v="M 6.7 - 31 km WNW of Yonakuni, Japan"/>
        <s v="M 6.9 - "/>
        <s v="M 6.7 - 131 km SE of Nookat, Kyrgyzstan"/>
        <s v="M 6.7 - 29 km SSW of Turt, Mongolia"/>
        <s v="M 6.8 - 26 km W of Chauk, Myanmar"/>
        <s v="M 6.9 - 76 km SE of Mawlaik, Myanmar"/>
        <s v="M 6.8 - 51 km NNE of Shwebo, Myanmar"/>
        <s v="M 6.9 - 27 km NNW of Tachilek, Myanmar"/>
        <s v="M 6.6 - 16 km SE of Taungdwingyi, Myanmar"/>
        <s v="M 7.8 - 67 km NNE of Bharatpur, Nepal"/>
        <s v="M 6.6 - 71 km NNE of Bharatpur, Nepal"/>
        <s v="M 6.7 - 21 km SSE of Kod?ri??, Nepal"/>
        <s v="M 7.3 - Nepal"/>
        <s v="M 7.7 - 113 km NW of Bela, Pakistan"/>
        <s v="M 7.2 - 46 km WSW of Dalbandin, Pakistan"/>
        <s v="M 6.8 - 129 km WSW of Khuzdar, Pakistan"/>
        <s v="M 7.6 - 21 km NNE of Muzaffar?b?d, Pakistan"/>
        <s v="M 7.2 - 226 km SE of Hotan, China"/>
        <s v="M 6.9 - 272 km ESE of Hotan, China"/>
        <s v="M 6.7 - 221 km NE of Jumla, Nepal"/>
        <s v="M 6.6 - 44 km SE of Kangding, China"/>
        <s v="M 6.6 - 56 km WSW of Linqiong, China"/>
        <s v="M 6.5 - 168 km SW of Mawu, China"/>
        <s v="M 6.6 - 122 km N of Murghob, Tajikistan"/>
        <s v="M 6.6 - northern Qinghai, China"/>
        <s v="M 6.9 - 233 km NNW of Qamdo, China"/>
        <s v="M 7.8 - Southern Qinghai, China"/>
        <s v="M 7.3 - Southern Qinghai, China"/>
        <s v="M 7.9 - 58 km W of Tianpeng, China"/>
        <s v="M 7.0 - 11 km NE of Bantay, Philippines"/>
        <s v="M 7.6 - 61 km W of Bantogon, Philippines"/>
        <s v="M 6.9 - 31 km SW of Burias, Philippines"/>
        <s v="M 6.5 - 4 km NW of Can-Avid, Philippines"/>
        <s v="M 6.6 - 10 km NE of Columbio, Philippines"/>
        <s v="M 6.7 - 15 km S of Hukay, Philippines"/>
        <s v="M 6.7 - 2 km NNE of Jimalalud, Philippines"/>
        <s v="M 6.5 - 2km ESE of Kisante, Philippines"/>
        <s v="M 6.5 - 2 km S of Lim-oo, Philippines"/>
        <s v="M 7.5 - 21 km SE of Lukatan, Philippines"/>
        <s v="M 6.5 - 11 km N of Mabua, Philippines"/>
        <s v="M 6.8 - 7 km S of Magsaysay, Philippines"/>
        <s v="M 7.5 - Mindanao, Philippines"/>
        <s v="M 6.8 - Mindanao, Philippines"/>
        <s v="M 7.1 - 138 km SW of Palimbang, Philippines"/>
        <s v="M 6.9 - Philippine Islands region"/>
        <s v="M 7.1 - 60 km ENE of Pondaguitan, Philippines"/>
        <s v="M 7.0 - 211 km SE of Pondaguitan, Philippines"/>
        <s v="M 7.0 - 96 km ESE of Pondaguitan, Philippines"/>
        <s v="M 7.1 - 4 km SE of Sagbayan, Philippines"/>
        <s v="M 6.6 - 13 km E of San Pedro, Philippines"/>
        <s v="M 6.6 - 106 km WSW of Sangay, Philippines"/>
        <s v="M 6.5 - 9 km W of Talisay, Philippines"/>
        <s v="M 7.6 - 89 km E of Sulangan, Philippines"/>
        <s v="M 7.3 - 189 km SSE of Tabiauan, Philippines"/>
        <s v="M 7.3 - 29 km S of Aktash, Russia"/>
        <s v="M 6.7 - 9 km S of Aktash, Russia"/>
        <s v="M 6.9 - 24 km ENE of Atlasovo, Russia"/>
        <s v="M 6.9 - 25 km ESE of Atlasovo, Russia"/>
        <s v="M 6.6 - 183 km SW of Belaya Gora, Russia"/>
        <s v="M 7.7 - Komandorskiye Ostrova, Russia region"/>
        <s v="M 7.2 - 252 km ENE of Kuril‚Äôsk, Russia"/>
        <s v="M 7.0 - 95 km ENE of Kuril‚Äôsk, Russia"/>
        <s v="M 7.2 - 80 km S of Mil‚Äôkovo, Russia"/>
        <s v="M 6.5 - 81 km ESE of Ozernovskiy, Russia"/>
        <s v="M 6.9 - 81 km SE of Ozernovskiy, Russia"/>
        <s v="M 6.7 - 269 km WNW of Ozernovskiy, Russia"/>
        <s v="M 6.5 - 87 km SE of Ozernovskiy, Russia"/>
        <s v="M 7.7 - 156 km ENE of Poronaysk, Russia"/>
        <s v="M 6.7 - 38 km NE of Saryg-Sep, Russia"/>
        <s v="M 6.6 - 45 km NNE of Saryg-Sep, Russia"/>
        <s v="M 7.5 - 221 km SSE of Severo-Kuril‚Äôsk, Russia"/>
        <s v="M 6.5 - 154 km S of Severo-Kuril‚Äôsk, Russia"/>
        <s v="M 7.6 - 80 km NE of Tilichiki, Russia"/>
        <s v="M 6.6 - 42 km NNW of Tilichiki, Russia"/>
        <s v="M 6.6 - 80 km E of Tilichiki, Russia"/>
        <s v="M 6.6 - 81 km NNE of Ust‚Äô-Kamchatsk Staryy, Russia"/>
        <s v="M 7.3 - 187 km SE of Ust‚Äô-Kamchatsk Staryy, Russia"/>
        <s v="M 6.6 - 171 km SSE of Ust‚Äô-Kamchatsk Staryy, Russia"/>
        <s v="M 7.1 - 30 km SW of Hengchun, Taiwan"/>
        <s v="M 6.9 - 26 km W of Hengchun, Taiwan"/>
        <s v="M 6.7 - 65 km S of Hualien City, Taiwan"/>
        <s v="M 7.1 - 67 km ENE of Hualien City, Taiwan"/>
        <s v="M 6.5 - 96 km SE of Lugu, Taiwan"/>
        <s v="M 6.9 - 90 km E of Yujing, Taiwan"/>
        <s v="M 6.8 - 92 km E of Yujing, Taiwan"/>
        <s v="M 7.2 - 104 km W of Murghob, Tajikistan"/>
        <s v="M 6.7 - 13 km N of Do?anyol, Turkey"/>
        <s v="M 6.6 - 11 km ENE of Kos, Greece"/>
        <s v="M 6.5 - 5 km NE of Sultanda??, Turkey"/>
        <s v="M 7.1 - 27 km NNE of Van, Turkey"/>
        <s v="M 8.3 - Kuril Islands"/>
        <s v="M 8.3 - Sea of Okhotsk"/>
        <s v="M 6.7 - Sea of Okhotsk"/>
        <s v="M 6.6 - 36 km W of K√≠ssamos, Greece"/>
        <s v="M 6.7 - 26 km NE of K√Ωthira, Greece"/>
        <s v="M 6.9 - 21 km SSW of Kamari√≥tissa, Greece"/>
        <s v="M 6.5 - 50 km S of Kor√≥ni, Greece"/>
        <s v="M 6.5 - 19 km SSW of Lefk√°da, Greece"/>
        <s v="M 6.8 - 32 km SW of Lithaki√°, Greece"/>
        <s v="M 6.9 - 35 km S of Meth√≥ni, Greece"/>
        <s v="M 6.5 - 91 km S of N√©a Anatol√≠, Greece"/>
        <s v="M 7.0 - 13 km NNE of N√©on Karlov√°sion, Greece"/>
        <s v="M 6.5 - 32 km WNW of Sk√Ωros, Greece"/>
        <s v="M 6.6 - 5 km ESE of Preci, Italy"/>
        <s v="M 6.6 - 131km S of Bristol Island, South Sandwich Islands"/>
        <s v="M 6.5 - 83km ENE of Bristol Island, South Sandwich Islands"/>
        <s v="M 7.7 - Scotia Sea"/>
        <s v="M 7.6 - Scotia Sea"/>
        <s v="M 6.9 - Scotia Sea"/>
        <s v="M 7.3 - South Sandwich Islands region"/>
        <s v="M 6.5 - 128 km NE of Bathsheba, Barbados"/>
        <s v="M 6.5 - 171 km NNE of Greenland, Barbados"/>
        <s v="M 6.8 - 210 km SW of Port McNeill, Canada"/>
        <s v="M 6.7 - 189 km SW of Port McNeill, Canada"/>
        <s v="M 6.5 - 237 km SW of Port McNeill, Canada"/>
        <s v="M 6.5 - 223 km SW of Port McNeill, Canada"/>
        <s v="M 7.8 - 206 km SW of Prince Rupert, Canada"/>
        <s v="M 6.5 - 107 km WSW of Vernon, Canada"/>
        <s v="M 6.5 - Costa Rica"/>
        <s v="M 7.6 - 11 km ENE of Hojancha, Costa Rica"/>
        <s v="M 6.5 - 18 km W of Parrita, Costa Rica"/>
        <s v="M 6.6 - 5 km S of Cojutepeque, El Salvador"/>
        <s v="M 7.3 - 74 km S of Intipuc√°, El Salvador"/>
        <s v="M 6.6 - 32 km S of La Libertad, El Salvador"/>
        <s v="M 7.7 - 28 km SSW of Puerto El Triunfo, El Salvador"/>
        <s v="M 7.3 - 126 km S of Puerto El Triunfo, El Salvador"/>
        <s v="M 6.9 - 156 km SSW of Puerto El Triunfo, El Salvador"/>
        <s v="M 7.4 - 33 km S of Champerico, Guatemala"/>
        <s v="M 6.5 - 32 km SW of Champerico, Guatemala"/>
        <s v="M 6.5 - 33 km S of Puerto San Jos√©, Guatemala"/>
        <s v="M 6.9 - 2 km SSW of San Pablo, Guatemala"/>
        <s v="M 7.0 - 10 km SE of L√©og√¢ne, Haiti"/>
        <s v="M 7.2 - Nippes, Haiti"/>
        <s v="M 7.5 - 203 km NNE of Barra Patuca, Honduras"/>
        <s v="M 7.3 - 46 km NW of Guanaja, Honduras"/>
        <s v="M 7.7 - 123 km NNW of Lucea, Jamaica"/>
        <s v="M 7.4 - 18 km WNW of Basse-Pointe, Martinique"/>
        <s v="M 7.0 - Acapulco, Mexico"/>
        <s v="M 7.6 - 35 km SSW of Aguililla, Mexico"/>
        <s v="M 6.8 - 55 km SSW of Aguililla, Mexico"/>
        <s v="M 6.9 - 96 km WNW of Bah√≠a de Kino, Mexico"/>
        <s v="M 6.6 - 75 km SSW of Bah√≠a de Kino, Mexico"/>
        <s v="M 6.7 - 19 km SW of Brisas Barra de Suchiate, Mexico"/>
        <s v="M 8.2 - near the coast of Chiapas, Mexico"/>
        <s v="M 7.2 - 9 km ENE of Coyuquilla Norte, Mexico"/>
        <s v="M 7.6 - 16 km SSW of Cuyutl√°n, Mexico"/>
        <s v="M 7.2 - 12km SW of Delta, B.C., MX"/>
        <s v="M 6.5 - 41 km NW of El Habillal, Mexico"/>
        <s v="M 6.7 - 97 km SSW of El Huitusi, Mexico"/>
        <s v="M 6.6 - 98 km SW of Etchoropo, Mexico"/>
        <s v="M 6.5 - 9 km SSW of General Pascual Fentes, Mexico"/>
        <s v="M 6.6 - 7 km SW of Helio Garc√≠a Alfaro, Mexico"/>
        <s v="M 6.6 - 203 km SW of La Cruz de Loreto, Mexico"/>
        <s v="M 6.6 - 4 km W of Manuel √Åvila Camacho (Ponte Duro), Mexico"/>
        <s v="M 7.1 - 1 km S of Matzaco, Mexico"/>
        <s v="M 6.5 - 6 km SSW of Nuevo Balsas, Mexico"/>
        <s v="M 6.8 - 27 km SSW of Nuxco, Mexico"/>
        <s v="M 7.2 - 4 km S of Pinotepa de Don Luis, Mexico"/>
        <s v="M 6.9 - 4 km W of Puerto Madero, Mexico"/>
        <s v="M 6.7 - 5 km SW of Puerto Madero, Mexico"/>
        <s v="M 7.0 - 69 km ENE of San Luis, Mexico"/>
        <s v="M 7.4 - 9 km SE of Santa Mar√≠a Xadani, Mexico"/>
        <s v="M 7.4 - 6 km E of Santiago Llano Grande, Mexico"/>
        <s v="M 6.7 - 95 km SW of Topolobampo, Mexico"/>
        <s v="M 6.6 - 15 km N of Bel√©n, Nicaragua"/>
        <s v="M 6.5 - 80 km SW of Jiquilillo, Nicaragua"/>
        <s v="M 7.0 - 43 km SSW of Masachapa, Nicaragua"/>
        <s v="M 6.6 - 55 km WSW of Masachapa, Nicaragua"/>
        <s v="M 6.5 - 44 km W of Masachapa, Nicaragua"/>
        <s v="M 6.6 - 32 km W of San Juan del Sur, Nicaragua"/>
        <s v="M 6.7 - 60 km SSW of Boca Chica, Panama"/>
        <s v="M 6.5 - 3 km SSE of Progreso, Panama"/>
        <s v="M 6.6 - 22 km ESE of Punta de Burica, Panama"/>
        <s v="M 6.5 - 14 km SE of Punta de Burica, Panama"/>
        <s v="M 6.5 - 236 km S of Punta de Burica, Panama"/>
        <s v="M 6.5 - 110 km SE of Punta de Burica, Panama"/>
        <s v="M 6.5 - 108 km WSW of Adak, Alaska"/>
        <s v="M 7.0 - 101 km SW of Atka, Alaska"/>
        <s v="M 6.5 - 81 km SSW of Atka, Alaska"/>
        <s v="M 6.8 - 200 km NW of Attu Station, Alaska"/>
        <s v="M 6.5 - 247 km ESE of Attu Station, Alaska"/>
        <s v="M 7.2 - 153 km W of Big Lagoon, California"/>
        <s v="M 7.9 - 75 km E of Cantwell, Alaska"/>
        <s v="M 6.6 - 53 km ENE of Cantwell, Alaska"/>
        <s v="M 6.9 - 112 km E of Chignik, Alaska"/>
        <s v="M 7.9 - 261 km SE of Chiniak, Alaska"/>
        <s v="M 7.5 - 110 km SW of Edna Bay, Alaska"/>
        <s v="M 6.6 - 164 km W of Ferndale, California"/>
        <s v="M 6.5 - 37 km WNW of Ferndale, California"/>
        <s v="M 6.9 - Fox Islands, Aleutian Islands, Alaska"/>
        <s v="M 6.8 - 77 km WNW of Indianola, California"/>
        <s v="M 6.6 - 74 km S of Kokhanok, Alaska"/>
        <s v="M 6.9 - 18 km SSW of Leilani Estates, Hawaii"/>
        <s v="M 6.8 - 7 km SSE of Longbranch, Washington"/>
        <s v="M 7.1 - 20 km SSW of Merizo Village, Guam"/>
        <s v="M 6.5 - Monte Cristo Range, NV Earthquake"/>
        <s v="M 6.8 - 100 km SE of Nikolski, Alaska"/>
        <s v="M 6.7 - 91 km SE of Nikolski, Alaska"/>
        <s v="M 6.6 - 53 km SE of Nikolski, Alaska"/>
        <s v="M 6.5 - 71 km SE of Nikolski, Alaska"/>
        <s v="M 6.9 - 47 km S of Old Harbor, Alaska"/>
        <s v="M 7.1 - 47 km ESE of Pedro Bay, Alaska"/>
        <s v="M 8.2 - 91 km ESE of Perryville, Alaska"/>
        <s v="M 8.2 - 99 km SE of Perryville, Alaska"/>
        <s v="M 7.8 - 99 km SSE of Perryville, Alaska"/>
        <s v="M 6.9 - 136 km SE of Perryville, Alaska"/>
        <s v="M 6.9 - 125 km SE of Perryville, Alaska"/>
        <s v="M 7.1 - 1 km SE of Point MacKenzie, Alaska"/>
        <s v="M 6.7 - 14 km SW of Puako, Hawaii"/>
        <s v="M 7.9 - Rat Islands, Aleutian Islands, Alaska"/>
        <s v="M 6.5 - 10 km NE of San Simeon, California"/>
        <s v="M 7.6 - 99 km SE of Sand Point, Alaska"/>
        <s v="M 7.1 - 18km W of Searles Valley, CA"/>
        <s v="M 6.5 - Stanley, Idaho"/>
        <s v="M 6.8 - 117 km SSE of Ugashik, Alaska"/>
        <s v="M 6.8 - 36 km S of George Town, Cayman Islands"/>
        <s v="M 6.7 - Prince Edward Islands region"/>
        <s v="M 6.6 - 200km W of Broome, Australia"/>
        <s v="M 7.3 - 77 km ENE of Ba, Fiji"/>
        <s v="M 6.9 - Fiji region"/>
        <s v="M 7.1 - Fiji region"/>
        <s v="M 6.5 - Fiji region"/>
        <s v="M 6.5 - 130 km NNW of Lautoka, Fiji"/>
        <s v="M 8.2 - 267 km E of Levuka, Fiji"/>
        <s v="M 7.9 - 45 km S of Levuka, Fiji"/>
        <s v="M 6.8 - 187 km E of Levuka, Fiji"/>
        <s v="M 6.7 - 279 km E of Levuka, Fiji"/>
        <s v="M 6.9 - 225 km SW of Nadi, Fiji"/>
        <s v="M 6.6 - 34km NNE of Ndoi Island, Fiji"/>
        <s v="M 6.5 - 166km SSW of Ndoi Island, Fiji"/>
        <s v="M 7.0 - south of the Fiji Islands"/>
        <s v="M 6.9 - south of the Fiji Islands"/>
        <s v="M 6.8 - south of the Fiji Islands"/>
        <s v="M 6.5 - south of the Fiji Islands"/>
        <s v="M 7.0 - "/>
        <s v="M 7.5 - 166 km ESE of Tadine, New Caledonia"/>
        <s v="M 7.3 - 201 km ESE of Tadine, New Caledonia"/>
        <s v="M 7.1 - 238 km ESE of Tadine, New Caledonia"/>
        <s v="M 7.0 - 85 km ENE of Tadine, New Caledonia"/>
        <s v="M 7.0 - 118 km NNE of Tadine, New Caledonia"/>
        <s v="M 6.9 - 284 km ESE of Tadine, New Caledonia"/>
        <s v="M 6.7 - 132 km E of Tadine, New Caledonia"/>
        <s v="M 6.6 - 199 km ESE of Tadine, New Caledonia"/>
        <s v="M 6.6 - 74 km E of Tadine, New Caledonia"/>
        <s v="M 6.6 - 101 km E of Tadine, New Caledonia"/>
        <s v="M 6.5 - 171 km E of Tadine, New Caledonia"/>
        <s v="M 7.8 - 53 km NNE of Amberley, New Zealand"/>
        <s v="M 6.5 - 74 km NE of Amberley, New Zealand"/>
        <s v="M 6.6 - Auckland Islands, New Zealand region"/>
        <s v="M 6.5 - 92 km SSW of Blenheim, New Zealand"/>
        <s v="M 6.5 - 29 km SE of Blenheim, New Zealand"/>
        <s v="M 6.5 - 38 km ESE of Blenheim, New Zealand"/>
        <s v="M 7.3 - 182 km NE of Gisborne, New Zealand"/>
        <s v="M 7.0 - 175 km NE of Gisborne, New Zealand"/>
        <s v="M 6.7 - 183 km NE of Gisborne, New Zealand"/>
        <s v="M 6.6 - 46 km SSE of Gisborne, New Zealand"/>
        <s v="M 7.6 - Kermadec Islands region"/>
        <s v="M 6.9 - Kermadec Islands region"/>
        <s v="M 6.5 - Kermadec Islands region"/>
        <s v="M 8.1 - Kermadec Islands, New Zealand"/>
        <s v="M 7.4 - Kermadec Islands, New Zealand"/>
        <s v="M 6.9 - Kermadec Islands, New Zealand"/>
        <s v="M 6.7 - Kermadec Islands, New Zealand"/>
        <s v="M 6.6 - Kermadec Islands, New Zealand"/>
        <s v="M 6.5 - Kermadec Islands, New Zealand"/>
        <s v="M 7.3 - 116km NE of L'Esperance Rock, New Zealand"/>
        <s v="M 7.0 - 19 km NE of Methven, New Zealand"/>
        <s v="M 7.8 - 97 km WSW of Te Anau, New Zealand"/>
        <s v="M 7.2 - 56 km NW of Te Anau, New Zealand"/>
        <s v="M 6.8 - 70 km N of Te Anau, New Zealand"/>
        <s v="M 7.1 - 255 km W of Riverton, New Zealand"/>
        <s v="M 7.5 - 70 km SW of Panguna, Papua New Guinea"/>
        <s v="M 7.6 - 68 km ESE of Aitape, Papua New Guinea"/>
        <s v="M 6.7 - 11 km SE of Aitape, Papua New Guinea"/>
        <s v="M 6.6 - 23 km ESE of Aitape, Papua New Guinea"/>
        <s v="M 6.6 - 103 km NE of Angoram, Papua New Guinea"/>
        <s v="M 6.5 - 67 km WSW of Angoram, Papua New Guinea"/>
        <s v="M 7.1 - 33km NW of Bulolo, Papua New Guinea"/>
        <s v="M 6.6 - 76 km NE of Finschhafen, Papua New Guinea"/>
        <s v="M 6.5 - 36 km E of Finschhafen, Papua New Guinea"/>
        <s v="M 6.5 - 4 km ESE of Finschhafen, Papua New Guinea"/>
        <s v="M 7.6 - 70 km E of Kainantu, Papua New Guinea"/>
        <s v="M 6.6 - 11 km ENE of Kainantu, Papua New Guinea"/>
        <s v="M 6.8 - 76 km WNW of Kandrian, Papua New Guinea"/>
        <s v="M 6.6 - 26 km NE of Kandrian, Papua New Guinea"/>
        <s v="M 6.6 - 52 km ENE of Kandrian, Papua New Guinea"/>
        <s v="M 7.0 - 119 km E of Kimbe, Papua New Guinea"/>
        <s v="M 7.0 - 72 km ESE of Kimbe, Papua New Guinea"/>
        <s v="M 7.0 - 40 km S of Kimbe, Papua New Guinea"/>
        <s v="M 6.9 - 150 km E of Kimbe, Papua New Guinea"/>
        <s v="M 6.9 - 56 km SE of Kimbe, Papua New Guinea"/>
        <s v="M 6.7 - 140 km E of Kimbe, Papua New Guinea"/>
        <s v="M 6.7 - 100 km ESE of Kimbe, Papua New Guinea"/>
        <s v="M 6.6 - 82 km E of Kimbe, Papua New Guinea"/>
        <s v="M 6.6 - 125 km E of Kimbe, Papua New Guinea"/>
        <s v="M 6.5 - 111 km E of Kimbe, Papua New Guinea"/>
        <s v="M 6.6 - 155 km SE of Kimbe, Papua New Guinea"/>
        <s v="M 7.9 - 140 km E of Kokopo, Papua New Guinea"/>
        <s v="M 7.6 - 135 km E of Kokopo, Papua New Guinea"/>
        <s v="M 7.5 - 131 km SSW of Kokopo, Papua New Guinea"/>
        <s v="M 7.5 - 53 km SE of Kokopo, Papua New Guinea"/>
        <s v="M 7.3 - 190 km ENE of Kokopo, Papua New Guinea"/>
        <s v="M 6.8 - 103 km E of Kokopo, Papua New Guinea"/>
        <s v="M 6.8 - 109 km SSW of Kokopo, Papua New Guinea"/>
        <s v="M 6.8 - 154 km ESE of Kokopo, Papua New Guinea"/>
        <s v="M 6.8 - 114 km ESE of Kokopo, Papua New Guinea"/>
        <s v="M 6.7 - 126 km SSW of Kokopo, Papua New Guinea"/>
        <s v="M 6.7 - 190 km ESE of Kokopo, Papua New Guinea"/>
        <s v="M 6.6 - 129 km SSW of Kokopo, Papua New Guinea"/>
        <s v="M 6.6 - 87 km SSE of Kokopo, Papua New Guinea"/>
        <s v="M 6.5 - 105 km ESE of Kokopo, Papua New Guinea"/>
        <s v="M 6.7 - 191 km SE of Kokopo, Papua New Guinea"/>
        <s v="M 6.5 - 217 km SSE of Kokopo, Papua New Guinea"/>
        <s v="M 6.8 - 140 km N of Lae, Papua New Guinea"/>
        <s v="M 6.8 - 107 km N of Lae, Papua New Guinea"/>
        <s v="M 6.5 - 118 km ESE of Madang, Papua New Guinea"/>
        <s v="M 7.6 - 46km SSE of Namatanai, Papua New Guinea"/>
        <s v="M 7.3 - New Britain region, Papua New Guinea"/>
        <s v="M 6.7 - New Ireland region, Papua New Guinea"/>
        <s v="M 7.9 - 35 km WNW of Panguna, Papua New Guinea"/>
        <s v="M 7.1 - 56 km WSW of Panguna, Papua New Guinea"/>
        <s v="M 6.8 - 62 km WSW of Panguna, Papua New Guinea"/>
        <s v="M 6.8 - 49 km S of Panguna, Papua New Guinea"/>
        <s v="M 6.6 - 57 km SW of Panguna, Papua New Guinea"/>
        <s v="M 6.9 - 113 km SSE of Panguna, Papua New Guinea"/>
        <s v="M 6.7 - 128 km SSE of Panguna, Papua New Guinea"/>
        <s v="M 6.6 - 99 km SSE of Panguna, Papua New Guinea"/>
        <s v="M 7.1 - 143 km SW of Panguna, Papua New Guinea"/>
        <s v="M 6.6 - 115 km W of Panguna, Papua New Guinea"/>
        <s v="M 6.6 - 98 km W of Panguna, Papua New Guinea"/>
        <s v="M 6.5 - 78 km SW of Panguna, Papua New Guinea"/>
        <s v="M 7.0 - 114 km NNW of Popondetta, Papua New Guinea"/>
        <s v="M 6.8 - 90 km NE of Rabaul, Papua New Guinea"/>
        <s v="M 6.5 - 33 km N of Rabaul, Papua New Guinea"/>
        <s v="M 6.5 - 41 km N of Rabaul, Papua New Guinea"/>
        <s v="M 7.5 - 32 km SW of Tari, Papua New Guinea"/>
        <s v="M 6.7 - 62 km SW of Tari, Papua New Guinea"/>
        <s v="M 7.1 - 25 km SSE of Wau, Papua New Guinea"/>
        <s v="M 6.8 - 153 km WSW of Buala, Solomon Islands"/>
        <s v="M 8.1 - 45 km SSE of Gizo, Solomon Islands"/>
        <s v="M 7.1 - 94 km SE of Gizo, Solomon Islands"/>
        <s v="M 6.6 - 98 km SE of Gizo, Solomon Islands"/>
        <s v="M 6.8 - 127 km SE of Gizo, Solomon Islands"/>
        <s v="M 6.5 - 177 km SE of Gizo, Solomon Islands"/>
        <s v="M 7.8 - 69 km WSW of Kirakira, Solomon Islands"/>
        <s v="M 6.8 - 79 km W of Kirakira, Solomon Islands"/>
        <s v="M 6.8 - 60 km SSE of Kirakira, Solomon Islands"/>
        <s v="M 6.7 - 55 km WSW of Kirakira, Solomon Islands"/>
        <s v="M 6.6 - 60 km SSE of Kirakira, Solomon Islands"/>
        <s v="M 6.5 - 66 km NW of Kirakira, Solomon Islands"/>
        <s v="M 6.5 - 65 km W of Kirakira, Solomon Islands"/>
        <s v="M 7.6 - 93 km SSE of Kirakira, Solomon Islands"/>
        <s v="M 7.4 - 112 km S of Kirakira, Solomon Islands"/>
        <s v="M 7.3 - 126 km W of Kirakira, Solomon Islands"/>
        <s v="M 6.9 - 92 km WSW of Kirakira, Solomon Islands"/>
        <s v="M 6.9 - 205 km ESE of Kirakira, Solomon Islands"/>
        <s v="M 6.9 - 99 km WSW of Kirakira, Solomon Islands"/>
        <s v="M 6.8 - 159 km ESE of Kirakira, Solomon Islands"/>
        <s v="M 6.7 - 80 km SSE of Kirakira, Solomon Islands"/>
        <s v="M 6.6 - 75 km S of Kirakira, Solomon Islands"/>
        <s v="M 6.5 - 79 km WSW of Kirakira, Solomon Islands"/>
        <s v="M 7.1 - 32 km SE of Lata, Solomon Islands"/>
        <s v="M 7.0 - 33 km NW of Lata, Solomon Islands"/>
        <s v="M 6.8 - 22 km ESE of Lata, Solomon Islands"/>
        <s v="M 6.7 - 33 km SSW of Lata, Solomon Islands"/>
        <s v="M 6.6 - 30 km SSW of Lata, Solomon Islands"/>
        <s v="M 8.0 - 75 km W of Lata, Solomon Islands"/>
        <s v="M 7.2 - 97 km S of Lata, Solomon Islands"/>
        <s v="M 7.1 - 112 km WSW of Lata, Solomon Islands"/>
        <s v="M 7.0 - 80 km WNW of Lata, Solomon Islands"/>
        <s v="M 6.8 - 178 km W of Lata, Solomon Islands"/>
        <s v="M 6.6 - 175 km SSE of Lata, Solomon Islands"/>
        <s v="M 7.0 - 18 km SW of Malango, Solomon Islands"/>
        <s v="M 6.8 - 22 km WNW of Malango, Solomon Islands"/>
        <s v="M 6.7 - 150 km WNW of Malango, Solomon Islands"/>
        <s v="M 6.6 - 186 km WNW of Malango, Solomon Islands"/>
        <s v="M 6.5 - 31 km WSW of Malango, Solomon Islands"/>
        <s v="M 7.6 - 191 km S of ‚ÄòOhonua, Tonga"/>
        <s v="M 6.5 - 207 km WSW of Haveluloto, Tonga"/>
        <s v="M 6.9 - 201 km ESE of Hihifo, Tonga"/>
        <s v="M 6.8 - 97 km NE of Hihifo, Tonga"/>
        <s v="M 6.5 - 96 km ENE of Hihifo, Tonga"/>
        <s v="M 6.6 - 76 km W of Neiafu, Tonga"/>
        <s v="M 7.3 - 205 km ESE of Neiafu, Tonga"/>
        <s v="M 6.6 - 136 km W of Neiafu, Tonga"/>
        <s v="M 8.0 - 47 km SSE of Pangai, Tonga"/>
        <s v="M 8.0 - 50 km ESE of Pangai, Tonga"/>
        <s v="M 6.5 - 225 km WNW of Pangai, Tonga"/>
        <s v="M 7.4 - 292 km SW of Vaini, Tonga"/>
        <s v="M 6.6 - 62km E of Lakatoro, Vanuatu"/>
        <s v="M 6.5 - 78 km E of Lakatoro, Vanuatu"/>
        <s v="M 7.2 - 56 km E of Luganville, Vanuatu"/>
        <s v="M 7.0 - 3 km NW of Norsup, Vanuatu"/>
        <s v="M 6.8 - 51 km NE of Norsup, Vanuatu"/>
        <s v="M 7.1 - 31 km NE of Port-Olry, Vanuatu"/>
        <s v="M 7.1 - 16 km NE of Port-Olry, Vanuatu"/>
        <s v="M 6.9 - 17 km N of Port-Olry, Vanuatu"/>
        <s v="M 6.9 - 82 km NNW of Port-Olry, Vanuatu"/>
        <s v="M 6.8 - 59 km NNE of Port-Olry, Vanuatu"/>
        <s v="M 6.5 - 32 km E of Port-Olry, Vanuatu"/>
        <s v="M 7.3 - 33 km NW of Port-Vila, Vanuatu"/>
        <s v="M 7.2 - 50 km WNW of Port-Vila, Vanuatu"/>
        <s v="M 6.8 - 81 km NNE of Port-Vila, Vanuatu"/>
        <s v="M 6.6 - 33 km WNW of Port-Vila, Vanuatu"/>
        <s v="M 7.2 - 71 km SSW of Port-Vila, Vanuatu"/>
        <s v="M 7.1 - 125 km W of Port-Vila, Vanuatu"/>
        <s v="M 7.1 - 64 km S of Port-Vila, Vanuatu"/>
        <s v="M 6.5 - 65 km SSW of Port-Vila, Vanuatu"/>
        <s v="M 7.7 - 148 km NW of Sola, Vanuatu"/>
        <s v="M 7.4 - 143 km NW of Sola, Vanuatu"/>
        <s v="M 7.2 - 100 km WNW of Sola, Vanuatu"/>
        <s v="M 6.9 - 75 km WNW of Sola, Vanuatu"/>
        <s v="M 6.7 - 104 km W of Sola, Vanuatu"/>
        <s v="M 6.7 - 102 km WSW of Sola, Vanuatu"/>
        <s v="M 6.7 - 59 km SSW of Sola, Vanuatu"/>
        <s v="M 6.7 - 52 km SW of Sola, Vanuatu"/>
        <s v="M 6.6 - 94 km NW of Sola, Vanuatu"/>
        <s v="M 6.5 - 32 km W of Sola, Vanuatu"/>
        <s v="M 6.5 - 48 km NW of Sola, Vanuatu"/>
        <s v="M 6.5 - 86 km NNW of Sola, Vanuatu"/>
        <s v="M 7.8 - 196 km NW of Sola, Vanuatu"/>
        <s v="M 6.8 - 188 km WNW of Sola, Vanuatu"/>
        <s v="M 6.7 - 190 km NW of Sola, Vanuatu"/>
        <s v="M 7.3 - 141 km W of Isangel, Vanuatu"/>
        <s v="M 7.3 - 71 km SW of Isangel, Vanuatu"/>
        <s v="M 7.1 - 119 km S of Isangel, Vanuatu"/>
        <s v="M 7.0 - 209 km SSE of Isangel, Vanuatu"/>
        <s v="M 7.0 - 133 km SSE of Isangel, Vanuatu"/>
        <s v="M 6.6 - 239 km SSE of Isangel, Vanuatu"/>
        <s v="M 6.6 - 51 km NW of Isangel, Vanuatu"/>
        <s v="M 7.3 - Vanuatu region"/>
        <s v="M 6.9 - Vanuatu region"/>
        <s v="M 7.0 - 69 km SSE of Inarajan Village, Guam"/>
        <s v="M 6.7 - 43 km NW of Piti Village, Guam"/>
        <s v="M 6.5 - 265 km SSE of Alo, Wallis and Futuna"/>
        <s v="M 6.5 - 181 km SSW of Alo, Wallis and Futuna"/>
        <s v="M 8.1 - north of Macquarie Island"/>
        <s v="M 6.7 - 201 km SSE of Mata-Utu, Wallis and Futuna"/>
        <s v="M 8.1 - 168 km SSW of Matavai, Samoa"/>
        <s v="M 7.7 - Pagan region, Northern Mariana Islands"/>
        <s v="M 6.8 - Pagan region, Northern Mariana Islands"/>
        <s v="M 6.5 - 114 km SSE of San Jose Village, Northern Mariana Islands"/>
        <s v="M 7.7 - southeast of the Loyalty Islands"/>
        <s v="M 7.2 - southeast of the Loyalty Islands"/>
        <s v="M 7.0 - southeast of the Loyalty Islands"/>
        <s v="M 6.8 - 124 km NE of W√©, New Caledonia"/>
        <s v="M 6.7 - 103 km W of El Aguilar, Argentina"/>
        <s v="M 6.8 - 86 km NNW of San Antonio de los Cobres, Argentina"/>
        <s v="M 6.8 - 38 km SE of Boyuibe, Bolivia"/>
        <s v="M 6.5 - 41 km E of Padilla, Bolivia"/>
        <s v="M 6.8 - 68 km NNE of San Pedro de Atacama, Chile"/>
        <s v="M 6.7 - 125 km SSW of Tarauac√°, Brazil"/>
        <s v="M 6.5 - 107 km SSW of Tarauac√°, Brazil"/>
        <s v="M 6.8 - 90km W of Tarauaca, Brazil"/>
        <s v="M 6.8 - 82 km NNE of Antofagasta, Chile"/>
        <s v="M 6.7 - 80 km NNE of Antofagasta, Chile"/>
        <s v="M 6.6 - 30 km SSE of Ca√±ete, Chile"/>
        <s v="M 6.6 - 11 km N of Ca√±ete, Chile"/>
        <s v="M 6.5 - 107 km NE of Calama, Chile"/>
        <s v="M 7.2 - 42 km NNW of Carahue, Chile"/>
        <s v="M 7.1 - 23 km NE of Constituci√≥n, Chile"/>
        <s v="M 6.7 - 70 km WSW of Constituci√≥n, Chile"/>
        <s v="M 6.7 - 38 km W of Constituci√≥n, Chile"/>
        <s v="M 6.7 - 78 km WNW of Copiap√≥, Chile"/>
        <s v="M 6.7 - 31 km SW of Copiap√≥, Chile"/>
        <s v="M 6.5 - 73 km WNW of Copiap√≥, Chile"/>
        <s v="M 6.7 - 10 km SSW of Coquimbo, Chile"/>
        <s v="M 6.6 - 41 km SSW of Coquimbo, Chile"/>
        <s v="M 6.9 - 85 km NW of Coquimbo, Chile"/>
        <s v="M 6.9 - 81 km NW of Coquimbo, Chile"/>
        <s v="M 6.7 - 146 km WNW of Corral, Chile"/>
        <s v="M 6.7 - 22 km NW of Hacienda La Calera, Chile"/>
        <s v="M 8.3 - 48 km W of Illapel, Chile"/>
        <s v="M 7.0 - 25 km WNW of Illapel, Chile"/>
        <s v="M 6.7 - 61 km WNW of Illapel, Chile"/>
        <s v="M 6.6 - 22 km WSW of Illapel, Chile"/>
        <s v="M 6.5 - 54 km WNW of Illapel, Chile"/>
        <s v="M 7.8 - 102 km ENE of Iquique, Chile"/>
        <s v="M 6.5 - 92 km N of Iquique, Chile"/>
        <s v="M 8.2 - 93 km NW of Iquique, Chile"/>
        <s v="M 7.7 - 53 km SW of Iquique, Chile"/>
        <s v="M 6.7 - 63 km WNW of Iquique, Chile"/>
        <s v="M 6.5 - 45 km WSW of Iquique, Chile"/>
        <s v="M 6.9 - 90 km WNW of Iquique, Chile"/>
        <s v="M 7.4 - 124 km W of Lebu, Chile"/>
        <s v="M 6.6 - 20 km SW of Monte Patria, Chile"/>
        <s v="M 6.8 - 39 km SW of Ovalle, Chile"/>
        <s v="M 6.8 - 42 km W of Ovalle, Chile"/>
        <s v="M 7.6 - 41 km SW of Quell√≥n, Chile"/>
        <s v="M 8.8 - 36 km WNW of Quirihue, Chile"/>
        <s v="M 6.8 - 96 km SW of San Antonio, Chile"/>
        <s v="M 6.8 - 48 km SW of San Pedro de Atacama, Chile"/>
        <s v="M 7.0 - 52 km NW of Santa Cruz, Chile"/>
        <s v="M 6.9 - 61 km NW of Santa Cruz, Chile"/>
        <s v="M 6.6 - 23 km WNW of Talcahuano, Chile"/>
        <s v="M 6.5 - 67 km ESE of Teno, Chile"/>
        <s v="M 7.7 - 36 km ESE of Tocopilla, Chile"/>
        <s v="M 6.9 - 21 km N of Tom√©, Chile"/>
        <s v="M 6.7 - 52 km NNW of Tom√©, Chile"/>
        <s v="M 6.8 - 86 km NW of Vallenar, Chile"/>
        <s v="M 6.8 - 54 km N of Vallenar, Chile"/>
        <s v="M 6.5 - 94 km NW of Vallenar, Chile"/>
        <s v="M 6.9 - 40 km W of Valpara√≠so, Chile"/>
        <s v="M 6.7 - 101 km WSW of Bah√≠a Solano, Colombia"/>
        <s v="M 7.2 - 32 km SSW of Pizarro, Colombia"/>
        <s v="M 7.3 - 11 km WNW of San Agust√≠n, Colombia"/>
        <s v="M 6.8 - 39 km WNW of Timbiqu√≠, Colombia"/>
        <s v="M 6.9 - 2 km NNE of Yacuanquer, Colombia"/>
        <s v="M 7.1 - Ecuador"/>
        <s v="M 6.8 - 30 km E of Macas, Ecuador"/>
        <s v="M 7.8 - 27 km SSE of Muisne, Ecuador"/>
        <s v="M 6.7 - 32 km SE of Muisne, Ecuador"/>
        <s v="M 7.5 - 111km ESE of Palora, Ecuador"/>
        <s v="M 6.9 - 24 km NW of Rosa Zarate, Ecuador"/>
        <s v="M 6.7 - 43 km SSE of Iztapa, Guatemala"/>
        <s v="M 6.8 - 28 km SW of Puerto San Jos√©, Guatemala"/>
        <s v="M 6.7 - 71 km S of Burica, Panama"/>
        <s v="M 6.6 - 31 km S of Achanizo, Peru"/>
        <s v="M 6.8 - 38 km NW of Aniso, Peru"/>
        <s v="M 8.4 - 6 km SSW of Atico, Peru"/>
        <s v="M 7.1 - 37 km W of Atiquipa, Peru"/>
        <s v="M 7.1 - 16 km WSW of Atiquipa, Peru"/>
        <s v="M 7.2 - 10 km W of Az√°ngaro, Peru"/>
        <s v="M 7.0 - 22 km NNE of Az√°ngaro, Peru"/>
        <s v="M 7.5 - 43 km NNW of Barranca, Peru"/>
        <s v="M 6.5 - 49 km NW of Barranca, Peru"/>
        <s v="M 7.0 - 64 km ESE of Contamana, Peru"/>
        <s v="M 7.6 - 185 km WNW of I√±apari, Peru"/>
        <s v="M 7.6 - 155 km WNW of I√±apari, Peru"/>
        <s v="M 7.1 - 136 km W of I√±apari, Peru"/>
        <s v="M 8.0 - 78 km NE of Navarro, Peru"/>
        <s v="M 6.7 - 34 km WSW of Pacocha, Peru"/>
        <s v="M 7.6 - 51 km SW of Punta de Bomb√≥n, Peru"/>
        <s v="M 8.0 - 41 km SW of San Vicente de Ca√±ete, Peru"/>
        <s v="M 6.7 - 52 km SW of San Vicente de Ca√±ete, Peru"/>
        <s v="M 6.9 - 39 km SW of Santiago, Peru"/>
        <s v="M 7.5 - 39 km NW of Yurimaguas, Peru"/>
        <s v="M 7.3 - 40 km ENE of Car√∫pano, Venezuela"/>
        <s v="M 7.1 - South Sandwich Islands region"/>
        <s v="M 6.6 - South Sandwich Islands region"/>
        <s v="M 6.9 - South Shetland Islands"/>
        <s v="M 6.5 - Bouvet Island region"/>
        <s v="M 8.1 - South Sandwich Islands region"/>
        <s v="M 7.5 - South Sandwich Islands region"/>
        <s v="M 7.2 - South Sandwich Islands region"/>
        <s v="M 6.9 - South Sandwich Islands region"/>
        <s v="M 6.5 - South Sandwich Islands region"/>
        <s v="M 6.9 - central Mid-Atlantic Ridge"/>
        <s v="M 6.5 - central Mid-Atlantic Ridge"/>
        <s v="M 6.7 - Mauritius - Reunion region"/>
        <s v="M 6.9 - Federated States of Micronesia region"/>
        <s v="M 6.6 - northern Mid-Atlantic Ridge"/>
        <s v="M 8.6 - off the west coast of northern Sumatra"/>
        <s v="M 8.2 - off the west coast of northern Sumatra"/>
        <s v="M 7.2 - off the west coast of northern Sumatra"/>
        <s v="M 6.7 - 120 km NW of Olonkinbyen, Svalbard and Jan Mayen"/>
        <s v="M 7.4 - south of the Kermadec Islands"/>
        <s v="M 6.6 - south of the Kermadec Islands"/>
        <s v="M 6.5 - south of the Kermadec Islands"/>
        <s v="M 8.1 - east of the Kuril Islands"/>
        <s v="M 6.6 - "/>
      </sharedItems>
    </cacheField>
    <cacheField name="magnitude" numFmtId="0">
      <sharedItems containsSemiMixedTypes="0" containsString="0" containsNumber="1" minValue="6.5" maxValue="9.1"/>
    </cacheField>
    <cacheField name="date_time" numFmtId="0">
      <sharedItems containsDate="1" containsMixedTypes="1" minDate="2001-01-01T06:57:00" maxDate="2022-12-11T07:09:00"/>
    </cacheField>
    <cacheField name="cdi" numFmtId="0">
      <sharedItems containsSemiMixedTypes="0" containsString="0" containsNumber="1" containsInteger="1" minValue="0" maxValue="9"/>
    </cacheField>
    <cacheField name="mmi" numFmtId="0">
      <sharedItems containsSemiMixedTypes="0" containsString="0" containsNumber="1" containsInteger="1" minValue="1" maxValue="9"/>
    </cacheField>
    <cacheField name="alert" numFmtId="0">
      <sharedItems containsBlank="1"/>
    </cacheField>
    <cacheField name="tsunami" numFmtId="0">
      <sharedItems containsSemiMixedTypes="0" containsString="0" containsNumber="1" containsInteger="1" minValue="0" maxValue="1"/>
    </cacheField>
    <cacheField name="sig" numFmtId="0">
      <sharedItems containsSemiMixedTypes="0" containsString="0" containsNumber="1" containsInteger="1" minValue="650" maxValue="2910"/>
    </cacheField>
    <cacheField name="net" numFmtId="0">
      <sharedItems/>
    </cacheField>
    <cacheField name="nst" numFmtId="0">
      <sharedItems containsSemiMixedTypes="0" containsString="0" containsNumber="1" containsInteger="1" minValue="0" maxValue="934"/>
    </cacheField>
    <cacheField name="dmin" numFmtId="0">
      <sharedItems containsSemiMixedTypes="0" containsString="0" containsNumber="1" minValue="0" maxValue="17.654"/>
    </cacheField>
    <cacheField name="gap" numFmtId="0">
      <sharedItems containsSemiMixedTypes="0" containsString="0" containsNumber="1" minValue="0" maxValue="239"/>
    </cacheField>
    <cacheField name="magType" numFmtId="0">
      <sharedItems/>
    </cacheField>
    <cacheField name="depth" numFmtId="0">
      <sharedItems containsSemiMixedTypes="0" containsString="0" containsNumber="1" minValue="2.7" maxValue="670.81"/>
    </cacheField>
    <cacheField name="latitude" numFmtId="0">
      <sharedItems containsSemiMixedTypes="0" containsString="0" containsNumber="1" minValue="-61.848399999999998" maxValue="71.631200000000007"/>
    </cacheField>
    <cacheField name="longitude" numFmtId="0">
      <sharedItems containsSemiMixedTypes="0" containsString="0" containsNumber="1" minValue="-179.96799999999999" maxValue="179.66200000000001"/>
    </cacheField>
    <cacheField name="location" numFmtId="0">
      <sharedItems containsBlank="1"/>
    </cacheField>
    <cacheField name="continent" numFmtId="0">
      <sharedItems count="8">
        <s v="Africa"/>
        <s v="Asia"/>
        <s v="Europe"/>
        <s v="North America"/>
        <s v="Oceania"/>
        <s v="South America"/>
        <s v="Antarctica"/>
        <s v="No Continent"/>
      </sharedItems>
    </cacheField>
    <cacheField name="country" numFmtId="0">
      <sharedItems count="57">
        <s v="Algeria"/>
        <s v="Botswana"/>
        <s v="Mozambique"/>
        <s v="Tanzania"/>
        <s v="Afghanistan"/>
        <s v="Cyprus"/>
        <s v="India"/>
        <s v="Indonesia"/>
        <s v="Iran"/>
        <s v="Japan"/>
        <s v="Kyrgyzstan"/>
        <s v="Mongolia"/>
        <s v="Myanmar"/>
        <s v="Nepal"/>
        <s v="Pakistan"/>
        <s v="China"/>
        <s v="Tajikistan"/>
        <s v="Philippines"/>
        <s v="Phillippines"/>
        <s v="Russia"/>
        <s v="Taiwan"/>
        <s v="Turkey"/>
        <s v="NA"/>
        <s v="Greece"/>
        <s v="Italy"/>
        <s v="UK"/>
        <s v="Barbados"/>
        <s v="Canada"/>
        <s v="Costa Rica"/>
        <s v="El Salvador"/>
        <s v="Guatemala"/>
        <s v="Haiti"/>
        <s v="Honduras"/>
        <s v="Jamaica"/>
        <s v="Martinique"/>
        <s v="Mexico"/>
        <s v="Nicaragua"/>
        <s v="Panama"/>
        <s v="USA"/>
        <s v="Australia"/>
        <s v="Fiji"/>
        <s v="New Caledonia"/>
        <s v="New Zealand"/>
        <s v="Papau New Guinea"/>
        <s v="Papua New Guinea"/>
        <s v="Solomon Islands"/>
        <s v="Tonga"/>
        <s v="Vanuatu"/>
        <s v="Guam"/>
        <s v="Argentina"/>
        <s v="Bolivia"/>
        <s v="Brazil"/>
        <s v="Chile"/>
        <s v="Colombia"/>
        <s v="Ecuador"/>
        <s v="Peru"/>
        <s v="Venezuela"/>
      </sharedItems>
    </cacheField>
    <cacheField name="Continent2" numFmtId="0">
      <sharedItems containsSemiMixedTypes="0" containsString="0" containsNumber="1" containsInteger="1" minValue="1" maxValue="8"/>
    </cacheField>
    <cacheField name="magnitude2" numFmtId="0">
      <sharedItems containsSemiMixedTypes="0" containsString="0" containsNumber="1" minValue="6.5" maxValue="9.1"/>
    </cacheField>
    <cacheField name="nst2" numFmtId="0">
      <sharedItems containsSemiMixedTypes="0" containsString="0" containsNumber="1" containsInteger="1" minValue="0" maxValue="934"/>
    </cacheField>
    <cacheField name="dmin2" numFmtId="0">
      <sharedItems containsSemiMixedTypes="0" containsString="0" containsNumber="1" minValue="0" maxValue="17.654"/>
    </cacheField>
    <cacheField name="gap2" numFmtId="0">
      <sharedItems containsSemiMixedTypes="0" containsString="0" containsNumber="1" minValue="0" maxValue="239"/>
    </cacheField>
    <cacheField name="depth2" numFmtId="0">
      <sharedItems containsSemiMixedTypes="0" containsString="0" containsNumber="1" minValue="2.7" maxValue="670.81"/>
    </cacheField>
    <cacheField name="cdi2" numFmtId="0">
      <sharedItems containsSemiMixedTypes="0" containsString="0" containsNumber="1" containsInteger="1" minValue="0" maxValue="9"/>
    </cacheField>
    <cacheField name="mmi2" numFmtId="0">
      <sharedItems containsSemiMixedTypes="0" containsString="0" containsNumber="1" containsInteger="1" minValue="1" maxValue="9"/>
    </cacheField>
    <cacheField name="tsunami2" numFmtId="0">
      <sharedItems containsSemiMixedTypes="0" containsString="0" containsNumber="1" containsInteger="1" minValue="0" maxValue="1"/>
    </cacheField>
    <cacheField name="sig2" numFmtId="0">
      <sharedItems containsSemiMixedTypes="0" containsString="0" containsNumber="1" containsInteger="1" minValue="650" maxValue="29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99.912993634258" createdVersion="8" refreshedVersion="8" minRefreshableVersion="3" recordCount="786" xr:uid="{B1B56C78-CFE8-884D-A02F-ACA6404045D4}">
  <cacheSource type="worksheet">
    <worksheetSource ref="K1:P1048576" sheet="MM Updated Data"/>
  </cacheSource>
  <cacheFields count="6">
    <cacheField name="date_time" numFmtId="0">
      <sharedItems containsBlank="1" count="306">
        <s v="0101"/>
        <s v="0113"/>
        <s v="0116"/>
        <s v="0126"/>
        <s v="0212"/>
        <s v="0213"/>
        <s v="0224"/>
        <s v="0228"/>
        <s v="0319"/>
        <s v="0324"/>
        <s v="0419"/>
        <s v="0507"/>
        <s v="0623"/>
        <s v="0626"/>
        <s v="0707"/>
        <s v="0726"/>
        <s v="0728"/>
        <s v="0901"/>
        <s v="1001"/>
        <s v="1019"/>
        <s v="1031"/>
        <s v="1109"/>
        <s v="1114"/>
        <s v="1210"/>
        <s v="1218"/>
        <s v="1223"/>
        <s v="0201"/>
        <s v="0211"/>
        <s v="0301"/>
        <s v="0302"/>
        <s v="0303"/>
        <s v="0311"/>
        <s v="0328"/>
        <s v="0331"/>
        <s v="0418"/>
        <s v="0426"/>
        <s v="0502"/>
        <s v="0503"/>
        <s v="0617"/>
        <s v="0618"/>
        <s v="0622"/>
        <s v="0731"/>
        <s v="0809"/>
        <s v="0814"/>
        <s v="0913"/>
        <s v="1010"/>
        <s v="1023"/>
        <s v="1212"/>
        <s v="0110"/>
        <s v="0120"/>
        <s v="0121"/>
        <s v="0122"/>
        <s v="0325"/>
        <s v="0408"/>
        <s v="0521"/>
        <s v="0526"/>
        <s v="0611"/>
        <s v="0616"/>
        <s v="0620"/>
        <s v="0706"/>
        <s v="0715"/>
        <s v="0810"/>
        <s v="0821"/>
        <s v="0921"/>
        <s v="0925"/>
        <s v="0927"/>
        <s v="0929"/>
        <s v="1012"/>
        <s v="1103"/>
        <s v="1118"/>
        <s v="1125"/>
        <s v="1222"/>
        <s v="1225"/>
        <s v="1226"/>
        <s v="1227"/>
        <s v="0128"/>
        <s v="0305"/>
        <s v="0423"/>
        <s v="0504"/>
        <s v="0509"/>
        <s v="0609"/>
        <s v="0612"/>
        <s v="0702"/>
        <s v="0802"/>
        <s v="0828"/>
        <s v="0904"/>
        <s v="0910"/>
        <s v="1006"/>
        <s v="1015"/>
        <s v="1111"/>
        <s v="1115"/>
        <s v="1122"/>
        <s v="1126"/>
        <s v="1128"/>
        <s v="1214"/>
        <s v="0119"/>
        <s v="0203"/>
        <s v="0207"/>
        <s v="0215"/>
        <s v="0219"/>
        <s v="0226"/>
        <s v="0320"/>
        <s v="0512"/>
        <s v="0514"/>
        <s v="0519"/>
        <s v="0613"/>
        <s v="0615"/>
        <s v="0724"/>
        <s v="0816"/>
        <s v="0909"/>
        <s v="0926"/>
        <s v="1004"/>
        <s v="1117"/>
        <s v="1119"/>
        <s v="0109"/>
        <s v="0222"/>
        <s v="0314"/>
        <s v="0401"/>
        <s v="0420"/>
        <s v="0429"/>
        <s v="0430"/>
        <s v="0516"/>
        <s v="0522"/>
        <s v="0528"/>
        <s v="0704"/>
        <s v="0708"/>
        <s v="0711"/>
        <s v="0717"/>
        <s v="0801"/>
        <s v="0824"/>
        <s v="0928"/>
        <s v="1017"/>
        <s v="1020"/>
        <s v="0104"/>
        <s v="0108"/>
        <s v="0209"/>
        <s v="0220"/>
        <s v="0716"/>
        <s v="0808"/>
        <s v="0815"/>
        <s v="0920"/>
        <s v="1009"/>
        <s v="1024"/>
        <s v="1116"/>
        <s v="1127"/>
        <s v="1129"/>
        <s v="1209"/>
        <s v="1216"/>
        <s v="1220"/>
        <s v="0214"/>
        <s v="0225"/>
        <s v="0510"/>
        <s v="0627"/>
        <s v="0705"/>
        <s v="0719"/>
        <s v="0723"/>
        <s v="0825"/>
        <s v="1016"/>
        <s v="1202"/>
        <s v="1205"/>
        <s v="0308"/>
        <s v="0710"/>
        <s v="0811"/>
        <s v="0908"/>
        <s v="0911"/>
        <s v="0930"/>
        <s v="1008"/>
        <s v="1030"/>
        <s v="1102"/>
        <s v="1113"/>
        <s v="1208"/>
        <s v="0227"/>
        <s v="0309"/>
        <s v="0316"/>
        <s v="0330"/>
        <s v="0403"/>
        <s v="0404"/>
        <s v="0413"/>
        <s v="0501"/>
        <s v="0527"/>
        <s v="0604"/>
        <s v="0714"/>
        <s v="0718"/>
        <s v="0905"/>
        <s v="1021"/>
        <s v="1025"/>
        <s v="1104"/>
        <s v="1201"/>
        <s v="1206"/>
        <s v="0118"/>
        <s v="0607"/>
        <s v="0820"/>
        <s v="0903"/>
        <s v="0916"/>
        <s v="0918"/>
        <s v="1005"/>
        <s v="1014"/>
        <s v="1028"/>
        <s v="1112"/>
        <s v="0202"/>
        <s v="0321"/>
        <s v="0417"/>
        <s v="0421"/>
        <s v="0428"/>
        <s v="0602"/>
        <s v="0712"/>
        <s v="0826"/>
        <s v="0827"/>
        <s v="0831"/>
        <s v="1204"/>
        <s v="1221"/>
        <s v="0103"/>
        <s v="0130"/>
        <s v="0409"/>
        <s v="0414"/>
        <s v="0416"/>
        <s v="0523"/>
        <s v="0524"/>
        <s v="0624"/>
        <s v="0721"/>
        <s v="0813"/>
        <s v="0830"/>
        <s v="0902"/>
        <s v="0924"/>
        <s v="1003"/>
        <s v="1123"/>
        <s v="0105"/>
        <s v="0111"/>
        <s v="0218"/>
        <s v="0304"/>
        <s v="0407"/>
        <s v="0424"/>
        <s v="0513"/>
        <s v="0629"/>
        <s v="0812"/>
        <s v="0917"/>
        <s v="1107"/>
        <s v="1121"/>
        <s v="0123"/>
        <s v="0216"/>
        <s v="0329"/>
        <s v="0411"/>
        <s v="0425"/>
        <s v="0505"/>
        <s v="0520"/>
        <s v="0529"/>
        <s v="0530"/>
        <s v="0701"/>
        <s v="0727"/>
        <s v="0912"/>
        <s v="1007"/>
        <s v="1026"/>
        <s v="1124"/>
        <s v="1217"/>
        <s v="0106"/>
        <s v="0114"/>
        <s v="0124"/>
        <s v="0415"/>
        <s v="0518"/>
        <s v="0729"/>
        <s v="1101"/>
        <s v="0206"/>
        <s v="0221"/>
        <s v="0614"/>
        <s v="0720"/>
        <s v="0919"/>
        <s v="1002"/>
        <s v="1211"/>
        <s v="1213"/>
        <s v="1215"/>
        <s v="0204"/>
        <s v="0326"/>
        <s v="0405"/>
        <s v="0508"/>
        <s v="0603"/>
        <s v="0803"/>
        <s v="0817"/>
        <s v="0819"/>
        <s v="0829"/>
        <s v="1013"/>
        <s v="1022"/>
        <s v="1130"/>
        <s v="1229"/>
        <s v="0102"/>
        <s v="0115"/>
        <s v="0208"/>
        <s v="0601"/>
        <s v="0605"/>
        <s v="1029"/>
        <s v="0205"/>
        <s v="0306"/>
        <s v="0515"/>
        <s v="0722"/>
        <s v="0818"/>
        <s v="0210"/>
        <s v="0822"/>
        <s v="0922"/>
        <s v="1011"/>
        <s v="1108"/>
        <s v="1110"/>
        <s v="0129"/>
        <s v="0313"/>
        <s v="0322"/>
        <s v="0806"/>
        <s v="0914"/>
        <m/>
      </sharedItems>
    </cacheField>
    <cacheField name="DDMM" numFmtId="0">
      <sharedItems containsBlank="1"/>
    </cacheField>
    <cacheField name="tsunami" numFmtId="0">
      <sharedItems containsString="0" containsBlank="1" containsNumber="1" containsInteger="1" minValue="0" maxValue="1"/>
    </cacheField>
    <cacheField name="Continent" numFmtId="0">
      <sharedItems containsString="0" containsBlank="1" containsNumber="1" containsInteger="1" minValue="1" maxValue="8"/>
    </cacheField>
    <cacheField name="magnitude" numFmtId="0">
      <sharedItems containsString="0" containsBlank="1" containsNumber="1" minValue="6.5" maxValue="9.1"/>
    </cacheField>
    <cacheField name="depth" numFmtId="0">
      <sharedItems containsString="0" containsBlank="1" containsNumber="1" minValue="2.7" maxValue="670.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99.916557523145" createdVersion="8" refreshedVersion="8" minRefreshableVersion="3" recordCount="786" xr:uid="{8F584FBE-953F-2545-9A16-1C8F9F4A1823}">
  <cacheSource type="worksheet">
    <worksheetSource ref="L1:P1048576" sheet="MM Updated Data"/>
  </cacheSource>
  <cacheFields count="5">
    <cacheField name="MM" numFmtId="0">
      <sharedItems containsBlank="1" count="13">
        <s v="01"/>
        <s v="02"/>
        <s v="03"/>
        <s v="04"/>
        <s v="05"/>
        <s v="06"/>
        <s v="07"/>
        <s v="09"/>
        <s v="10"/>
        <s v="11"/>
        <s v="12"/>
        <s v="08"/>
        <m/>
      </sharedItems>
    </cacheField>
    <cacheField name="tsunami" numFmtId="0">
      <sharedItems containsString="0" containsBlank="1" containsNumber="1" containsInteger="1" minValue="0" maxValue="1" count="3">
        <n v="0"/>
        <n v="1"/>
        <m/>
      </sharedItems>
    </cacheField>
    <cacheField name="Continent" numFmtId="0">
      <sharedItems containsString="0" containsBlank="1" containsNumber="1" containsInteger="1" minValue="1" maxValue="8"/>
    </cacheField>
    <cacheField name="magnitude" numFmtId="0">
      <sharedItems containsString="0" containsBlank="1" containsNumber="1" minValue="6.5" maxValue="9.1"/>
    </cacheField>
    <cacheField name="depth" numFmtId="0">
      <sharedItems containsString="0" containsBlank="1" containsNumber="1" minValue="2.7" maxValue="670.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99.917895138889" createdVersion="8" refreshedVersion="8" minRefreshableVersion="3" recordCount="782" xr:uid="{D2B0A507-018A-DA4A-A98A-EEC166B37EB0}">
  <cacheSource type="worksheet">
    <worksheetSource ref="L1:P783" sheet="MM Updated Data"/>
  </cacheSource>
  <cacheFields count="5">
    <cacheField name="MM" numFmtId="0">
      <sharedItems count="12">
        <s v="01"/>
        <s v="02"/>
        <s v="03"/>
        <s v="04"/>
        <s v="05"/>
        <s v="06"/>
        <s v="07"/>
        <s v="09"/>
        <s v="10"/>
        <s v="11"/>
        <s v="12"/>
        <s v="08"/>
      </sharedItems>
    </cacheField>
    <cacheField name="tsunami" numFmtId="0">
      <sharedItems containsSemiMixedTypes="0" containsString="0" containsNumber="1" containsInteger="1" minValue="0" maxValue="1" count="2">
        <n v="0"/>
        <n v="1"/>
      </sharedItems>
    </cacheField>
    <cacheField name="Continent" numFmtId="0">
      <sharedItems containsSemiMixedTypes="0" containsString="0" containsNumber="1" containsInteger="1" minValue="1" maxValue="8" count="8">
        <n v="2"/>
        <n v="4"/>
        <n v="5"/>
        <n v="6"/>
        <n v="3"/>
        <n v="1"/>
        <n v="8"/>
        <n v="7"/>
      </sharedItems>
    </cacheField>
    <cacheField name="magnitude" numFmtId="0">
      <sharedItems containsSemiMixedTypes="0" containsString="0" containsNumber="1" minValue="6.5" maxValue="9.1" count="24">
        <n v="7.5"/>
        <n v="6.8"/>
        <n v="7.7"/>
        <n v="6.9"/>
        <n v="6.5"/>
        <n v="6.6"/>
        <n v="7.4"/>
        <n v="7.1"/>
        <n v="6.7"/>
        <n v="8.4"/>
        <n v="7.6"/>
        <n v="7"/>
        <n v="7.8"/>
        <n v="7.2"/>
        <n v="7.9"/>
        <n v="7.3"/>
        <n v="8.16"/>
        <n v="8.1"/>
        <n v="9.1"/>
        <n v="8.6"/>
        <n v="8"/>
        <n v="8.3000000000000007"/>
        <n v="8.8000000000000007"/>
        <n v="8.1999999999999993"/>
      </sharedItems>
    </cacheField>
    <cacheField name="depth" numFmtId="0">
      <sharedItems containsSemiMixedTypes="0" containsString="0" containsNumber="1" minValue="2.7" maxValue="670.81" count="303">
        <n v="33"/>
        <n v="60"/>
        <n v="28"/>
        <n v="16"/>
        <n v="123.8"/>
        <n v="10"/>
        <n v="36"/>
        <n v="35"/>
        <n v="51.798000000000002"/>
        <n v="50"/>
        <n v="17"/>
        <n v="62"/>
        <n v="24"/>
        <n v="131.80000000000001"/>
        <n v="103"/>
        <n v="36.4"/>
        <n v="37"/>
        <n v="14"/>
        <n v="21"/>
        <n v="30"/>
        <n v="5"/>
        <n v="225.6"/>
        <n v="4.2"/>
        <n v="125.1"/>
        <n v="32.799999999999997"/>
        <n v="24.9"/>
        <n v="85.7"/>
        <n v="39"/>
        <n v="31"/>
        <n v="54"/>
        <n v="13"/>
        <n v="11"/>
        <n v="34"/>
        <n v="12"/>
        <n v="68"/>
        <n v="113.7"/>
        <n v="174.8"/>
        <n v="32"/>
        <n v="27"/>
        <n v="25"/>
        <n v="71.900000000000006"/>
        <n v="40.200000000000003"/>
        <n v="8.3819999999999997"/>
        <n v="17.399999999999999"/>
        <n v="65.8"/>
        <n v="16.600000000000001"/>
        <n v="187.1"/>
        <n v="13.4"/>
        <n v="25.7"/>
        <n v="105"/>
        <n v="228.4"/>
        <n v="188.6"/>
        <n v="94"/>
        <n v="15"/>
        <n v="16.100000000000001"/>
        <n v="39.200000000000003"/>
        <n v="27.8"/>
        <n v="201.7"/>
        <n v="29"/>
        <n v="39.700000000000003"/>
        <n v="525"/>
        <n v="22"/>
        <n v="115.6"/>
        <n v="206.3"/>
        <n v="26"/>
        <n v="90"/>
        <n v="115"/>
        <n v="19"/>
        <n v="147"/>
        <n v="224.6"/>
        <n v="38"/>
        <n v="55"/>
        <n v="60.5"/>
        <n v="30.1"/>
        <n v="150"/>
        <n v="20"/>
        <n v="66"/>
        <n v="43"/>
        <n v="38.182000000000002"/>
        <n v="23"/>
        <n v="120"/>
        <n v="8"/>
        <n v="350.4"/>
        <n v="280"/>
        <n v="28.9"/>
        <n v="40"/>
        <n v="18"/>
        <n v="122.9"/>
        <n v="53"/>
        <n v="156"/>
        <n v="40.5"/>
        <n v="45"/>
        <n v="27.4"/>
        <n v="7.8"/>
        <n v="25.5"/>
        <n v="108"/>
        <n v="110"/>
        <n v="96"/>
        <n v="83"/>
        <n v="9"/>
        <n v="46"/>
        <n v="204.8"/>
        <n v="64"/>
        <n v="31.1"/>
        <n v="292"/>
        <n v="595"/>
        <n v="81"/>
        <n v="130"/>
        <n v="22.9"/>
        <n v="176"/>
        <n v="9.9870000000000001"/>
        <n v="220"/>
        <n v="44"/>
        <n v="15.4"/>
        <n v="10.5"/>
        <n v="578"/>
        <n v="28.736999999999998"/>
        <n v="20.100000000000001"/>
        <n v="206.7"/>
        <n v="185.1"/>
        <n v="79"/>
        <n v="91"/>
        <n v="166.2"/>
        <n v="42"/>
        <n v="42.6"/>
        <n v="18.600000000000001"/>
        <n v="6.8"/>
        <n v="59"/>
        <n v="135"/>
        <n v="118"/>
        <n v="40.700000000000003"/>
        <n v="198"/>
        <n v="134.69999999999999"/>
        <n v="41"/>
        <n v="583.20000000000005"/>
        <n v="91.1"/>
        <n v="170"/>
        <n v="155"/>
        <n v="25.1"/>
        <n v="13.7"/>
        <n v="200.7"/>
        <n v="112"/>
        <n v="573"/>
        <n v="107"/>
        <n v="402"/>
        <n v="80"/>
        <n v="8.6999999999999993"/>
        <n v="602.20000000000005"/>
        <n v="173.7"/>
        <n v="598.1"/>
        <n v="624"/>
        <n v="8.8000000000000007"/>
        <n v="385.5"/>
        <n v="56"/>
        <n v="8.1999999999999993"/>
        <n v="145"/>
        <n v="41.54"/>
        <n v="19.04"/>
        <n v="9.4499999999999993"/>
        <n v="9.9700000000000006"/>
        <n v="371"/>
        <n v="187"/>
        <n v="28.42"/>
        <n v="106"/>
        <n v="434"/>
        <n v="44.26"/>
        <n v="119"/>
        <n v="614"/>
        <n v="14.83"/>
        <n v="24.07"/>
        <n v="22.4"/>
        <n v="43.37"/>
        <n v="6.43"/>
        <n v="109"/>
        <n v="26.59"/>
        <n v="122"/>
        <n v="53.19"/>
        <n v="615.41999999999996"/>
        <n v="101"/>
        <n v="16.440999999999999"/>
        <n v="60.53"/>
        <n v="22.56"/>
        <n v="219.96"/>
        <n v="552.05999999999995"/>
        <n v="8.2200000000000006"/>
        <n v="22.91"/>
        <n v="11.19"/>
        <n v="72.599999999999994"/>
        <n v="664"/>
        <n v="460"/>
        <n v="48"/>
        <n v="22.44"/>
        <n v="28.41"/>
        <n v="231"/>
        <n v="223"/>
        <n v="12.59"/>
        <n v="606.21"/>
        <n v="620.55999999999995"/>
        <n v="602.75"/>
        <n v="85"/>
        <n v="125.6"/>
        <n v="177"/>
        <n v="136"/>
        <n v="20.59"/>
        <n v="29.95"/>
        <n v="405.69"/>
        <n v="78"/>
        <n v="27.59"/>
        <n v="196"/>
        <n v="8.4499999999999993"/>
        <n v="12.26"/>
        <n v="82"/>
        <n v="476"/>
        <n v="19.73"/>
        <n v="596.4"/>
        <n v="212"/>
        <n v="15.11"/>
        <n v="16.37"/>
        <n v="94.54"/>
        <n v="152"/>
        <n v="595.98"/>
        <n v="414.5"/>
        <n v="93"/>
        <n v="38.119999999999997"/>
        <n v="110.57"/>
        <n v="7"/>
        <n v="47.39"/>
        <n v="169"/>
        <n v="627.16999999999996"/>
        <n v="553.80999999999995"/>
        <n v="19.36"/>
        <n v="14.06"/>
        <n v="559"/>
        <n v="25.21"/>
        <n v="5.81"/>
        <n v="20.49"/>
        <n v="670.81"/>
        <n v="22.86"/>
        <n v="33.93"/>
        <n v="529"/>
        <n v="600"/>
        <n v="146.82"/>
        <n v="630"/>
        <n v="21.43"/>
        <n v="576"/>
        <n v="550"/>
        <n v="461"/>
        <n v="133"/>
        <n v="540"/>
        <n v="46.7"/>
        <n v="16.559999999999999"/>
        <n v="60.21"/>
        <n v="267"/>
        <n v="591"/>
        <n v="63"/>
        <n v="49"/>
        <n v="570.41"/>
        <n v="122.57"/>
        <n v="57.92"/>
        <n v="43.21"/>
        <n v="146"/>
        <n v="18.98"/>
        <n v="181"/>
        <n v="577"/>
        <n v="15.46"/>
        <n v="14.86"/>
        <n v="143"/>
        <n v="57.8"/>
        <n v="12.06"/>
        <n v="2.7"/>
        <n v="533.76"/>
        <n v="165"/>
        <n v="73"/>
        <n v="28.37"/>
        <n v="527"/>
        <n v="43.98"/>
        <n v="13.23"/>
        <n v="28.93"/>
        <n v="301"/>
        <n v="246"/>
        <n v="46.66"/>
        <n v="33.299999999999997"/>
        <n v="20.74"/>
        <n v="16.7"/>
        <n v="6"/>
        <n v="535"/>
        <n v="55.14"/>
        <n v="51.6"/>
        <n v="126"/>
        <n v="47.23"/>
        <n v="22.79"/>
        <n v="14.27"/>
        <n v="165.49"/>
        <n v="236"/>
        <n v="33.728999999999999"/>
        <n v="622.73"/>
        <n v="630.37900000000002"/>
        <n v="660"/>
        <n v="624.46400000000006"/>
        <n v="137"/>
        <n v="26.943000000000001"/>
        <n v="116"/>
        <n v="57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2">
  <r>
    <x v="0"/>
    <n v="6.8"/>
    <s v="21-05-2003 18:44"/>
    <n v="0"/>
    <n v="9"/>
    <m/>
    <n v="0"/>
    <n v="711"/>
    <s v="us"/>
    <n v="534"/>
    <n v="0"/>
    <n v="19.399999999999999"/>
    <s v="mwc"/>
    <n v="12"/>
    <n v="36.963999999999999"/>
    <n v="3.6339999999999999"/>
    <s v="Dellys, Algeria"/>
    <x v="0"/>
    <x v="0"/>
    <n v="1"/>
    <n v="6.8"/>
    <n v="534"/>
    <n v="0"/>
    <n v="19.399999999999999"/>
    <n v="12"/>
    <n v="0"/>
    <n v="9"/>
    <n v="0"/>
    <n v="711"/>
  </r>
  <r>
    <x v="1"/>
    <n v="6.5"/>
    <d v="2017-03-04T17:40:00"/>
    <n v="7"/>
    <n v="8"/>
    <s v="green"/>
    <n v="0"/>
    <n v="1297"/>
    <s v="us"/>
    <n v="0"/>
    <n v="2.36"/>
    <n v="15"/>
    <s v="mww"/>
    <n v="29"/>
    <n v="-22.6784"/>
    <n v="25.155799999999999"/>
    <s v="Moijabana, Botswana"/>
    <x v="0"/>
    <x v="1"/>
    <n v="1"/>
    <n v="6.5"/>
    <n v="0"/>
    <n v="2.36"/>
    <n v="15"/>
    <n v="29"/>
    <n v="7"/>
    <n v="8"/>
    <n v="0"/>
    <n v="1297"/>
  </r>
  <r>
    <x v="2"/>
    <n v="7"/>
    <s v="22-02-2006 22:19"/>
    <n v="5"/>
    <n v="9"/>
    <m/>
    <n v="0"/>
    <n v="891"/>
    <s v="us"/>
    <n v="412"/>
    <n v="0"/>
    <n v="23.2"/>
    <s v="mwb"/>
    <n v="11"/>
    <n v="-21.324000000000002"/>
    <n v="33.582999999999998"/>
    <s v="Chipinge, Zimbabwe"/>
    <x v="0"/>
    <x v="2"/>
    <n v="1"/>
    <n v="7"/>
    <n v="412"/>
    <n v="0"/>
    <n v="23.2"/>
    <n v="11"/>
    <n v="5"/>
    <n v="9"/>
    <n v="0"/>
    <n v="891"/>
  </r>
  <r>
    <x v="3"/>
    <n v="6.8"/>
    <d v="2005-05-12T12:19:00"/>
    <n v="5"/>
    <n v="7"/>
    <m/>
    <n v="0"/>
    <n v="744"/>
    <s v="us"/>
    <n v="561"/>
    <n v="0"/>
    <n v="20"/>
    <s v="mwc"/>
    <n v="22"/>
    <n v="-6.2240000000000002"/>
    <n v="29.83"/>
    <s v="Kalemie, Democratic Republic"/>
    <x v="0"/>
    <x v="3"/>
    <n v="1"/>
    <n v="6.8"/>
    <n v="561"/>
    <n v="0"/>
    <n v="20"/>
    <n v="22"/>
    <n v="5"/>
    <n v="7"/>
    <n v="0"/>
    <n v="744"/>
  </r>
  <r>
    <x v="4"/>
    <n v="6.6"/>
    <d v="2004-05-04T21:24:00"/>
    <n v="0"/>
    <n v="4"/>
    <m/>
    <n v="0"/>
    <n v="670"/>
    <s v="us"/>
    <n v="728"/>
    <n v="0"/>
    <n v="18.3"/>
    <s v="mwb"/>
    <n v="187.1"/>
    <n v="36.512"/>
    <n v="71.028999999999996"/>
    <s v="Afghanistan-Tajikistan-Pakistan region"/>
    <x v="1"/>
    <x v="4"/>
    <n v="2"/>
    <n v="6.6"/>
    <n v="728"/>
    <n v="0"/>
    <n v="18.3"/>
    <n v="187.1"/>
    <n v="0"/>
    <n v="4"/>
    <n v="0"/>
    <n v="670"/>
  </r>
  <r>
    <x v="5"/>
    <n v="6.6"/>
    <d v="2016-10-04T10:28:00"/>
    <n v="6"/>
    <n v="4"/>
    <s v="green"/>
    <n v="0"/>
    <n v="738"/>
    <s v="us"/>
    <n v="0"/>
    <n v="0.78900000000000003"/>
    <n v="17"/>
    <s v="mww"/>
    <n v="212"/>
    <n v="36.472499999999997"/>
    <n v="71.131100000000004"/>
    <s v="Ashk?sham, Afghanistan"/>
    <x v="1"/>
    <x v="4"/>
    <n v="2"/>
    <n v="6.6"/>
    <n v="0"/>
    <n v="0.78900000000000003"/>
    <n v="17"/>
    <n v="212"/>
    <n v="6"/>
    <n v="4"/>
    <n v="0"/>
    <n v="738"/>
  </r>
  <r>
    <x v="6"/>
    <n v="6.5"/>
    <d v="2005-12-12T21:47:00"/>
    <n v="6"/>
    <n v="5"/>
    <m/>
    <n v="0"/>
    <n v="721"/>
    <s v="us"/>
    <n v="529"/>
    <n v="0"/>
    <n v="20.5"/>
    <s v="mwb"/>
    <n v="224.6"/>
    <n v="36.356999999999999"/>
    <n v="71.093000000000004"/>
    <s v="Ashk?sham, Afghanistan"/>
    <x v="1"/>
    <x v="4"/>
    <n v="2"/>
    <n v="6.5"/>
    <n v="529"/>
    <n v="0"/>
    <n v="20.5"/>
    <n v="224.6"/>
    <n v="6"/>
    <n v="5"/>
    <n v="0"/>
    <n v="721"/>
  </r>
  <r>
    <x v="7"/>
    <n v="7.5"/>
    <s v="26-10-2015 09:09"/>
    <n v="8"/>
    <n v="7"/>
    <s v="orange"/>
    <n v="0"/>
    <n v="1448"/>
    <s v="us"/>
    <n v="0"/>
    <n v="0.622"/>
    <n v="18"/>
    <s v="mww"/>
    <n v="231"/>
    <n v="36.5244"/>
    <n v="70.367599999999996"/>
    <s v="Hindu Kush region, Afghanistan"/>
    <x v="1"/>
    <x v="4"/>
    <n v="2"/>
    <n v="7.5"/>
    <n v="0"/>
    <n v="0.622"/>
    <n v="18"/>
    <n v="231"/>
    <n v="8"/>
    <n v="7"/>
    <n v="0"/>
    <n v="1448"/>
  </r>
  <r>
    <x v="8"/>
    <n v="7.4"/>
    <d v="2002-03-03T12:08:00"/>
    <n v="0"/>
    <n v="5"/>
    <m/>
    <n v="0"/>
    <n v="842"/>
    <s v="us"/>
    <n v="138"/>
    <n v="0"/>
    <n v="0"/>
    <s v="mwc"/>
    <n v="225.6"/>
    <n v="36.502000000000002"/>
    <n v="70.481999999999999"/>
    <s v="Jurm, Afghanistan"/>
    <x v="1"/>
    <x v="4"/>
    <n v="2"/>
    <n v="7.4"/>
    <n v="138"/>
    <n v="0"/>
    <n v="0"/>
    <n v="225.6"/>
    <n v="0"/>
    <n v="5"/>
    <n v="0"/>
    <n v="842"/>
  </r>
  <r>
    <x v="9"/>
    <n v="6.6"/>
    <d v="2009-03-01T20:23:00"/>
    <n v="5"/>
    <n v="4"/>
    <m/>
    <n v="0"/>
    <n v="765"/>
    <s v="us"/>
    <n v="344"/>
    <n v="0"/>
    <n v="22.6"/>
    <s v="mwc"/>
    <n v="204.8"/>
    <n v="36.418999999999997"/>
    <n v="70.742999999999995"/>
    <s v="Jurm, Afghanistan"/>
    <x v="1"/>
    <x v="4"/>
    <n v="2"/>
    <n v="6.6"/>
    <n v="344"/>
    <n v="0"/>
    <n v="22.6"/>
    <n v="204.8"/>
    <n v="5"/>
    <n v="4"/>
    <n v="0"/>
    <n v="765"/>
  </r>
  <r>
    <x v="10"/>
    <n v="6.6"/>
    <d v="2022-11-01T01:07:00"/>
    <n v="6"/>
    <n v="6"/>
    <s v="green"/>
    <n v="0"/>
    <n v="976"/>
    <s v="us"/>
    <n v="0"/>
    <n v="1.1679999999999999"/>
    <n v="21"/>
    <s v="mww"/>
    <n v="21"/>
    <n v="35.145600000000002"/>
    <n v="31.909500000000001"/>
    <s v="P√≥lis, Cyprus"/>
    <x v="1"/>
    <x v="5"/>
    <n v="2"/>
    <n v="6.6"/>
    <n v="0"/>
    <n v="1.1679999999999999"/>
    <n v="21"/>
    <n v="21"/>
    <n v="6"/>
    <n v="6"/>
    <n v="0"/>
    <n v="976"/>
  </r>
  <r>
    <x v="11"/>
    <n v="6.6"/>
    <s v="30-03-2010 16:54"/>
    <n v="5"/>
    <n v="6"/>
    <m/>
    <n v="0"/>
    <n v="701"/>
    <s v="us"/>
    <n v="413"/>
    <n v="0"/>
    <n v="16.7"/>
    <s v="mwc"/>
    <n v="34"/>
    <n v="13.667"/>
    <n v="92.831000000000003"/>
    <s v="Bamboo Flat, India"/>
    <x v="1"/>
    <x v="6"/>
    <n v="2"/>
    <n v="6.6"/>
    <n v="413"/>
    <n v="0"/>
    <n v="16.7"/>
    <n v="34"/>
    <n v="5"/>
    <n v="6"/>
    <n v="0"/>
    <n v="701"/>
  </r>
  <r>
    <x v="12"/>
    <n v="6.5"/>
    <s v="13-09-2002 22:28"/>
    <n v="0"/>
    <n v="6"/>
    <m/>
    <n v="0"/>
    <n v="650"/>
    <s v="us"/>
    <n v="646"/>
    <n v="0"/>
    <n v="0"/>
    <s v="mwc"/>
    <n v="21"/>
    <n v="13.036"/>
    <n v="93.067999999999998"/>
    <s v="Bamboo Flat, India"/>
    <x v="1"/>
    <x v="6"/>
    <n v="2"/>
    <n v="6.5"/>
    <n v="646"/>
    <n v="0"/>
    <n v="0"/>
    <n v="21"/>
    <n v="0"/>
    <n v="6"/>
    <n v="0"/>
    <n v="650"/>
  </r>
  <r>
    <x v="13"/>
    <n v="7.5"/>
    <d v="2009-10-08T19:55:00"/>
    <n v="7"/>
    <n v="6"/>
    <m/>
    <n v="0"/>
    <n v="1248"/>
    <s v="us"/>
    <n v="303"/>
    <n v="0"/>
    <n v="18.2"/>
    <s v="mwc"/>
    <n v="24"/>
    <n v="14.099"/>
    <n v="92.902000000000001"/>
    <s v="Bamboo Flat, India"/>
    <x v="1"/>
    <x v="6"/>
    <n v="2"/>
    <n v="7.5"/>
    <n v="303"/>
    <n v="0"/>
    <n v="18.2"/>
    <n v="24"/>
    <n v="7"/>
    <n v="6"/>
    <n v="0"/>
    <n v="1248"/>
  </r>
  <r>
    <x v="14"/>
    <n v="6.6"/>
    <s v="27-06-2008 11:40"/>
    <n v="4"/>
    <n v="5"/>
    <m/>
    <n v="0"/>
    <n v="680"/>
    <s v="us"/>
    <n v="630"/>
    <n v="0"/>
    <n v="18.399999999999999"/>
    <s v="mwc"/>
    <n v="17"/>
    <n v="11.005000000000001"/>
    <n v="91.823999999999998"/>
    <s v="Bamboo Flat, India"/>
    <x v="1"/>
    <x v="6"/>
    <n v="2"/>
    <n v="6.6"/>
    <n v="630"/>
    <n v="0"/>
    <n v="18.399999999999999"/>
    <n v="17"/>
    <n v="4"/>
    <n v="5"/>
    <n v="0"/>
    <n v="680"/>
  </r>
  <r>
    <x v="15"/>
    <n v="7.7"/>
    <s v="26-01-2001 03:16"/>
    <n v="0"/>
    <n v="9"/>
    <m/>
    <n v="0"/>
    <n v="912"/>
    <s v="us"/>
    <n v="472"/>
    <n v="0"/>
    <n v="0"/>
    <s v="mwc"/>
    <n v="16"/>
    <n v="23.419"/>
    <n v="70.231999999999999"/>
    <s v="Bhach?u, India"/>
    <x v="1"/>
    <x v="6"/>
    <n v="2"/>
    <n v="7.7"/>
    <n v="472"/>
    <n v="0"/>
    <n v="0"/>
    <n v="16"/>
    <n v="0"/>
    <n v="9"/>
    <n v="0"/>
    <n v="912"/>
  </r>
  <r>
    <x v="16"/>
    <n v="6.7"/>
    <d v="2016-03-01T23:05:00"/>
    <n v="8"/>
    <n v="7"/>
    <s v="orange"/>
    <n v="0"/>
    <n v="1515"/>
    <s v="us"/>
    <n v="0"/>
    <n v="1.794"/>
    <n v="16"/>
    <s v="mww"/>
    <n v="55"/>
    <n v="24.803599999999999"/>
    <n v="93.650499999999994"/>
    <s v="Imph?l, India"/>
    <x v="1"/>
    <x v="6"/>
    <n v="2"/>
    <n v="6.7"/>
    <n v="0"/>
    <n v="1.794"/>
    <n v="16"/>
    <n v="55"/>
    <n v="8"/>
    <n v="7"/>
    <n v="0"/>
    <n v="1515"/>
  </r>
  <r>
    <x v="17"/>
    <n v="6.9"/>
    <s v="18-09-2011 12:40"/>
    <n v="8"/>
    <n v="8"/>
    <m/>
    <n v="0"/>
    <n v="1562"/>
    <s v="us"/>
    <n v="383"/>
    <n v="0"/>
    <n v="13"/>
    <s v="mww"/>
    <n v="50"/>
    <n v="27.73"/>
    <n v="88.155000000000001"/>
    <s v="Mangan, India"/>
    <x v="1"/>
    <x v="6"/>
    <n v="2"/>
    <n v="6.9"/>
    <n v="383"/>
    <n v="0"/>
    <n v="13"/>
    <n v="50"/>
    <n v="8"/>
    <n v="8"/>
    <n v="0"/>
    <n v="1562"/>
  </r>
  <r>
    <x v="18"/>
    <n v="7.5"/>
    <d v="2010-12-06T19:26:00"/>
    <n v="6"/>
    <n v="5"/>
    <m/>
    <n v="0"/>
    <n v="1144"/>
    <s v="us"/>
    <n v="514"/>
    <n v="0"/>
    <n v="18.600000000000001"/>
    <s v="mwc"/>
    <n v="35"/>
    <n v="7.8810000000000002"/>
    <n v="91.936000000000007"/>
    <s v="Nicobar Islands, India region"/>
    <x v="1"/>
    <x v="6"/>
    <n v="2"/>
    <n v="7.5"/>
    <n v="514"/>
    <n v="0"/>
    <n v="18.600000000000001"/>
    <n v="35"/>
    <n v="6"/>
    <n v="5"/>
    <n v="0"/>
    <n v="1144"/>
  </r>
  <r>
    <x v="19"/>
    <n v="6.6"/>
    <d v="2015-08-11T16:47:00"/>
    <n v="7"/>
    <n v="4"/>
    <s v="green"/>
    <n v="0"/>
    <n v="675"/>
    <s v="us"/>
    <n v="0"/>
    <n v="2.7919999999999998"/>
    <n v="31"/>
    <s v="mww"/>
    <n v="10"/>
    <n v="6.8430999999999997"/>
    <n v="94.647999999999996"/>
    <s v="Nicobar Islands, India region"/>
    <x v="1"/>
    <x v="6"/>
    <n v="2"/>
    <n v="6.6"/>
    <n v="0"/>
    <n v="2.7919999999999998"/>
    <n v="31"/>
    <n v="10"/>
    <n v="7"/>
    <n v="4"/>
    <n v="0"/>
    <n v="675"/>
  </r>
  <r>
    <x v="19"/>
    <n v="6.6"/>
    <s v="26-12-2004 09:20"/>
    <n v="0"/>
    <n v="5"/>
    <m/>
    <n v="0"/>
    <n v="670"/>
    <s v="us"/>
    <n v="353"/>
    <n v="0"/>
    <n v="31.9"/>
    <s v="mwc"/>
    <n v="16.100000000000001"/>
    <n v="8.8789999999999996"/>
    <n v="92.375"/>
    <s v="Nicobar Islands, India region"/>
    <x v="1"/>
    <x v="6"/>
    <n v="2"/>
    <n v="6.6"/>
    <n v="353"/>
    <n v="0"/>
    <n v="31.9"/>
    <n v="16.100000000000001"/>
    <n v="0"/>
    <n v="5"/>
    <n v="0"/>
    <n v="670"/>
  </r>
  <r>
    <x v="20"/>
    <n v="7.2"/>
    <s v="24-07-2005 15:42"/>
    <n v="4"/>
    <n v="5"/>
    <m/>
    <n v="0"/>
    <n v="808"/>
    <s v="us"/>
    <n v="636"/>
    <n v="0"/>
    <n v="26.4"/>
    <s v="mwc"/>
    <n v="16"/>
    <n v="7.92"/>
    <n v="92.19"/>
    <s v="Nicobar Islands, India region"/>
    <x v="1"/>
    <x v="6"/>
    <n v="2"/>
    <n v="7.2"/>
    <n v="636"/>
    <n v="0"/>
    <n v="26.4"/>
    <n v="16"/>
    <n v="4"/>
    <n v="5"/>
    <n v="0"/>
    <n v="808"/>
  </r>
  <r>
    <x v="21"/>
    <n v="9.1"/>
    <s v="26-12-2004 00:58"/>
    <n v="0"/>
    <n v="8"/>
    <m/>
    <n v="0"/>
    <n v="1274"/>
    <s v="official"/>
    <n v="601"/>
    <n v="0"/>
    <n v="22"/>
    <s v="mw"/>
    <n v="30"/>
    <n v="3.2949999999999999"/>
    <n v="95.981999999999999"/>
    <s v="2004 Sumatra - Andaman Islands Earthquake"/>
    <x v="1"/>
    <x v="7"/>
    <n v="2"/>
    <n v="9.1"/>
    <n v="601"/>
    <n v="0"/>
    <n v="22"/>
    <n v="30"/>
    <n v="0"/>
    <n v="8"/>
    <n v="0"/>
    <n v="1274"/>
  </r>
  <r>
    <x v="22"/>
    <n v="7"/>
    <s v="27-07-2015 21:41"/>
    <n v="9"/>
    <n v="7"/>
    <s v="green"/>
    <n v="1"/>
    <n v="762"/>
    <s v="us"/>
    <n v="0"/>
    <n v="6.2779999999999996"/>
    <n v="12"/>
    <s v="mww"/>
    <n v="48"/>
    <n v="-2.6286"/>
    <n v="138.52799999999999"/>
    <s v="Abepura, Indonesia"/>
    <x v="1"/>
    <x v="7"/>
    <n v="2"/>
    <n v="7"/>
    <n v="0"/>
    <n v="6.2779999999999996"/>
    <n v="12"/>
    <n v="48"/>
    <n v="9"/>
    <n v="7"/>
    <n v="1"/>
    <n v="762"/>
  </r>
  <r>
    <x v="23"/>
    <n v="7"/>
    <d v="2013-06-04T04:42:00"/>
    <n v="3"/>
    <n v="7"/>
    <s v="green"/>
    <n v="1"/>
    <n v="755"/>
    <s v="us"/>
    <n v="640"/>
    <n v="0"/>
    <n v="11.4"/>
    <s v="mww"/>
    <n v="66"/>
    <n v="-3.5169999999999999"/>
    <n v="138.476"/>
    <s v="Abepura, Indonesia"/>
    <x v="1"/>
    <x v="7"/>
    <n v="2"/>
    <n v="7"/>
    <n v="640"/>
    <n v="0"/>
    <n v="11.4"/>
    <n v="66"/>
    <n v="3"/>
    <n v="7"/>
    <n v="1"/>
    <n v="755"/>
  </r>
  <r>
    <x v="24"/>
    <n v="6.9"/>
    <d v="2015-09-12T10:21:00"/>
    <n v="8"/>
    <n v="5"/>
    <s v="green"/>
    <n v="0"/>
    <n v="738"/>
    <s v="us"/>
    <n v="0"/>
    <n v="2.9790000000000001"/>
    <n v="14"/>
    <s v="mww"/>
    <n v="21"/>
    <n v="-4.1063999999999998"/>
    <n v="129.50800000000001"/>
    <s v="Amahai, Indonesia"/>
    <x v="1"/>
    <x v="7"/>
    <n v="2"/>
    <n v="6.9"/>
    <n v="0"/>
    <n v="2.9790000000000001"/>
    <n v="14"/>
    <n v="21"/>
    <n v="8"/>
    <n v="5"/>
    <n v="0"/>
    <n v="738"/>
  </r>
  <r>
    <x v="25"/>
    <n v="6.7"/>
    <s v="14-03-2006 06:57"/>
    <n v="0"/>
    <n v="7"/>
    <m/>
    <n v="0"/>
    <n v="691"/>
    <s v="us"/>
    <n v="306"/>
    <n v="0"/>
    <n v="21.3"/>
    <s v="mwb"/>
    <n v="30.1"/>
    <n v="-3.5950000000000002"/>
    <n v="127.214"/>
    <s v="Ambon, Indonesia"/>
    <x v="1"/>
    <x v="7"/>
    <n v="2"/>
    <n v="6.7"/>
    <n v="306"/>
    <n v="0"/>
    <n v="21.3"/>
    <n v="30.1"/>
    <n v="0"/>
    <n v="7"/>
    <n v="0"/>
    <n v="691"/>
  </r>
  <r>
    <x v="26"/>
    <n v="6.7"/>
    <s v="28-01-2004 22:15"/>
    <n v="0"/>
    <n v="6"/>
    <m/>
    <n v="0"/>
    <n v="691"/>
    <s v="us"/>
    <n v="243"/>
    <n v="0"/>
    <n v="42.5"/>
    <s v="mwb"/>
    <n v="17.399999999999999"/>
    <n v="-3.12"/>
    <n v="127.4"/>
    <s v="Ambon, Indonesia"/>
    <x v="1"/>
    <x v="7"/>
    <n v="2"/>
    <n v="6.7"/>
    <n v="243"/>
    <n v="0"/>
    <n v="42.5"/>
    <n v="17.399999999999999"/>
    <n v="0"/>
    <n v="6"/>
    <n v="0"/>
    <n v="691"/>
  </r>
  <r>
    <x v="27"/>
    <n v="6.5"/>
    <s v="19-03-2001 05:52"/>
    <n v="0"/>
    <n v="6"/>
    <m/>
    <n v="0"/>
    <n v="650"/>
    <s v="us"/>
    <n v="206"/>
    <n v="0"/>
    <n v="0"/>
    <s v="mwc"/>
    <n v="33"/>
    <n v="-4.0289999999999999"/>
    <n v="128.02000000000001"/>
    <s v="Ambon, Indonesia"/>
    <x v="1"/>
    <x v="7"/>
    <n v="2"/>
    <n v="6.5"/>
    <n v="206"/>
    <n v="0"/>
    <n v="0"/>
    <n v="33"/>
    <n v="0"/>
    <n v="6"/>
    <n v="0"/>
    <n v="650"/>
  </r>
  <r>
    <x v="28"/>
    <n v="7.1"/>
    <d v="2012-10-12T16:53:00"/>
    <n v="5"/>
    <n v="5"/>
    <m/>
    <n v="0"/>
    <n v="843"/>
    <s v="us"/>
    <n v="517"/>
    <n v="0"/>
    <n v="8.6999999999999993"/>
    <s v="mww"/>
    <n v="155"/>
    <n v="-6.5330000000000004"/>
    <n v="129.82499999999999"/>
    <s v="Banda Sea"/>
    <x v="1"/>
    <x v="7"/>
    <n v="2"/>
    <n v="7.1"/>
    <n v="517"/>
    <n v="0"/>
    <n v="8.6999999999999993"/>
    <n v="155"/>
    <n v="5"/>
    <n v="5"/>
    <n v="0"/>
    <n v="843"/>
  </r>
  <r>
    <x v="28"/>
    <n v="7.1"/>
    <d v="2005-02-03T10:42:00"/>
    <n v="0"/>
    <n v="5"/>
    <m/>
    <n v="0"/>
    <n v="776"/>
    <s v="us"/>
    <n v="569"/>
    <n v="0"/>
    <n v="18.100000000000001"/>
    <s v="mwb"/>
    <n v="201.7"/>
    <n v="-6.5270000000000001"/>
    <n v="129.93299999999999"/>
    <s v="Banda Sea"/>
    <x v="1"/>
    <x v="7"/>
    <n v="2"/>
    <n v="7.1"/>
    <n v="569"/>
    <n v="0"/>
    <n v="18.100000000000001"/>
    <n v="201.7"/>
    <n v="0"/>
    <n v="5"/>
    <n v="0"/>
    <n v="776"/>
  </r>
  <r>
    <x v="29"/>
    <n v="6.8"/>
    <d v="2020-06-05T13:53:00"/>
    <n v="4"/>
    <n v="6"/>
    <s v="green"/>
    <n v="0"/>
    <n v="738"/>
    <s v="us"/>
    <n v="0"/>
    <n v="1.921"/>
    <n v="16"/>
    <s v="mww"/>
    <n v="96"/>
    <n v="-6.7762000000000002"/>
    <n v="129.785"/>
    <s v="Banda Sea"/>
    <x v="1"/>
    <x v="7"/>
    <n v="2"/>
    <n v="6.8"/>
    <n v="0"/>
    <n v="1.921"/>
    <n v="16"/>
    <n v="96"/>
    <n v="4"/>
    <n v="6"/>
    <n v="0"/>
    <n v="738"/>
  </r>
  <r>
    <x v="30"/>
    <n v="7"/>
    <d v="2009-02-09T07:55:00"/>
    <n v="7"/>
    <n v="7"/>
    <m/>
    <n v="0"/>
    <n v="1175"/>
    <s v="us"/>
    <n v="312"/>
    <n v="0"/>
    <n v="16.3"/>
    <s v="mwc"/>
    <n v="46"/>
    <n v="-7.782"/>
    <n v="107.297"/>
    <s v="Banjar, Indonesia"/>
    <x v="1"/>
    <x v="7"/>
    <n v="2"/>
    <n v="7"/>
    <n v="312"/>
    <n v="0"/>
    <n v="16.3"/>
    <n v="46"/>
    <n v="7"/>
    <n v="7"/>
    <n v="0"/>
    <n v="1175"/>
  </r>
  <r>
    <x v="31"/>
    <n v="6.6"/>
    <d v="2020-06-07T22:54:00"/>
    <n v="4"/>
    <n v="2"/>
    <s v="green"/>
    <n v="0"/>
    <n v="684"/>
    <s v="us"/>
    <n v="0"/>
    <n v="1.458"/>
    <n v="14"/>
    <s v="mww"/>
    <n v="533.76"/>
    <n v="-5.6368"/>
    <n v="110.678"/>
    <s v="Batang, Indonesia"/>
    <x v="1"/>
    <x v="7"/>
    <n v="2"/>
    <n v="6.6"/>
    <n v="0"/>
    <n v="1.458"/>
    <n v="14"/>
    <n v="533.76"/>
    <n v="4"/>
    <n v="2"/>
    <n v="0"/>
    <n v="684"/>
  </r>
  <r>
    <x v="32"/>
    <n v="8.4"/>
    <d v="2007-12-09T11:10:00"/>
    <n v="0"/>
    <n v="6"/>
    <m/>
    <n v="0"/>
    <n v="1086"/>
    <s v="official"/>
    <n v="411"/>
    <n v="0"/>
    <n v="32.299999999999997"/>
    <s v="mww"/>
    <n v="34"/>
    <n v="-4.4379999999999997"/>
    <n v="101.367"/>
    <s v="Bengkulu, Indonesia"/>
    <x v="1"/>
    <x v="7"/>
    <n v="2"/>
    <n v="8.4"/>
    <n v="411"/>
    <n v="0"/>
    <n v="32.299999999999997"/>
    <n v="34"/>
    <n v="0"/>
    <n v="6"/>
    <n v="0"/>
    <n v="1086"/>
  </r>
  <r>
    <x v="33"/>
    <n v="7.4"/>
    <s v="13-02-2001 19:28"/>
    <n v="0"/>
    <n v="6"/>
    <m/>
    <n v="0"/>
    <n v="842"/>
    <s v="us"/>
    <n v="221"/>
    <n v="0"/>
    <n v="0"/>
    <s v="mwc"/>
    <n v="36"/>
    <n v="-4.68"/>
    <n v="102.562"/>
    <s v="Bengkulu, Indonesia"/>
    <x v="1"/>
    <x v="7"/>
    <n v="2"/>
    <n v="7.4"/>
    <n v="221"/>
    <n v="0"/>
    <n v="0"/>
    <n v="36"/>
    <n v="0"/>
    <n v="6"/>
    <n v="0"/>
    <n v="842"/>
  </r>
  <r>
    <x v="34"/>
    <n v="6.9"/>
    <s v="18-08-2020 22:29"/>
    <n v="4"/>
    <n v="4"/>
    <s v="green"/>
    <n v="0"/>
    <n v="735"/>
    <s v="us"/>
    <n v="0"/>
    <n v="1.716"/>
    <n v="25"/>
    <s v="mww"/>
    <n v="26"/>
    <n v="-4.2790999999999997"/>
    <n v="101.215"/>
    <s v="Bengkulu, Indonesia"/>
    <x v="1"/>
    <x v="7"/>
    <n v="2"/>
    <n v="6.9"/>
    <n v="0"/>
    <n v="1.716"/>
    <n v="25"/>
    <n v="26"/>
    <n v="4"/>
    <n v="4"/>
    <n v="0"/>
    <n v="735"/>
  </r>
  <r>
    <x v="35"/>
    <n v="6.9"/>
    <s v="16-01-2001 13:25"/>
    <n v="0"/>
    <n v="6"/>
    <m/>
    <n v="0"/>
    <n v="732"/>
    <s v="us"/>
    <n v="117"/>
    <n v="0"/>
    <n v="0"/>
    <s v="mwb"/>
    <n v="28"/>
    <n v="-4.0220000000000002"/>
    <n v="101.776"/>
    <s v="Bengkulu, Indonesia"/>
    <x v="1"/>
    <x v="7"/>
    <n v="2"/>
    <n v="6.9"/>
    <n v="117"/>
    <n v="0"/>
    <n v="0"/>
    <n v="28"/>
    <n v="0"/>
    <n v="6"/>
    <n v="0"/>
    <n v="732"/>
  </r>
  <r>
    <x v="36"/>
    <n v="6.8"/>
    <s v="18-08-2020 22:23"/>
    <n v="5"/>
    <n v="4"/>
    <s v="green"/>
    <n v="0"/>
    <n v="716"/>
    <s v="us"/>
    <n v="0"/>
    <n v="1.8160000000000001"/>
    <n v="34"/>
    <s v="mww"/>
    <n v="22"/>
    <n v="-4.3723999999999998"/>
    <n v="101.095"/>
    <s v="Bengkulu, Indonesia"/>
    <x v="1"/>
    <x v="7"/>
    <n v="2"/>
    <n v="6.8"/>
    <n v="0"/>
    <n v="1.8160000000000001"/>
    <n v="34"/>
    <n v="22"/>
    <n v="5"/>
    <n v="4"/>
    <n v="0"/>
    <n v="716"/>
  </r>
  <r>
    <x v="37"/>
    <n v="6.8"/>
    <d v="2010-05-03T16:07:00"/>
    <n v="4"/>
    <n v="6"/>
    <m/>
    <n v="0"/>
    <n v="717"/>
    <s v="us"/>
    <n v="401"/>
    <n v="0"/>
    <n v="23.2"/>
    <s v="mwc"/>
    <n v="26"/>
    <n v="-3.762"/>
    <n v="100.991"/>
    <s v="Bengkulu, Indonesia"/>
    <x v="1"/>
    <x v="7"/>
    <n v="2"/>
    <n v="6.8"/>
    <n v="401"/>
    <n v="0"/>
    <n v="23.2"/>
    <n v="26"/>
    <n v="4"/>
    <n v="6"/>
    <n v="0"/>
    <n v="717"/>
  </r>
  <r>
    <x v="38"/>
    <n v="6.8"/>
    <s v="24-10-2007 21:02"/>
    <n v="3"/>
    <n v="5"/>
    <m/>
    <n v="0"/>
    <n v="713"/>
    <s v="us"/>
    <n v="494"/>
    <n v="0"/>
    <n v="23.9"/>
    <s v="mwc"/>
    <n v="21"/>
    <n v="-3.899"/>
    <n v="101.02"/>
    <s v="Bengkulu, Indonesia"/>
    <x v="1"/>
    <x v="7"/>
    <n v="2"/>
    <n v="6.8"/>
    <n v="494"/>
    <n v="0"/>
    <n v="23.9"/>
    <n v="21"/>
    <n v="3"/>
    <n v="5"/>
    <n v="0"/>
    <n v="713"/>
  </r>
  <r>
    <x v="39"/>
    <n v="6.9"/>
    <s v="18-11-2022 13:37"/>
    <n v="4"/>
    <n v="4"/>
    <s v="green"/>
    <n v="0"/>
    <n v="735"/>
    <s v="us"/>
    <n v="99"/>
    <n v="2.2290000000000001"/>
    <n v="34"/>
    <s v="mww"/>
    <n v="25"/>
    <n v="-4.9558999999999997"/>
    <n v="100.738"/>
    <s v="Bengkulu, Indonesia"/>
    <x v="1"/>
    <x v="7"/>
    <n v="2"/>
    <n v="6.9"/>
    <n v="99"/>
    <n v="2.2290000000000001"/>
    <n v="34"/>
    <n v="25"/>
    <n v="4"/>
    <n v="4"/>
    <n v="0"/>
    <n v="735"/>
  </r>
  <r>
    <x v="40"/>
    <n v="7"/>
    <s v="16-06-2010 03:16"/>
    <n v="3"/>
    <n v="7"/>
    <m/>
    <n v="0"/>
    <n v="755"/>
    <s v="us"/>
    <n v="307"/>
    <n v="0"/>
    <n v="18.100000000000001"/>
    <s v="mwc"/>
    <n v="18"/>
    <n v="-2.1739999999999999"/>
    <n v="136.54300000000001"/>
    <s v="Biak, Indonesia"/>
    <x v="1"/>
    <x v="7"/>
    <n v="2"/>
    <n v="7"/>
    <n v="307"/>
    <n v="0"/>
    <n v="18.100000000000001"/>
    <n v="18"/>
    <n v="3"/>
    <n v="7"/>
    <n v="0"/>
    <n v="755"/>
  </r>
  <r>
    <x v="41"/>
    <n v="6.6"/>
    <s v="16-06-2010 03:58"/>
    <n v="0"/>
    <n v="7"/>
    <m/>
    <n v="0"/>
    <n v="670"/>
    <s v="us"/>
    <n v="309"/>
    <n v="0"/>
    <n v="25"/>
    <s v="mwc"/>
    <n v="10.5"/>
    <n v="-2.3290000000000002"/>
    <n v="136.48400000000001"/>
    <s v="Biak, Indonesia"/>
    <x v="1"/>
    <x v="7"/>
    <n v="2"/>
    <n v="6.6"/>
    <n v="309"/>
    <n v="0"/>
    <n v="25"/>
    <n v="10.5"/>
    <n v="0"/>
    <n v="7"/>
    <n v="0"/>
    <n v="670"/>
  </r>
  <r>
    <x v="42"/>
    <n v="6.6"/>
    <d v="2009-08-11T19:41:00"/>
    <n v="7"/>
    <n v="6"/>
    <m/>
    <n v="0"/>
    <n v="677"/>
    <s v="us"/>
    <n v="305"/>
    <n v="0"/>
    <n v="20.399999999999999"/>
    <s v="mwc"/>
    <n v="18"/>
    <n v="-8.2070000000000007"/>
    <n v="118.631"/>
    <s v="Bima, Indonesia"/>
    <x v="1"/>
    <x v="7"/>
    <n v="2"/>
    <n v="6.6"/>
    <n v="305"/>
    <n v="0"/>
    <n v="20.399999999999999"/>
    <n v="18"/>
    <n v="7"/>
    <n v="6"/>
    <n v="0"/>
    <n v="677"/>
  </r>
  <r>
    <x v="43"/>
    <n v="7.1"/>
    <s v="14-11-2019 16:17"/>
    <n v="6"/>
    <n v="6"/>
    <s v="green"/>
    <n v="1"/>
    <n v="799"/>
    <s v="us"/>
    <n v="0"/>
    <n v="1.2709999999999999"/>
    <n v="11"/>
    <s v="mww"/>
    <n v="33"/>
    <n v="1.6213"/>
    <n v="126.416"/>
    <s v="Bitung, Indonesia"/>
    <x v="1"/>
    <x v="7"/>
    <n v="2"/>
    <n v="7.1"/>
    <n v="0"/>
    <n v="1.2709999999999999"/>
    <n v="11"/>
    <n v="33"/>
    <n v="6"/>
    <n v="6"/>
    <n v="1"/>
    <n v="799"/>
  </r>
  <r>
    <x v="44"/>
    <n v="6.5"/>
    <s v="25-11-2007 19:53"/>
    <n v="5"/>
    <n v="7"/>
    <m/>
    <n v="0"/>
    <n v="653"/>
    <s v="us"/>
    <n v="272"/>
    <n v="0"/>
    <n v="27.6"/>
    <s v="mwc"/>
    <n v="18"/>
    <n v="-8.2240000000000002"/>
    <n v="118.467"/>
    <s v="Dompu, Indonesia"/>
    <x v="1"/>
    <x v="7"/>
    <n v="2"/>
    <n v="6.5"/>
    <n v="272"/>
    <n v="0"/>
    <n v="27.6"/>
    <n v="18"/>
    <n v="5"/>
    <n v="7"/>
    <n v="0"/>
    <n v="653"/>
  </r>
  <r>
    <x v="45"/>
    <n v="6.5"/>
    <s v="25-11-2007 16:02"/>
    <n v="7"/>
    <n v="7"/>
    <m/>
    <n v="0"/>
    <n v="657"/>
    <s v="us"/>
    <n v="353"/>
    <n v="0"/>
    <n v="27.5"/>
    <s v="mwc"/>
    <n v="20"/>
    <n v="-8.2919999999999998"/>
    <n v="118.37"/>
    <s v="Dompu, Indonesia"/>
    <x v="1"/>
    <x v="7"/>
    <n v="2"/>
    <n v="6.5"/>
    <n v="353"/>
    <n v="0"/>
    <n v="27.5"/>
    <n v="20"/>
    <n v="7"/>
    <n v="7"/>
    <n v="0"/>
    <n v="657"/>
  </r>
  <r>
    <x v="46"/>
    <n v="7.3"/>
    <s v="14-12-2021 03:20"/>
    <n v="9"/>
    <n v="5"/>
    <s v="green"/>
    <n v="1"/>
    <n v="854"/>
    <s v="us"/>
    <n v="0"/>
    <n v="1.0249999999999999"/>
    <n v="32"/>
    <s v="mww"/>
    <n v="14.27"/>
    <n v="-7.6032999999999999"/>
    <n v="122.2"/>
    <s v="Flores Sea"/>
    <x v="1"/>
    <x v="7"/>
    <n v="2"/>
    <n v="7.3"/>
    <n v="0"/>
    <n v="1.0249999999999999"/>
    <n v="32"/>
    <n v="14.27"/>
    <n v="9"/>
    <n v="5"/>
    <n v="1"/>
    <n v="854"/>
  </r>
  <r>
    <x v="47"/>
    <n v="7.4"/>
    <s v="16-11-2008 17:02"/>
    <n v="9"/>
    <n v="7"/>
    <m/>
    <n v="0"/>
    <n v="848"/>
    <s v="us"/>
    <n v="365"/>
    <n v="0"/>
    <n v="33.700000000000003"/>
    <s v="mww"/>
    <n v="30"/>
    <n v="1.2709999999999999"/>
    <n v="122.09099999999999"/>
    <s v="Gorontalo, Indonesia"/>
    <x v="1"/>
    <x v="7"/>
    <n v="2"/>
    <n v="7.4"/>
    <n v="365"/>
    <n v="0"/>
    <n v="33.700000000000003"/>
    <n v="30"/>
    <n v="9"/>
    <n v="7"/>
    <n v="0"/>
    <n v="848"/>
  </r>
  <r>
    <x v="48"/>
    <n v="6.7"/>
    <s v="13-06-2013 16:47"/>
    <n v="5"/>
    <n v="4"/>
    <s v="green"/>
    <n v="0"/>
    <n v="710"/>
    <s v="us"/>
    <n v="515"/>
    <n v="0"/>
    <n v="24"/>
    <s v="mww"/>
    <n v="9"/>
    <n v="-10.004"/>
    <n v="107.236"/>
    <s v="Java, Indonesia"/>
    <x v="1"/>
    <x v="7"/>
    <n v="2"/>
    <n v="6.7"/>
    <n v="515"/>
    <n v="0"/>
    <n v="24"/>
    <n v="9"/>
    <n v="5"/>
    <n v="4"/>
    <n v="0"/>
    <n v="710"/>
  </r>
  <r>
    <x v="49"/>
    <n v="6.7"/>
    <d v="2011-05-09T17:55:00"/>
    <n v="5"/>
    <n v="6"/>
    <m/>
    <n v="0"/>
    <n v="915"/>
    <s v="us"/>
    <n v="447"/>
    <n v="0"/>
    <n v="15.3"/>
    <s v="mww"/>
    <n v="91"/>
    <n v="2.9649999999999999"/>
    <n v="97.893000000000001"/>
    <s v="Kabanjahe, Indonesia"/>
    <x v="1"/>
    <x v="7"/>
    <n v="2"/>
    <n v="6.7"/>
    <n v="447"/>
    <n v="0"/>
    <n v="15.3"/>
    <n v="91"/>
    <n v="5"/>
    <n v="6"/>
    <n v="0"/>
    <n v="915"/>
  </r>
  <r>
    <x v="50"/>
    <n v="6.5"/>
    <s v="25-09-2019 23:46"/>
    <n v="7"/>
    <n v="7"/>
    <s v="yellow"/>
    <n v="1"/>
    <n v="656"/>
    <s v="us"/>
    <n v="0"/>
    <n v="3.9089999999999998"/>
    <n v="15"/>
    <s v="mww"/>
    <n v="12.26"/>
    <n v="-3.4527999999999999"/>
    <n v="128.37"/>
    <s v="Kairatu, Indonesia"/>
    <x v="1"/>
    <x v="7"/>
    <n v="2"/>
    <n v="6.5"/>
    <n v="0"/>
    <n v="3.9089999999999998"/>
    <n v="15"/>
    <n v="12.26"/>
    <n v="7"/>
    <n v="7"/>
    <n v="1"/>
    <n v="656"/>
  </r>
  <r>
    <x v="51"/>
    <n v="6.9"/>
    <s v="21-08-2020 04:09"/>
    <n v="4"/>
    <n v="3"/>
    <s v="green"/>
    <n v="0"/>
    <n v="749"/>
    <s v="us"/>
    <n v="0"/>
    <n v="2.2669999999999999"/>
    <n v="20"/>
    <s v="mww"/>
    <n v="624"/>
    <n v="-6.6703999999999999"/>
    <n v="123.49299999999999"/>
    <s v="Katabu, Indonesia"/>
    <x v="1"/>
    <x v="7"/>
    <n v="2"/>
    <n v="6.9"/>
    <n v="0"/>
    <n v="2.2669999999999999"/>
    <n v="20"/>
    <n v="624"/>
    <n v="4"/>
    <n v="3"/>
    <n v="0"/>
    <n v="749"/>
  </r>
  <r>
    <x v="52"/>
    <n v="6.5"/>
    <s v="19-02-2005 00:04"/>
    <n v="0"/>
    <n v="7"/>
    <m/>
    <n v="0"/>
    <n v="650"/>
    <s v="us"/>
    <n v="371"/>
    <n v="0"/>
    <n v="31.8"/>
    <s v="mwb"/>
    <n v="10"/>
    <n v="-5.5620000000000003"/>
    <n v="122.129"/>
    <s v="Katabu, Indonesia"/>
    <x v="1"/>
    <x v="7"/>
    <n v="2"/>
    <n v="6.5"/>
    <n v="371"/>
    <n v="0"/>
    <n v="31.8"/>
    <n v="10"/>
    <n v="0"/>
    <n v="7"/>
    <n v="0"/>
    <n v="650"/>
  </r>
  <r>
    <x v="53"/>
    <n v="6.5"/>
    <s v="15-12-2017 16:47"/>
    <n v="8"/>
    <n v="7"/>
    <s v="green"/>
    <n v="0"/>
    <n v="998"/>
    <s v="us"/>
    <n v="0"/>
    <n v="2.3650000000000002"/>
    <n v="28"/>
    <s v="mww"/>
    <n v="90"/>
    <n v="-7.4920999999999998"/>
    <n v="108.17400000000001"/>
    <s v="Kawalu, Indonesia"/>
    <x v="1"/>
    <x v="7"/>
    <n v="2"/>
    <n v="6.5"/>
    <n v="0"/>
    <n v="2.3650000000000002"/>
    <n v="28"/>
    <n v="90"/>
    <n v="8"/>
    <n v="7"/>
    <n v="0"/>
    <n v="998"/>
  </r>
  <r>
    <x v="54"/>
    <n v="7.5"/>
    <s v="19-10-2001 03:28"/>
    <n v="0"/>
    <n v="6"/>
    <m/>
    <n v="0"/>
    <n v="865"/>
    <s v="us"/>
    <n v="234"/>
    <n v="0"/>
    <n v="0"/>
    <s v="mwc"/>
    <n v="33"/>
    <n v="-4.1020000000000003"/>
    <n v="123.907"/>
    <s v="Kendari, Indonesia"/>
    <x v="1"/>
    <x v="7"/>
    <n v="2"/>
    <n v="7.5"/>
    <n v="234"/>
    <n v="0"/>
    <n v="0"/>
    <n v="33"/>
    <n v="0"/>
    <n v="6"/>
    <n v="0"/>
    <n v="865"/>
  </r>
  <r>
    <x v="55"/>
    <n v="6.5"/>
    <s v="13-09-2007 02:30"/>
    <n v="0"/>
    <n v="5"/>
    <m/>
    <n v="0"/>
    <n v="650"/>
    <s v="us"/>
    <n v="409"/>
    <n v="0"/>
    <n v="26.2"/>
    <s v="mwc"/>
    <n v="28.9"/>
    <n v="-1.6890000000000001"/>
    <n v="99.668000000000006"/>
    <s v="Kepulauan Mentawai region, Indonesia"/>
    <x v="1"/>
    <x v="7"/>
    <n v="2"/>
    <n v="6.5"/>
    <n v="409"/>
    <n v="0"/>
    <n v="26.2"/>
    <n v="28.9"/>
    <n v="0"/>
    <n v="5"/>
    <n v="0"/>
    <n v="650"/>
  </r>
  <r>
    <x v="56"/>
    <n v="6.9"/>
    <d v="2019-07-07T15:08:00"/>
    <n v="7"/>
    <n v="5"/>
    <s v="green"/>
    <n v="0"/>
    <n v="747"/>
    <s v="us"/>
    <n v="0"/>
    <n v="1.2050000000000001"/>
    <n v="21"/>
    <s v="mww"/>
    <n v="35"/>
    <n v="0.51259999999999994"/>
    <n v="126.18899999999999"/>
    <s v="Kota Ternate, Indonesia"/>
    <x v="1"/>
    <x v="7"/>
    <n v="2"/>
    <n v="6.9"/>
    <n v="0"/>
    <n v="1.2050000000000001"/>
    <n v="21"/>
    <n v="35"/>
    <n v="7"/>
    <n v="5"/>
    <n v="0"/>
    <n v="747"/>
  </r>
  <r>
    <x v="57"/>
    <n v="6.5"/>
    <s v="17-08-2018 15:35"/>
    <n v="5"/>
    <n v="3"/>
    <s v="green"/>
    <n v="0"/>
    <n v="743"/>
    <s v="us"/>
    <n v="0"/>
    <n v="2.7189999999999999"/>
    <n v="23"/>
    <s v="mww"/>
    <n v="529"/>
    <n v="-7.3718000000000004"/>
    <n v="119.80200000000001"/>
    <s v="Labuan Bajo, Indonesia"/>
    <x v="1"/>
    <x v="7"/>
    <n v="2"/>
    <n v="6.5"/>
    <n v="0"/>
    <n v="2.7189999999999999"/>
    <n v="23"/>
    <n v="529"/>
    <n v="5"/>
    <n v="3"/>
    <n v="0"/>
    <n v="743"/>
  </r>
  <r>
    <x v="58"/>
    <n v="6.9"/>
    <s v="19-08-2018 14:56"/>
    <n v="7"/>
    <n v="7"/>
    <s v="green"/>
    <n v="0"/>
    <n v="1206"/>
    <s v="us"/>
    <n v="0"/>
    <n v="2.4529999999999998"/>
    <n v="31"/>
    <s v="mww"/>
    <n v="21"/>
    <n v="-8.3190000000000008"/>
    <n v="116.627"/>
    <s v="Labuan Lombok, Indonesia"/>
    <x v="1"/>
    <x v="7"/>
    <n v="2"/>
    <n v="6.9"/>
    <n v="0"/>
    <n v="2.4529999999999998"/>
    <n v="31"/>
    <n v="21"/>
    <n v="7"/>
    <n v="7"/>
    <n v="0"/>
    <n v="1206"/>
  </r>
  <r>
    <x v="59"/>
    <n v="6.9"/>
    <d v="2018-05-08T11:46:00"/>
    <n v="9"/>
    <n v="8"/>
    <s v="orange"/>
    <n v="0"/>
    <n v="1704"/>
    <s v="us"/>
    <n v="0"/>
    <n v="2.2709999999999999"/>
    <n v="15"/>
    <s v="mww"/>
    <n v="34"/>
    <n v="-8.2581000000000007"/>
    <n v="116.438"/>
    <s v="Labuan Lombok, Indonesia"/>
    <x v="1"/>
    <x v="7"/>
    <n v="2"/>
    <n v="6.9"/>
    <n v="0"/>
    <n v="2.2709999999999999"/>
    <n v="15"/>
    <n v="34"/>
    <n v="9"/>
    <n v="8"/>
    <n v="0"/>
    <n v="1704"/>
  </r>
  <r>
    <x v="60"/>
    <n v="6.6"/>
    <s v="14-01-2022 09:05"/>
    <n v="8"/>
    <n v="6"/>
    <s v="green"/>
    <n v="0"/>
    <n v="785"/>
    <s v="us"/>
    <n v="0"/>
    <n v="2.4180000000000001"/>
    <n v="22"/>
    <s v="mww"/>
    <n v="33"/>
    <n v="-6.9291"/>
    <n v="105.251"/>
    <s v="Labuan, Indonesia"/>
    <x v="1"/>
    <x v="7"/>
    <n v="2"/>
    <n v="6.6"/>
    <n v="0"/>
    <n v="2.4180000000000001"/>
    <n v="22"/>
    <n v="33"/>
    <n v="8"/>
    <n v="6"/>
    <n v="0"/>
    <n v="785"/>
  </r>
  <r>
    <x v="61"/>
    <n v="6.9"/>
    <d v="2019-02-08T12:03:00"/>
    <n v="4"/>
    <n v="6"/>
    <s v="green"/>
    <n v="0"/>
    <n v="875"/>
    <s v="us"/>
    <n v="0"/>
    <n v="2.839"/>
    <n v="23"/>
    <s v="mww"/>
    <n v="49"/>
    <n v="-7.2821999999999996"/>
    <n v="104.791"/>
    <s v="Labuan, Indonesia"/>
    <x v="1"/>
    <x v="7"/>
    <n v="2"/>
    <n v="6.9"/>
    <n v="0"/>
    <n v="2.839"/>
    <n v="23"/>
    <n v="49"/>
    <n v="4"/>
    <n v="6"/>
    <n v="0"/>
    <n v="875"/>
  </r>
  <r>
    <x v="62"/>
    <n v="7.2"/>
    <s v="14-07-2019 09:10"/>
    <n v="7"/>
    <n v="7"/>
    <s v="green"/>
    <n v="1"/>
    <n v="809"/>
    <s v="us"/>
    <n v="0"/>
    <n v="1.504"/>
    <n v="38"/>
    <s v="mww"/>
    <n v="18.98"/>
    <n v="-0.58579999999999999"/>
    <n v="128.03399999999999"/>
    <s v="Laiwui, Indonesia"/>
    <x v="1"/>
    <x v="7"/>
    <n v="2"/>
    <n v="7.2"/>
    <n v="0"/>
    <n v="1.504"/>
    <n v="38"/>
    <n v="18.98"/>
    <n v="7"/>
    <n v="7"/>
    <n v="1"/>
    <n v="809"/>
  </r>
  <r>
    <x v="63"/>
    <n v="7.3"/>
    <s v="29-12-2021 18:25"/>
    <n v="8"/>
    <n v="7"/>
    <s v="green"/>
    <n v="0"/>
    <n v="921"/>
    <s v="us"/>
    <n v="0"/>
    <n v="3.7130000000000001"/>
    <n v="19"/>
    <s v="mww"/>
    <n v="165.49"/>
    <n v="-7.5923999999999996"/>
    <n v="127.581"/>
    <s v="Lospalos, Timor Leste"/>
    <x v="1"/>
    <x v="7"/>
    <n v="2"/>
    <n v="7.3"/>
    <n v="0"/>
    <n v="3.7130000000000001"/>
    <n v="19"/>
    <n v="165.49"/>
    <n v="8"/>
    <n v="7"/>
    <n v="0"/>
    <n v="921"/>
  </r>
  <r>
    <x v="64"/>
    <n v="6.7"/>
    <s v="21-12-2016 00:17"/>
    <n v="5"/>
    <n v="5"/>
    <s v="green"/>
    <n v="0"/>
    <n v="726"/>
    <s v="us"/>
    <n v="0"/>
    <n v="3.38"/>
    <n v="17"/>
    <s v="mww"/>
    <n v="152"/>
    <n v="-7.5082000000000004"/>
    <n v="127.92100000000001"/>
    <s v="Lospalos, Timor Leste"/>
    <x v="1"/>
    <x v="7"/>
    <n v="2"/>
    <n v="6.7"/>
    <n v="0"/>
    <n v="3.38"/>
    <n v="17"/>
    <n v="152"/>
    <n v="5"/>
    <n v="5"/>
    <n v="0"/>
    <n v="726"/>
  </r>
  <r>
    <x v="65"/>
    <n v="6.5"/>
    <d v="2013-01-09T11:52:00"/>
    <n v="4"/>
    <n v="5"/>
    <s v="green"/>
    <n v="0"/>
    <n v="668"/>
    <s v="us"/>
    <n v="0"/>
    <n v="3.097"/>
    <n v="11"/>
    <s v="mww"/>
    <n v="112"/>
    <n v="-7.44"/>
    <n v="128.221"/>
    <s v="Lospalos, Timor Leste"/>
    <x v="1"/>
    <x v="7"/>
    <n v="2"/>
    <n v="6.5"/>
    <n v="0"/>
    <n v="3.097"/>
    <n v="11"/>
    <n v="112"/>
    <n v="4"/>
    <n v="5"/>
    <n v="0"/>
    <n v="668"/>
  </r>
  <r>
    <x v="66"/>
    <n v="6.8"/>
    <d v="2019-12-04T11:40:00"/>
    <n v="5"/>
    <n v="6"/>
    <s v="green"/>
    <n v="1"/>
    <n v="717"/>
    <s v="us"/>
    <n v="0"/>
    <n v="0.79100000000000004"/>
    <n v="28"/>
    <s v="mww"/>
    <n v="15.46"/>
    <n v="-1.8146"/>
    <n v="122.58"/>
    <s v="Luwuk, Indonesia"/>
    <x v="1"/>
    <x v="7"/>
    <n v="2"/>
    <n v="6.8"/>
    <n v="0"/>
    <n v="0.79100000000000004"/>
    <n v="28"/>
    <n v="15.46"/>
    <n v="5"/>
    <n v="6"/>
    <n v="1"/>
    <n v="717"/>
  </r>
  <r>
    <x v="67"/>
    <n v="7.7"/>
    <d v="2009-03-01T19:43:00"/>
    <n v="5"/>
    <n v="7"/>
    <m/>
    <n v="0"/>
    <n v="918"/>
    <s v="us"/>
    <n v="288"/>
    <n v="0"/>
    <n v="29.8"/>
    <s v="mwc"/>
    <n v="17"/>
    <n v="-0.41399999999999998"/>
    <n v="132.88499999999999"/>
    <s v="Manokwari, Indonesia"/>
    <x v="1"/>
    <x v="7"/>
    <n v="2"/>
    <n v="7.7"/>
    <n v="288"/>
    <n v="0"/>
    <n v="29.8"/>
    <n v="17"/>
    <n v="5"/>
    <n v="7"/>
    <n v="0"/>
    <n v="918"/>
  </r>
  <r>
    <x v="68"/>
    <n v="7.6"/>
    <d v="2002-10-10T10:50:00"/>
    <n v="0"/>
    <n v="7"/>
    <m/>
    <n v="0"/>
    <n v="889"/>
    <s v="us"/>
    <n v="375"/>
    <n v="0"/>
    <n v="0"/>
    <s v="mwc"/>
    <n v="10"/>
    <n v="-1.7569999999999999"/>
    <n v="134.297"/>
    <s v="Manokwari, Indonesia"/>
    <x v="1"/>
    <x v="7"/>
    <n v="2"/>
    <n v="7.6"/>
    <n v="375"/>
    <n v="0"/>
    <n v="0"/>
    <n v="10"/>
    <n v="0"/>
    <n v="7"/>
    <n v="0"/>
    <n v="889"/>
  </r>
  <r>
    <x v="69"/>
    <n v="7.4"/>
    <d v="2009-03-01T22:33:00"/>
    <n v="7"/>
    <n v="7"/>
    <m/>
    <n v="0"/>
    <n v="846"/>
    <s v="us"/>
    <n v="314"/>
    <n v="0"/>
    <n v="21.1"/>
    <s v="mwc"/>
    <n v="23"/>
    <n v="-0.69099999999999995"/>
    <n v="133.30500000000001"/>
    <s v="Manokwari, Indonesia"/>
    <x v="1"/>
    <x v="7"/>
    <n v="2"/>
    <n v="7.4"/>
    <n v="314"/>
    <n v="0"/>
    <n v="21.1"/>
    <n v="23"/>
    <n v="7"/>
    <n v="7"/>
    <n v="0"/>
    <n v="846"/>
  </r>
  <r>
    <x v="70"/>
    <n v="6.7"/>
    <s v="21-04-2012 01:16"/>
    <n v="0"/>
    <n v="7"/>
    <m/>
    <n v="0"/>
    <n v="691"/>
    <s v="us"/>
    <n v="370"/>
    <n v="0"/>
    <n v="15.4"/>
    <s v="mww"/>
    <n v="16"/>
    <n v="-1.617"/>
    <n v="134.27600000000001"/>
    <s v="Manokwari, Indonesia"/>
    <x v="1"/>
    <x v="7"/>
    <n v="2"/>
    <n v="6.7"/>
    <n v="370"/>
    <n v="0"/>
    <n v="15.4"/>
    <n v="16"/>
    <n v="0"/>
    <n v="7"/>
    <n v="0"/>
    <n v="691"/>
  </r>
  <r>
    <x v="71"/>
    <n v="6.7"/>
    <d v="2002-10-10T12:28:00"/>
    <n v="0"/>
    <n v="7"/>
    <m/>
    <n v="0"/>
    <n v="691"/>
    <s v="us"/>
    <n v="250"/>
    <n v="0"/>
    <n v="0"/>
    <s v="ms"/>
    <n v="10"/>
    <n v="-1.5109999999999999"/>
    <n v="133.97300000000001"/>
    <s v="Manokwari, Indonesia"/>
    <x v="1"/>
    <x v="7"/>
    <n v="2"/>
    <n v="6.7"/>
    <n v="250"/>
    <n v="0"/>
    <n v="0"/>
    <n v="10"/>
    <n v="0"/>
    <n v="7"/>
    <n v="0"/>
    <n v="691"/>
  </r>
  <r>
    <x v="72"/>
    <n v="6.5"/>
    <s v="28-07-2004 03:56"/>
    <n v="0"/>
    <n v="7"/>
    <m/>
    <n v="0"/>
    <n v="650"/>
    <s v="us"/>
    <n v="305"/>
    <n v="0"/>
    <n v="39"/>
    <s v="mwc"/>
    <n v="13.4"/>
    <n v="-0.443"/>
    <n v="133.09100000000001"/>
    <s v="Manokwari, Indonesia"/>
    <x v="1"/>
    <x v="7"/>
    <n v="2"/>
    <n v="6.5"/>
    <n v="305"/>
    <n v="0"/>
    <n v="39"/>
    <n v="13.4"/>
    <n v="0"/>
    <n v="7"/>
    <n v="0"/>
    <n v="650"/>
  </r>
  <r>
    <x v="73"/>
    <n v="6.5"/>
    <d v="2001-11-09T14:56:00"/>
    <n v="0"/>
    <n v="6"/>
    <m/>
    <n v="0"/>
    <n v="650"/>
    <s v="us"/>
    <n v="174"/>
    <n v="0"/>
    <n v="0"/>
    <s v="mwc"/>
    <n v="33"/>
    <n v="-0.57799999999999996"/>
    <n v="133.13"/>
    <s v="Manokwari, Indonesia"/>
    <x v="1"/>
    <x v="7"/>
    <n v="2"/>
    <n v="6.5"/>
    <n v="174"/>
    <n v="0"/>
    <n v="0"/>
    <n v="33"/>
    <n v="0"/>
    <n v="6"/>
    <n v="0"/>
    <n v="650"/>
  </r>
  <r>
    <x v="74"/>
    <n v="7.5"/>
    <d v="2004-11-11T21:26:00"/>
    <n v="5"/>
    <n v="7"/>
    <m/>
    <n v="0"/>
    <n v="870"/>
    <s v="us"/>
    <n v="301"/>
    <n v="0"/>
    <n v="33.799999999999997"/>
    <s v="mwc"/>
    <n v="10"/>
    <n v="-8.1519999999999992"/>
    <n v="124.86799999999999"/>
    <s v="Maubara, Timor Leste"/>
    <x v="1"/>
    <x v="7"/>
    <n v="2"/>
    <n v="7.5"/>
    <n v="301"/>
    <n v="0"/>
    <n v="33.799999999999997"/>
    <n v="10"/>
    <n v="5"/>
    <n v="7"/>
    <n v="0"/>
    <n v="870"/>
  </r>
  <r>
    <x v="75"/>
    <n v="6.5"/>
    <d v="2015-04-11T03:44:00"/>
    <n v="5"/>
    <n v="7"/>
    <s v="green"/>
    <n v="0"/>
    <n v="657"/>
    <s v="us"/>
    <n v="0"/>
    <n v="1.53"/>
    <n v="21"/>
    <s v="mww"/>
    <n v="20"/>
    <n v="-8.3381000000000007"/>
    <n v="124.875"/>
    <s v="Maubara, Timor Leste"/>
    <x v="1"/>
    <x v="7"/>
    <n v="2"/>
    <n v="6.5"/>
    <n v="0"/>
    <n v="1.53"/>
    <n v="21"/>
    <n v="20"/>
    <n v="5"/>
    <n v="7"/>
    <n v="0"/>
    <n v="657"/>
  </r>
  <r>
    <x v="76"/>
    <n v="7"/>
    <s v="27-02-2015 13:45"/>
    <n v="4"/>
    <n v="6"/>
    <s v="green"/>
    <n v="0"/>
    <n v="760"/>
    <s v="us"/>
    <n v="0"/>
    <n v="1.3620000000000001"/>
    <n v="12"/>
    <s v="mww"/>
    <n v="552.05999999999995"/>
    <n v="-7.2968000000000002"/>
    <n v="122.535"/>
    <s v="Maumere, Indonesia"/>
    <x v="1"/>
    <x v="7"/>
    <n v="2"/>
    <n v="7"/>
    <n v="0"/>
    <n v="1.3620000000000001"/>
    <n v="12"/>
    <n v="552.05999999999995"/>
    <n v="4"/>
    <n v="6"/>
    <n v="0"/>
    <n v="760"/>
  </r>
  <r>
    <x v="77"/>
    <n v="6.7"/>
    <s v="24-10-2017 10:47"/>
    <n v="3"/>
    <n v="3"/>
    <s v="green"/>
    <n v="0"/>
    <n v="694"/>
    <s v="us"/>
    <n v="0"/>
    <n v="1.6339999999999999"/>
    <n v="16"/>
    <s v="mww"/>
    <n v="553.80999999999995"/>
    <n v="-7.2168000000000001"/>
    <n v="123.074"/>
    <s v="Maumere, Indonesia"/>
    <x v="1"/>
    <x v="7"/>
    <n v="2"/>
    <n v="6.7"/>
    <n v="0"/>
    <n v="1.6339999999999999"/>
    <n v="16"/>
    <n v="553.80999999999995"/>
    <n v="3"/>
    <n v="3"/>
    <n v="0"/>
    <n v="694"/>
  </r>
  <r>
    <x v="78"/>
    <n v="7.2"/>
    <d v="2010-09-05T05:59:00"/>
    <n v="5"/>
    <n v="6"/>
    <m/>
    <n v="0"/>
    <n v="918"/>
    <s v="us"/>
    <n v="611"/>
    <n v="0"/>
    <n v="20.6"/>
    <s v="mwc"/>
    <n v="38"/>
    <n v="3.7480000000000002"/>
    <n v="96.018000000000001"/>
    <s v="Meulaboh, Indonesia"/>
    <x v="1"/>
    <x v="7"/>
    <n v="2"/>
    <n v="7.2"/>
    <n v="611"/>
    <n v="0"/>
    <n v="20.6"/>
    <n v="38"/>
    <n v="5"/>
    <n v="6"/>
    <n v="0"/>
    <n v="918"/>
  </r>
  <r>
    <x v="79"/>
    <n v="6.6"/>
    <d v="2019-06-01T17:27:00"/>
    <n v="2"/>
    <n v="4"/>
    <s v="green"/>
    <n v="1"/>
    <n v="672"/>
    <s v="us"/>
    <n v="0"/>
    <n v="1.5960000000000001"/>
    <n v="33"/>
    <s v="mww"/>
    <n v="43.21"/>
    <n v="2.258"/>
    <n v="126.758"/>
    <s v="Molucca Sea"/>
    <x v="1"/>
    <x v="7"/>
    <n v="2"/>
    <n v="6.6"/>
    <n v="0"/>
    <n v="1.5960000000000001"/>
    <n v="33"/>
    <n v="43.21"/>
    <n v="2"/>
    <n v="4"/>
    <n v="1"/>
    <n v="672"/>
  </r>
  <r>
    <x v="80"/>
    <n v="7.1"/>
    <s v="26-11-2004 02:25"/>
    <n v="0"/>
    <n v="7"/>
    <m/>
    <n v="0"/>
    <n v="776"/>
    <s v="us"/>
    <n v="439"/>
    <n v="0"/>
    <n v="28.8"/>
    <s v="mwc"/>
    <n v="10"/>
    <n v="-3.609"/>
    <n v="135.404"/>
    <s v="Nabire, Indonesia"/>
    <x v="1"/>
    <x v="7"/>
    <n v="2"/>
    <n v="7.1"/>
    <n v="439"/>
    <n v="0"/>
    <n v="28.8"/>
    <n v="10"/>
    <n v="0"/>
    <n v="7"/>
    <n v="0"/>
    <n v="776"/>
  </r>
  <r>
    <x v="81"/>
    <n v="7"/>
    <d v="2004-05-02T21:05:00"/>
    <n v="0"/>
    <n v="7"/>
    <m/>
    <n v="0"/>
    <n v="754"/>
    <s v="us"/>
    <n v="367"/>
    <n v="0"/>
    <n v="33"/>
    <s v="mwc"/>
    <n v="16.600000000000001"/>
    <n v="-3.6150000000000002"/>
    <n v="135.53800000000001"/>
    <s v="Nabire, Indonesia"/>
    <x v="1"/>
    <x v="7"/>
    <n v="2"/>
    <n v="7"/>
    <n v="367"/>
    <n v="0"/>
    <n v="33"/>
    <n v="16.600000000000001"/>
    <n v="0"/>
    <n v="7"/>
    <n v="0"/>
    <n v="754"/>
  </r>
  <r>
    <x v="82"/>
    <n v="6.7"/>
    <d v="2004-08-02T08:58:00"/>
    <n v="0"/>
    <n v="7"/>
    <m/>
    <n v="0"/>
    <n v="691"/>
    <s v="us"/>
    <n v="256"/>
    <n v="0"/>
    <n v="33.299999999999997"/>
    <s v="mwc"/>
    <n v="25.7"/>
    <n v="-3.665"/>
    <n v="135.339"/>
    <s v="Nabire, Indonesia"/>
    <x v="1"/>
    <x v="7"/>
    <n v="2"/>
    <n v="6.7"/>
    <n v="256"/>
    <n v="0"/>
    <n v="33.299999999999997"/>
    <n v="25.7"/>
    <n v="0"/>
    <n v="7"/>
    <n v="0"/>
    <n v="691"/>
  </r>
  <r>
    <x v="83"/>
    <n v="6.7"/>
    <s v="23-04-2004 01:50"/>
    <n v="0"/>
    <n v="5"/>
    <m/>
    <n v="0"/>
    <n v="691"/>
    <s v="us"/>
    <n v="386"/>
    <n v="0"/>
    <n v="27.6"/>
    <s v="mwb"/>
    <n v="65.8"/>
    <n v="-9.3620000000000001"/>
    <n v="122.839"/>
    <s v="Naisano Dua, Indonesia"/>
    <x v="1"/>
    <x v="7"/>
    <n v="2"/>
    <n v="6.7"/>
    <n v="386"/>
    <n v="0"/>
    <n v="27.6"/>
    <n v="65.8"/>
    <n v="0"/>
    <n v="5"/>
    <n v="0"/>
    <n v="691"/>
  </r>
  <r>
    <x v="84"/>
    <n v="7"/>
    <s v="13-09-2007 03:35"/>
    <n v="4"/>
    <n v="7"/>
    <m/>
    <n v="0"/>
    <n v="768"/>
    <s v="us"/>
    <n v="537"/>
    <n v="0"/>
    <n v="23.1"/>
    <s v="mwc"/>
    <n v="22"/>
    <n v="-2.13"/>
    <n v="99.626999999999995"/>
    <s v="Padang, Indonesia"/>
    <x v="1"/>
    <x v="7"/>
    <n v="2"/>
    <n v="7"/>
    <n v="537"/>
    <n v="0"/>
    <n v="23.1"/>
    <n v="22"/>
    <n v="4"/>
    <n v="7"/>
    <n v="0"/>
    <n v="768"/>
  </r>
  <r>
    <x v="85"/>
    <n v="6.7"/>
    <s v="16-08-2009 07:38"/>
    <n v="5"/>
    <n v="6"/>
    <m/>
    <n v="0"/>
    <n v="753"/>
    <s v="us"/>
    <n v="369"/>
    <n v="0"/>
    <n v="14.9"/>
    <s v="mwc"/>
    <n v="20"/>
    <n v="-1.4790000000000001"/>
    <n v="99.49"/>
    <s v="Padang, Indonesia"/>
    <x v="1"/>
    <x v="7"/>
    <n v="2"/>
    <n v="6.7"/>
    <n v="369"/>
    <n v="0"/>
    <n v="14.9"/>
    <n v="20"/>
    <n v="5"/>
    <n v="6"/>
    <n v="0"/>
    <n v="753"/>
  </r>
  <r>
    <x v="86"/>
    <n v="6.7"/>
    <s v="25-02-2008 21:02"/>
    <n v="5"/>
    <n v="6"/>
    <m/>
    <n v="0"/>
    <n v="696"/>
    <s v="us"/>
    <n v="543"/>
    <n v="0"/>
    <n v="15.1"/>
    <s v="mwc"/>
    <n v="25"/>
    <n v="-2.2450000000000001"/>
    <n v="99.808000000000007"/>
    <s v="Padang, Indonesia"/>
    <x v="1"/>
    <x v="7"/>
    <n v="2"/>
    <n v="6.7"/>
    <n v="543"/>
    <n v="0"/>
    <n v="15.1"/>
    <n v="25"/>
    <n v="5"/>
    <n v="6"/>
    <n v="0"/>
    <n v="696"/>
  </r>
  <r>
    <x v="87"/>
    <n v="6.7"/>
    <s v="20-09-2007 08:31"/>
    <n v="3"/>
    <n v="5"/>
    <m/>
    <n v="0"/>
    <n v="696"/>
    <s v="us"/>
    <n v="503"/>
    <n v="0"/>
    <n v="26.9"/>
    <s v="mwc"/>
    <n v="30"/>
    <n v="-1.9990000000000001"/>
    <n v="100.14100000000001"/>
    <s v="Padang, Indonesia"/>
    <x v="1"/>
    <x v="7"/>
    <n v="2"/>
    <n v="6.7"/>
    <n v="503"/>
    <n v="0"/>
    <n v="26.9"/>
    <n v="30"/>
    <n v="3"/>
    <n v="5"/>
    <n v="0"/>
    <n v="696"/>
  </r>
  <r>
    <x v="88"/>
    <n v="6.7"/>
    <d v="2005-10-04T10:29:00"/>
    <n v="5"/>
    <n v="6"/>
    <m/>
    <n v="0"/>
    <n v="717"/>
    <s v="us"/>
    <n v="656"/>
    <n v="0"/>
    <n v="21.2"/>
    <s v="mwc"/>
    <n v="19"/>
    <n v="-1.6439999999999999"/>
    <n v="99.606999999999999"/>
    <s v="Padang, Indonesia"/>
    <x v="1"/>
    <x v="7"/>
    <n v="2"/>
    <n v="6.7"/>
    <n v="656"/>
    <n v="0"/>
    <n v="21.2"/>
    <n v="19"/>
    <n v="5"/>
    <n v="6"/>
    <n v="0"/>
    <n v="717"/>
  </r>
  <r>
    <x v="89"/>
    <n v="6.6"/>
    <s v="25-02-2008 18:06"/>
    <n v="4"/>
    <n v="6"/>
    <m/>
    <n v="0"/>
    <n v="674"/>
    <s v="us"/>
    <n v="421"/>
    <n v="0"/>
    <n v="17.7"/>
    <s v="mwc"/>
    <n v="25"/>
    <n v="-2.3319999999999999"/>
    <n v="99.891000000000005"/>
    <s v="Padang, Indonesia"/>
    <x v="1"/>
    <x v="7"/>
    <n v="2"/>
    <n v="6.6"/>
    <n v="421"/>
    <n v="0"/>
    <n v="17.7"/>
    <n v="25"/>
    <n v="4"/>
    <n v="6"/>
    <n v="0"/>
    <n v="674"/>
  </r>
  <r>
    <x v="90"/>
    <n v="6.5"/>
    <d v="2005-10-04T11:14:00"/>
    <n v="3"/>
    <n v="6"/>
    <m/>
    <n v="0"/>
    <n v="657"/>
    <s v="us"/>
    <n v="478"/>
    <n v="0"/>
    <n v="21.2"/>
    <s v="mwc"/>
    <n v="30"/>
    <n v="-1.714"/>
    <n v="99.778999999999996"/>
    <s v="Padang, Indonesia"/>
    <x v="1"/>
    <x v="7"/>
    <n v="2"/>
    <n v="6.5"/>
    <n v="478"/>
    <n v="0"/>
    <n v="21.2"/>
    <n v="30"/>
    <n v="3"/>
    <n v="6"/>
    <n v="0"/>
    <n v="657"/>
  </r>
  <r>
    <x v="91"/>
    <n v="6.7"/>
    <s v="14-05-2005 05:05"/>
    <n v="6"/>
    <n v="5"/>
    <m/>
    <n v="0"/>
    <n v="731"/>
    <s v="us"/>
    <n v="695"/>
    <n v="0"/>
    <n v="20.9"/>
    <s v="mwb"/>
    <n v="34"/>
    <n v="0.58699999999999997"/>
    <n v="98.459000000000003"/>
    <s v="Padangsidempuan, Indonesia"/>
    <x v="1"/>
    <x v="7"/>
    <n v="2"/>
    <n v="6.7"/>
    <n v="695"/>
    <n v="0"/>
    <n v="20.9"/>
    <n v="34"/>
    <n v="6"/>
    <n v="5"/>
    <n v="0"/>
    <n v="731"/>
  </r>
  <r>
    <x v="92"/>
    <n v="7.5"/>
    <s v="28-09-2018 10:02"/>
    <n v="8"/>
    <n v="8"/>
    <s v="red"/>
    <n v="0"/>
    <n v="2026"/>
    <s v="us"/>
    <n v="0"/>
    <n v="1.649"/>
    <n v="13"/>
    <s v="mww"/>
    <n v="20"/>
    <n v="-0.25590000000000002"/>
    <n v="119.846"/>
    <s v="Palu, Indonesia"/>
    <x v="1"/>
    <x v="7"/>
    <n v="2"/>
    <n v="7.5"/>
    <n v="0"/>
    <n v="1.649"/>
    <n v="13"/>
    <n v="20"/>
    <n v="8"/>
    <n v="8"/>
    <n v="0"/>
    <n v="2026"/>
  </r>
  <r>
    <x v="93"/>
    <n v="6.6"/>
    <s v="19-10-2016 00:26"/>
    <n v="3"/>
    <n v="3"/>
    <s v="green"/>
    <n v="0"/>
    <n v="677"/>
    <s v="us"/>
    <n v="0"/>
    <n v="2.0219999999999998"/>
    <n v="16"/>
    <s v="mww"/>
    <n v="614"/>
    <n v="-4.8625999999999996"/>
    <n v="108.163"/>
    <s v="Pamanukan, Indonesia"/>
    <x v="1"/>
    <x v="7"/>
    <n v="2"/>
    <n v="6.6"/>
    <n v="0"/>
    <n v="2.0219999999999998"/>
    <n v="16"/>
    <n v="614"/>
    <n v="3"/>
    <n v="3"/>
    <n v="0"/>
    <n v="677"/>
  </r>
  <r>
    <x v="94"/>
    <n v="7.3"/>
    <d v="2004-07-02T02:42:00"/>
    <n v="0"/>
    <n v="7"/>
    <m/>
    <n v="0"/>
    <n v="820"/>
    <s v="us"/>
    <n v="390"/>
    <n v="0"/>
    <n v="23"/>
    <s v="mwb"/>
    <n v="10"/>
    <n v="-4.0030000000000001"/>
    <n v="135.023"/>
    <s v="Papua, Indonesia"/>
    <x v="1"/>
    <x v="7"/>
    <n v="2"/>
    <n v="7.3"/>
    <n v="390"/>
    <n v="0"/>
    <n v="23"/>
    <n v="10"/>
    <n v="0"/>
    <n v="7"/>
    <n v="0"/>
    <n v="820"/>
  </r>
  <r>
    <x v="95"/>
    <n v="7"/>
    <s v="29-09-2010 17:11"/>
    <n v="8"/>
    <n v="5"/>
    <m/>
    <n v="0"/>
    <n v="772"/>
    <s v="us"/>
    <n v="271"/>
    <n v="0"/>
    <n v="15.1"/>
    <s v="mwc"/>
    <n v="26"/>
    <n v="-4.9630000000000001"/>
    <n v="133.76"/>
    <s v="Papua, Indonesia"/>
    <x v="1"/>
    <x v="7"/>
    <n v="2"/>
    <n v="7"/>
    <n v="271"/>
    <n v="0"/>
    <n v="15.1"/>
    <n v="26"/>
    <n v="8"/>
    <n v="5"/>
    <n v="0"/>
    <n v="772"/>
  </r>
  <r>
    <x v="96"/>
    <n v="7.6"/>
    <s v="30-09-2009 10:16"/>
    <n v="8"/>
    <n v="8"/>
    <m/>
    <n v="0"/>
    <n v="1639"/>
    <s v="us"/>
    <n v="498"/>
    <n v="0"/>
    <n v="14"/>
    <s v="mwc"/>
    <n v="81"/>
    <n v="-0.72"/>
    <n v="99.867000000000004"/>
    <s v="Pariaman, Indonesia"/>
    <x v="1"/>
    <x v="7"/>
    <n v="2"/>
    <n v="7.6"/>
    <n v="498"/>
    <n v="0"/>
    <n v="14"/>
    <n v="81"/>
    <n v="8"/>
    <n v="8"/>
    <n v="0"/>
    <n v="1639"/>
  </r>
  <r>
    <x v="97"/>
    <n v="6.7"/>
    <s v="13-03-2022 21:09"/>
    <n v="9"/>
    <n v="6"/>
    <s v="green"/>
    <n v="0"/>
    <n v="708"/>
    <s v="us"/>
    <n v="0"/>
    <n v="2.1880000000000002"/>
    <n v="43"/>
    <s v="mww"/>
    <n v="28"/>
    <n v="-0.68310000000000004"/>
    <n v="98.603399999999993"/>
    <s v="Pariaman, Indonesia"/>
    <x v="1"/>
    <x v="7"/>
    <n v="2"/>
    <n v="6.7"/>
    <n v="0"/>
    <n v="2.1880000000000002"/>
    <n v="43"/>
    <n v="28"/>
    <n v="9"/>
    <n v="6"/>
    <n v="0"/>
    <n v="708"/>
  </r>
  <r>
    <x v="98"/>
    <n v="6.6"/>
    <s v="29-05-2017 14:35"/>
    <n v="7"/>
    <n v="7"/>
    <s v="green"/>
    <n v="0"/>
    <n v="678"/>
    <s v="us"/>
    <n v="0"/>
    <n v="2.3530000000000002"/>
    <n v="18"/>
    <s v="mww"/>
    <n v="12"/>
    <n v="-1.2923"/>
    <n v="120.431"/>
    <s v="Poso, Indonesia"/>
    <x v="1"/>
    <x v="7"/>
    <n v="2"/>
    <n v="6.6"/>
    <n v="0"/>
    <n v="2.3530000000000002"/>
    <n v="18"/>
    <n v="12"/>
    <n v="7"/>
    <n v="7"/>
    <n v="0"/>
    <n v="678"/>
  </r>
  <r>
    <x v="99"/>
    <n v="6.5"/>
    <s v="15-02-2005 14:42"/>
    <n v="3"/>
    <n v="5"/>
    <m/>
    <n v="0"/>
    <n v="652"/>
    <s v="us"/>
    <n v="286"/>
    <n v="0"/>
    <n v="47.3"/>
    <s v="mwc"/>
    <n v="39.700000000000003"/>
    <n v="4.7560000000000002"/>
    <n v="126.42100000000001"/>
    <s v="Pulau-Pulau Talaud, Indonesia"/>
    <x v="1"/>
    <x v="7"/>
    <n v="2"/>
    <n v="6.5"/>
    <n v="286"/>
    <n v="0"/>
    <n v="47.3"/>
    <n v="39.700000000000003"/>
    <n v="3"/>
    <n v="5"/>
    <n v="0"/>
    <n v="652"/>
  </r>
  <r>
    <x v="100"/>
    <n v="7.5"/>
    <d v="2007-08-08T17:05:00"/>
    <n v="0"/>
    <n v="5"/>
    <m/>
    <n v="0"/>
    <n v="865"/>
    <s v="us"/>
    <n v="228"/>
    <n v="0"/>
    <n v="30.7"/>
    <s v="mwc"/>
    <n v="280"/>
    <n v="-5.859"/>
    <n v="107.419"/>
    <s v="Rengasdengklok, Indonesia"/>
    <x v="1"/>
    <x v="7"/>
    <n v="2"/>
    <n v="7.5"/>
    <n v="228"/>
    <n v="0"/>
    <n v="30.7"/>
    <n v="280"/>
    <n v="0"/>
    <n v="5"/>
    <n v="0"/>
    <n v="865"/>
  </r>
  <r>
    <x v="101"/>
    <n v="6.5"/>
    <d v="2016-06-12T22:03:00"/>
    <n v="9"/>
    <n v="8"/>
    <s v="yellow"/>
    <n v="0"/>
    <n v="731"/>
    <s v="us"/>
    <n v="0"/>
    <n v="0.77800000000000002"/>
    <n v="27"/>
    <s v="mww"/>
    <n v="13"/>
    <n v="5.2834000000000003"/>
    <n v="96.1678"/>
    <s v="Reuleuet, Indonesia"/>
    <x v="1"/>
    <x v="7"/>
    <n v="2"/>
    <n v="6.5"/>
    <n v="0"/>
    <n v="0.77800000000000002"/>
    <n v="27"/>
    <n v="13"/>
    <n v="9"/>
    <n v="8"/>
    <n v="0"/>
    <n v="731"/>
  </r>
  <r>
    <x v="102"/>
    <n v="6.5"/>
    <s v="25-03-2003 02:53"/>
    <n v="0"/>
    <n v="7"/>
    <m/>
    <n v="0"/>
    <n v="650"/>
    <s v="us"/>
    <n v="247"/>
    <n v="0"/>
    <n v="28.7"/>
    <s v="mwc"/>
    <n v="33"/>
    <n v="-8.2940000000000005"/>
    <n v="120.74299999999999"/>
    <s v="Ruteng, Indonesia"/>
    <x v="1"/>
    <x v="7"/>
    <n v="2"/>
    <n v="6.5"/>
    <n v="247"/>
    <n v="0"/>
    <n v="28.7"/>
    <n v="33"/>
    <n v="0"/>
    <n v="7"/>
    <n v="0"/>
    <n v="650"/>
  </r>
  <r>
    <x v="103"/>
    <n v="6.7"/>
    <s v="20-02-2007 08:04"/>
    <n v="0"/>
    <n v="6"/>
    <m/>
    <n v="0"/>
    <n v="691"/>
    <s v="us"/>
    <n v="253"/>
    <n v="0"/>
    <n v="40.299999999999997"/>
    <s v="mwc"/>
    <n v="12"/>
    <n v="-1.034"/>
    <n v="126.976"/>
    <s v="S"/>
    <x v="1"/>
    <x v="7"/>
    <n v="2"/>
    <n v="6.7"/>
    <n v="253"/>
    <n v="0"/>
    <n v="40.299999999999997"/>
    <n v="12"/>
    <n v="0"/>
    <n v="6"/>
    <n v="0"/>
    <n v="691"/>
  </r>
  <r>
    <x v="104"/>
    <n v="7.2"/>
    <d v="2009-11-02T17:34:00"/>
    <n v="3"/>
    <n v="7"/>
    <m/>
    <n v="0"/>
    <n v="802"/>
    <s v="us"/>
    <n v="432"/>
    <n v="0"/>
    <n v="18.600000000000001"/>
    <s v="mwc"/>
    <n v="20"/>
    <n v="3.8860000000000001"/>
    <n v="126.387"/>
    <s v="Sarangani, Philippines"/>
    <x v="1"/>
    <x v="7"/>
    <n v="2"/>
    <n v="7.2"/>
    <n v="432"/>
    <n v="0"/>
    <n v="18.600000000000001"/>
    <n v="20"/>
    <n v="3"/>
    <n v="7"/>
    <n v="0"/>
    <n v="802"/>
  </r>
  <r>
    <x v="105"/>
    <n v="6.5"/>
    <d v="2016-11-01T16:38:00"/>
    <n v="3"/>
    <n v="6"/>
    <s v="green"/>
    <n v="1"/>
    <n v="651"/>
    <s v="us"/>
    <n v="0"/>
    <n v="3.1440000000000001"/>
    <n v="22"/>
    <s v="mww"/>
    <n v="13"/>
    <n v="3.8965000000000001"/>
    <n v="126.86199999999999"/>
    <s v="Sarangani, Philippines"/>
    <x v="1"/>
    <x v="7"/>
    <n v="2"/>
    <n v="6.5"/>
    <n v="0"/>
    <n v="3.1440000000000001"/>
    <n v="22"/>
    <n v="13"/>
    <n v="3"/>
    <n v="6"/>
    <n v="1"/>
    <n v="651"/>
  </r>
  <r>
    <x v="106"/>
    <n v="7.3"/>
    <s v="24-06-2019 02:53"/>
    <n v="4"/>
    <n v="6"/>
    <s v="green"/>
    <n v="1"/>
    <n v="952"/>
    <s v="us"/>
    <n v="0"/>
    <n v="2.629"/>
    <n v="16"/>
    <s v="mww"/>
    <n v="212"/>
    <n v="-6.4077999999999999"/>
    <n v="129.16900000000001"/>
    <s v="Saumlaki, Indonesia"/>
    <x v="1"/>
    <x v="7"/>
    <n v="2"/>
    <n v="7.3"/>
    <n v="0"/>
    <n v="2.629"/>
    <n v="16"/>
    <n v="212"/>
    <n v="4"/>
    <n v="6"/>
    <n v="1"/>
    <n v="952"/>
  </r>
  <r>
    <x v="107"/>
    <n v="7.8"/>
    <d v="2010-06-04T22:15:00"/>
    <n v="0"/>
    <n v="7"/>
    <m/>
    <n v="0"/>
    <n v="936"/>
    <s v="us"/>
    <n v="352"/>
    <n v="0"/>
    <n v="19.2"/>
    <s v="mwc"/>
    <n v="31"/>
    <n v="2.383"/>
    <n v="97.048000000000002"/>
    <s v="Sinabang, Indonesia"/>
    <x v="1"/>
    <x v="7"/>
    <n v="2"/>
    <n v="7.8"/>
    <n v="352"/>
    <n v="0"/>
    <n v="19.2"/>
    <n v="31"/>
    <n v="0"/>
    <n v="7"/>
    <n v="0"/>
    <n v="936"/>
  </r>
  <r>
    <x v="108"/>
    <n v="7.4"/>
    <s v="20-02-2008 08:08"/>
    <n v="5"/>
    <n v="7"/>
    <m/>
    <n v="0"/>
    <n v="914"/>
    <s v="us"/>
    <n v="607"/>
    <n v="0"/>
    <n v="16.399999999999999"/>
    <s v="mwc"/>
    <n v="26"/>
    <n v="2.7679999999999998"/>
    <n v="95.963999999999999"/>
    <s v="Sinabang, Indonesia"/>
    <x v="1"/>
    <x v="7"/>
    <n v="2"/>
    <n v="7.4"/>
    <n v="607"/>
    <n v="0"/>
    <n v="16.399999999999999"/>
    <n v="26"/>
    <n v="5"/>
    <n v="7"/>
    <n v="0"/>
    <n v="914"/>
  </r>
  <r>
    <x v="109"/>
    <n v="7.4"/>
    <d v="2002-02-11T01:26:00"/>
    <n v="0"/>
    <n v="7"/>
    <m/>
    <n v="0"/>
    <n v="842"/>
    <s v="us"/>
    <n v="418"/>
    <n v="0"/>
    <n v="0"/>
    <s v="mwb"/>
    <n v="30"/>
    <n v="2.8239999999999998"/>
    <n v="96.084999999999994"/>
    <s v="Sinabang, Indonesia"/>
    <x v="1"/>
    <x v="7"/>
    <n v="2"/>
    <n v="7.4"/>
    <n v="418"/>
    <n v="0"/>
    <n v="0"/>
    <n v="30"/>
    <n v="0"/>
    <n v="7"/>
    <n v="0"/>
    <n v="842"/>
  </r>
  <r>
    <x v="110"/>
    <n v="6.8"/>
    <s v="26-02-2005 12:56"/>
    <n v="0"/>
    <n v="6"/>
    <m/>
    <n v="0"/>
    <n v="711"/>
    <s v="us"/>
    <n v="444"/>
    <n v="0"/>
    <n v="33.799999999999997"/>
    <s v="mwb"/>
    <n v="36"/>
    <n v="2.9079999999999999"/>
    <n v="95.591999999999999"/>
    <s v="Sinabang, Indonesia"/>
    <x v="1"/>
    <x v="7"/>
    <n v="2"/>
    <n v="6.8"/>
    <n v="444"/>
    <n v="0"/>
    <n v="33.799999999999997"/>
    <n v="36"/>
    <n v="0"/>
    <n v="6"/>
    <n v="0"/>
    <n v="711"/>
  </r>
  <r>
    <x v="111"/>
    <n v="6.5"/>
    <s v="19-11-2005 14:10"/>
    <n v="3"/>
    <n v="6"/>
    <m/>
    <n v="0"/>
    <n v="651"/>
    <s v="us"/>
    <n v="358"/>
    <n v="0"/>
    <n v="20.7"/>
    <s v="mwb"/>
    <n v="21"/>
    <n v="2.1640000000000001"/>
    <n v="96.786000000000001"/>
    <s v="Sinabang, Indonesia"/>
    <x v="1"/>
    <x v="7"/>
    <n v="2"/>
    <n v="6.5"/>
    <n v="358"/>
    <n v="0"/>
    <n v="20.7"/>
    <n v="21"/>
    <n v="3"/>
    <n v="6"/>
    <n v="0"/>
    <n v="651"/>
  </r>
  <r>
    <x v="112"/>
    <n v="6.7"/>
    <s v="14-05-2021 06:33"/>
    <n v="8"/>
    <n v="4"/>
    <s v="green"/>
    <n v="0"/>
    <n v="698"/>
    <s v="us"/>
    <n v="0"/>
    <n v="1.4870000000000001"/>
    <n v="37"/>
    <s v="mww"/>
    <n v="11"/>
    <n v="0.16839999999999999"/>
    <n v="96.647499999999994"/>
    <s v="Sinabang, Indonesia"/>
    <x v="1"/>
    <x v="7"/>
    <n v="2"/>
    <n v="6.7"/>
    <n v="0"/>
    <n v="1.4870000000000001"/>
    <n v="37"/>
    <n v="11"/>
    <n v="8"/>
    <n v="4"/>
    <n v="0"/>
    <n v="698"/>
  </r>
  <r>
    <x v="113"/>
    <n v="7.7"/>
    <s v="17-07-2006 08:19"/>
    <n v="7"/>
    <n v="5"/>
    <m/>
    <n v="0"/>
    <n v="947"/>
    <s v="us"/>
    <n v="357"/>
    <n v="0"/>
    <n v="36.799999999999997"/>
    <s v="mwc"/>
    <n v="20"/>
    <n v="-9.2840000000000007"/>
    <n v="107.419"/>
    <s v="Singaparna, Indonesia"/>
    <x v="1"/>
    <x v="7"/>
    <n v="2"/>
    <n v="7.7"/>
    <n v="357"/>
    <n v="0"/>
    <n v="36.799999999999997"/>
    <n v="20"/>
    <n v="7"/>
    <n v="5"/>
    <n v="0"/>
    <n v="947"/>
  </r>
  <r>
    <x v="114"/>
    <n v="8.6"/>
    <s v="28-03-2005 16:09"/>
    <n v="0"/>
    <n v="8"/>
    <m/>
    <n v="0"/>
    <n v="1138"/>
    <s v="official"/>
    <n v="510"/>
    <n v="0"/>
    <n v="22.1"/>
    <s v="mww"/>
    <n v="30"/>
    <n v="2.085"/>
    <n v="97.108000000000004"/>
    <s v="Singkil, Indonesia"/>
    <x v="1"/>
    <x v="7"/>
    <n v="2"/>
    <n v="8.6"/>
    <n v="510"/>
    <n v="0"/>
    <n v="22.1"/>
    <n v="30"/>
    <n v="0"/>
    <n v="8"/>
    <n v="0"/>
    <n v="1138"/>
  </r>
  <r>
    <x v="115"/>
    <n v="6.9"/>
    <s v="19-05-2005 01:54"/>
    <n v="5"/>
    <n v="7"/>
    <m/>
    <n v="0"/>
    <n v="740"/>
    <s v="us"/>
    <n v="635"/>
    <n v="0"/>
    <n v="26"/>
    <s v="mwc"/>
    <n v="30"/>
    <n v="1.9890000000000001"/>
    <n v="97.040999999999997"/>
    <s v="Singkil, Indonesia"/>
    <x v="1"/>
    <x v="7"/>
    <n v="2"/>
    <n v="6.9"/>
    <n v="635"/>
    <n v="0"/>
    <n v="26"/>
    <n v="30"/>
    <n v="5"/>
    <n v="7"/>
    <n v="0"/>
    <n v="740"/>
  </r>
  <r>
    <x v="116"/>
    <n v="6.7"/>
    <d v="2005-05-07T01:52:00"/>
    <n v="3"/>
    <n v="6"/>
    <m/>
    <n v="0"/>
    <n v="693"/>
    <s v="us"/>
    <n v="398"/>
    <n v="0"/>
    <n v="22.3"/>
    <s v="mwc"/>
    <n v="21"/>
    <n v="1.819"/>
    <n v="97.081999999999994"/>
    <s v="Singkil, Indonesia"/>
    <x v="1"/>
    <x v="7"/>
    <n v="2"/>
    <n v="6.7"/>
    <n v="398"/>
    <n v="0"/>
    <n v="22.3"/>
    <n v="21"/>
    <n v="3"/>
    <n v="6"/>
    <n v="0"/>
    <n v="693"/>
  </r>
  <r>
    <x v="117"/>
    <n v="6.8"/>
    <s v="16-05-2006 15:28"/>
    <n v="4"/>
    <n v="5"/>
    <m/>
    <n v="0"/>
    <n v="719"/>
    <s v="us"/>
    <n v="701"/>
    <n v="0"/>
    <n v="16.3"/>
    <s v="mwb"/>
    <n v="12"/>
    <n v="9.2999999999999999E-2"/>
    <n v="97.05"/>
    <s v="Singkil, Indonesia"/>
    <x v="1"/>
    <x v="7"/>
    <n v="2"/>
    <n v="6.8"/>
    <n v="701"/>
    <n v="0"/>
    <n v="16.3"/>
    <n v="12"/>
    <n v="4"/>
    <n v="5"/>
    <n v="0"/>
    <n v="719"/>
  </r>
  <r>
    <x v="118"/>
    <n v="6.6"/>
    <s v="24-09-2015 15:53"/>
    <n v="7"/>
    <n v="7"/>
    <s v="green"/>
    <n v="0"/>
    <n v="671"/>
    <s v="us"/>
    <n v="0"/>
    <n v="2.4860000000000002"/>
    <n v="13"/>
    <s v="mww"/>
    <n v="18"/>
    <n v="-0.62119999999999997"/>
    <n v="131.262"/>
    <s v="Sorong, Indonesia"/>
    <x v="1"/>
    <x v="7"/>
    <n v="2"/>
    <n v="6.6"/>
    <n v="0"/>
    <n v="2.4860000000000002"/>
    <n v="13"/>
    <n v="18"/>
    <n v="7"/>
    <n v="7"/>
    <n v="0"/>
    <n v="671"/>
  </r>
  <r>
    <x v="119"/>
    <n v="7.9"/>
    <d v="2007-12-09T23:49:00"/>
    <n v="8"/>
    <n v="7"/>
    <m/>
    <n v="0"/>
    <n v="1133"/>
    <s v="us"/>
    <n v="446"/>
    <n v="0"/>
    <n v="29.1"/>
    <s v="mwc"/>
    <n v="35"/>
    <n v="-2.625"/>
    <n v="100.84099999999999"/>
    <s v="Sungai Penuh, Indonesia"/>
    <x v="1"/>
    <x v="7"/>
    <n v="2"/>
    <n v="7.9"/>
    <n v="446"/>
    <n v="0"/>
    <n v="29.1"/>
    <n v="35"/>
    <n v="8"/>
    <n v="7"/>
    <n v="0"/>
    <n v="1133"/>
  </r>
  <r>
    <x v="120"/>
    <n v="7.8"/>
    <d v="2007-12-09T23:49:00"/>
    <n v="7"/>
    <n v="8"/>
    <m/>
    <n v="0"/>
    <n v="1152"/>
    <s v="duputel"/>
    <n v="0"/>
    <n v="0"/>
    <n v="0"/>
    <s v="mww"/>
    <n v="40.5"/>
    <n v="-2.52"/>
    <n v="100.139"/>
    <s v="Sungai Penuh, Indonesia"/>
    <x v="1"/>
    <x v="7"/>
    <n v="2"/>
    <n v="7.8"/>
    <n v="0"/>
    <n v="0"/>
    <n v="0"/>
    <n v="40.5"/>
    <n v="7"/>
    <n v="8"/>
    <n v="0"/>
    <n v="1152"/>
  </r>
  <r>
    <x v="121"/>
    <n v="7.2"/>
    <s v="25-02-2008 08:36"/>
    <n v="4"/>
    <n v="7"/>
    <m/>
    <n v="0"/>
    <n v="832"/>
    <s v="us"/>
    <n v="505"/>
    <n v="0"/>
    <n v="18.399999999999999"/>
    <s v="mwc"/>
    <n v="25"/>
    <n v="-2.4860000000000002"/>
    <n v="99.971999999999994"/>
    <s v="Sungai Penuh, Indonesia"/>
    <x v="1"/>
    <x v="7"/>
    <n v="2"/>
    <n v="7.2"/>
    <n v="505"/>
    <n v="0"/>
    <n v="18.399999999999999"/>
    <n v="25"/>
    <n v="4"/>
    <n v="7"/>
    <n v="0"/>
    <n v="832"/>
  </r>
  <r>
    <x v="122"/>
    <n v="6.6"/>
    <d v="2016-01-06T22:56:00"/>
    <n v="4"/>
    <n v="6"/>
    <s v="green"/>
    <n v="0"/>
    <n v="671"/>
    <s v="us"/>
    <n v="0"/>
    <n v="2.4350000000000001"/>
    <n v="16"/>
    <s v="mww"/>
    <n v="50"/>
    <n v="-2.0966999999999998"/>
    <n v="100.66500000000001"/>
    <s v="Sungai Penuh, Indonesia"/>
    <x v="1"/>
    <x v="7"/>
    <n v="2"/>
    <n v="6.6"/>
    <n v="0"/>
    <n v="2.4350000000000001"/>
    <n v="16"/>
    <n v="50"/>
    <n v="4"/>
    <n v="6"/>
    <n v="0"/>
    <n v="671"/>
  </r>
  <r>
    <x v="123"/>
    <n v="6.6"/>
    <d v="2009-01-10T01:52:00"/>
    <n v="7"/>
    <n v="7"/>
    <m/>
    <n v="0"/>
    <n v="787"/>
    <s v="us"/>
    <n v="417"/>
    <n v="0"/>
    <n v="30.1"/>
    <s v="mwc"/>
    <n v="9"/>
    <n v="-2.4820000000000002"/>
    <n v="101.524"/>
    <s v="Sungai Penuh, Indonesia"/>
    <x v="1"/>
    <x v="7"/>
    <n v="2"/>
    <n v="6.6"/>
    <n v="417"/>
    <n v="0"/>
    <n v="30.1"/>
    <n v="9"/>
    <n v="7"/>
    <n v="7"/>
    <n v="0"/>
    <n v="787"/>
  </r>
  <r>
    <x v="124"/>
    <n v="6.5"/>
    <s v="24-02-2008 14:46"/>
    <n v="4"/>
    <n v="6"/>
    <m/>
    <n v="0"/>
    <n v="654"/>
    <s v="us"/>
    <n v="429"/>
    <n v="0"/>
    <n v="28.3"/>
    <s v="mwc"/>
    <n v="22"/>
    <n v="-2.4049999999999998"/>
    <n v="99.930999999999997"/>
    <s v="Sungai Penuh, Indonesia"/>
    <x v="1"/>
    <x v="7"/>
    <n v="2"/>
    <n v="6.5"/>
    <n v="429"/>
    <n v="0"/>
    <n v="28.3"/>
    <n v="22"/>
    <n v="4"/>
    <n v="6"/>
    <n v="0"/>
    <n v="654"/>
  </r>
  <r>
    <x v="125"/>
    <n v="7.5"/>
    <s v="21-01-2007 11:27"/>
    <n v="6"/>
    <n v="5"/>
    <m/>
    <n v="0"/>
    <n v="874"/>
    <s v="us"/>
    <n v="570"/>
    <n v="0"/>
    <n v="21.6"/>
    <s v="mwc"/>
    <n v="22"/>
    <n v="1.0649999999999999"/>
    <n v="126.282"/>
    <s v="Ternate, Indonesia"/>
    <x v="1"/>
    <x v="7"/>
    <n v="2"/>
    <n v="7.5"/>
    <n v="570"/>
    <n v="0"/>
    <n v="21.6"/>
    <n v="22"/>
    <n v="6"/>
    <n v="5"/>
    <n v="0"/>
    <n v="874"/>
  </r>
  <r>
    <x v="126"/>
    <n v="7.1"/>
    <s v="15-11-2014 02:31"/>
    <n v="4"/>
    <n v="6"/>
    <s v="green"/>
    <n v="1"/>
    <n v="779"/>
    <s v="us"/>
    <n v="0"/>
    <n v="1.397"/>
    <n v="18"/>
    <s v="mww"/>
    <n v="45"/>
    <n v="1.8929"/>
    <n v="126.52200000000001"/>
    <s v="Ternate, Indonesia"/>
    <x v="1"/>
    <x v="7"/>
    <n v="2"/>
    <n v="7.1"/>
    <n v="0"/>
    <n v="1.397"/>
    <n v="18"/>
    <n v="45"/>
    <n v="4"/>
    <n v="6"/>
    <n v="1"/>
    <n v="779"/>
  </r>
  <r>
    <x v="127"/>
    <n v="7.1"/>
    <s v="24-02-2001 07:23"/>
    <n v="0"/>
    <n v="7"/>
    <m/>
    <n v="0"/>
    <n v="776"/>
    <s v="us"/>
    <n v="426"/>
    <n v="0"/>
    <n v="0"/>
    <s v="mwc"/>
    <n v="35"/>
    <n v="1.2709999999999999"/>
    <n v="126.249"/>
    <s v="Ternate, Indonesia"/>
    <x v="1"/>
    <x v="7"/>
    <n v="2"/>
    <n v="7.1"/>
    <n v="426"/>
    <n v="0"/>
    <n v="0"/>
    <n v="35"/>
    <n v="0"/>
    <n v="7"/>
    <n v="0"/>
    <n v="776"/>
  </r>
  <r>
    <x v="128"/>
    <n v="6.8"/>
    <s v="26-11-2014 14:33"/>
    <n v="6"/>
    <n v="5"/>
    <s v="green"/>
    <n v="1"/>
    <n v="713"/>
    <s v="us"/>
    <n v="0"/>
    <n v="1.421"/>
    <n v="19"/>
    <s v="mww"/>
    <n v="39"/>
    <n v="1.9603999999999999"/>
    <n v="126.575"/>
    <s v="Ternate, Indonesia"/>
    <x v="1"/>
    <x v="7"/>
    <n v="2"/>
    <n v="6.8"/>
    <n v="0"/>
    <n v="1.421"/>
    <n v="19"/>
    <n v="39"/>
    <n v="6"/>
    <n v="5"/>
    <n v="1"/>
    <n v="713"/>
  </r>
  <r>
    <x v="129"/>
    <n v="7"/>
    <s v="26-05-2003 19:23"/>
    <n v="0"/>
    <n v="6"/>
    <m/>
    <n v="0"/>
    <n v="754"/>
    <s v="us"/>
    <n v="473"/>
    <n v="0"/>
    <n v="30.3"/>
    <s v="mwc"/>
    <n v="31"/>
    <n v="2.3540000000000001"/>
    <n v="128.85499999999999"/>
    <s v="Tobelo, Indonesia"/>
    <x v="1"/>
    <x v="7"/>
    <n v="2"/>
    <n v="7"/>
    <n v="473"/>
    <n v="0"/>
    <n v="30.3"/>
    <n v="31"/>
    <n v="0"/>
    <n v="6"/>
    <n v="0"/>
    <n v="754"/>
  </r>
  <r>
    <x v="130"/>
    <n v="6.9"/>
    <s v="26-07-2007 05:40"/>
    <n v="3"/>
    <n v="5"/>
    <m/>
    <n v="0"/>
    <n v="734"/>
    <s v="us"/>
    <n v="374"/>
    <n v="0"/>
    <n v="24.1"/>
    <s v="mwb"/>
    <n v="25"/>
    <n v="2.8719999999999999"/>
    <n v="127.464"/>
    <s v="Tobelo, Indonesia"/>
    <x v="1"/>
    <x v="7"/>
    <n v="2"/>
    <n v="6.9"/>
    <n v="374"/>
    <n v="0"/>
    <n v="24.1"/>
    <n v="25"/>
    <n v="3"/>
    <n v="5"/>
    <n v="0"/>
    <n v="734"/>
  </r>
  <r>
    <x v="131"/>
    <n v="6.6"/>
    <s v="26-08-2012 15:05"/>
    <n v="4"/>
    <n v="5"/>
    <m/>
    <n v="0"/>
    <n v="678"/>
    <s v="us"/>
    <n v="497"/>
    <n v="0"/>
    <n v="14.6"/>
    <s v="mww"/>
    <n v="91.1"/>
    <n v="2.19"/>
    <n v="126.837"/>
    <s v="Tobelo, Indonesia"/>
    <x v="1"/>
    <x v="7"/>
    <n v="2"/>
    <n v="6.6"/>
    <n v="497"/>
    <n v="0"/>
    <n v="14.6"/>
    <n v="91.1"/>
    <n v="4"/>
    <n v="5"/>
    <n v="0"/>
    <n v="678"/>
  </r>
  <r>
    <x v="132"/>
    <n v="6.6"/>
    <d v="2008-11-09T00:00:00"/>
    <n v="0"/>
    <n v="6"/>
    <m/>
    <n v="0"/>
    <n v="670"/>
    <s v="us"/>
    <n v="463"/>
    <n v="0"/>
    <n v="14.1"/>
    <s v="mwc"/>
    <n v="96"/>
    <n v="1.885"/>
    <n v="127.363"/>
    <s v="Tobelo, Indonesia"/>
    <x v="1"/>
    <x v="7"/>
    <n v="2"/>
    <n v="6.6"/>
    <n v="463"/>
    <n v="0"/>
    <n v="14.1"/>
    <n v="96"/>
    <n v="0"/>
    <n v="6"/>
    <n v="0"/>
    <n v="670"/>
  </r>
  <r>
    <x v="133"/>
    <n v="6.5"/>
    <s v="21-11-2014 10:10"/>
    <n v="5"/>
    <n v="5"/>
    <s v="green"/>
    <n v="1"/>
    <n v="652"/>
    <s v="us"/>
    <n v="0"/>
    <n v="1.5489999999999999"/>
    <n v="9"/>
    <s v="mww"/>
    <n v="35"/>
    <n v="2.2999000000000001"/>
    <n v="127.056"/>
    <s v="Tobelo, Indonesia"/>
    <x v="1"/>
    <x v="7"/>
    <n v="2"/>
    <n v="6.5"/>
    <n v="0"/>
    <n v="1.5489999999999999"/>
    <n v="9"/>
    <n v="35"/>
    <n v="5"/>
    <n v="5"/>
    <n v="1"/>
    <n v="652"/>
  </r>
  <r>
    <x v="134"/>
    <n v="6.9"/>
    <s v="24-10-2009 14:40"/>
    <n v="4"/>
    <n v="6"/>
    <m/>
    <n v="0"/>
    <n v="972"/>
    <s v="us"/>
    <n v="397"/>
    <n v="0"/>
    <n v="11"/>
    <s v="mwc"/>
    <n v="130"/>
    <n v="-6.133"/>
    <n v="130.38499999999999"/>
    <s v="Tual, Indonesia"/>
    <x v="1"/>
    <x v="7"/>
    <n v="2"/>
    <n v="6.9"/>
    <n v="397"/>
    <n v="0"/>
    <n v="11"/>
    <n v="130"/>
    <n v="4"/>
    <n v="6"/>
    <n v="0"/>
    <n v="972"/>
  </r>
  <r>
    <x v="135"/>
    <n v="6.6"/>
    <d v="2012-12-10T00:31:00"/>
    <n v="3"/>
    <n v="5"/>
    <m/>
    <n v="0"/>
    <n v="675"/>
    <s v="us"/>
    <n v="291"/>
    <n v="0"/>
    <n v="17.7"/>
    <s v="mww"/>
    <n v="13"/>
    <n v="-4.8920000000000003"/>
    <n v="134.03"/>
    <s v="Tual, Indonesia"/>
    <x v="1"/>
    <x v="7"/>
    <n v="2"/>
    <n v="6.6"/>
    <n v="291"/>
    <n v="0"/>
    <n v="17.7"/>
    <n v="13"/>
    <n v="3"/>
    <n v="5"/>
    <n v="0"/>
    <n v="675"/>
  </r>
  <r>
    <x v="136"/>
    <n v="7.2"/>
    <s v="26-12-2004 04:21"/>
    <n v="5"/>
    <n v="6"/>
    <m/>
    <n v="0"/>
    <n v="802"/>
    <s v="us"/>
    <n v="385"/>
    <n v="0"/>
    <n v="27.9"/>
    <s v="mwc"/>
    <n v="39.200000000000003"/>
    <n v="6.91"/>
    <n v="92.957999999999998"/>
    <s v="Sabang, Indonesia"/>
    <x v="1"/>
    <x v="7"/>
    <n v="2"/>
    <n v="7.2"/>
    <n v="385"/>
    <n v="0"/>
    <n v="27.9"/>
    <n v="39.200000000000003"/>
    <n v="5"/>
    <n v="6"/>
    <n v="0"/>
    <n v="802"/>
  </r>
  <r>
    <x v="137"/>
    <n v="7.8"/>
    <d v="2016-02-03T12:49:00"/>
    <n v="4"/>
    <n v="3"/>
    <s v="green"/>
    <n v="0"/>
    <n v="948"/>
    <s v="us"/>
    <n v="0"/>
    <n v="7.0090000000000003"/>
    <n v="20"/>
    <s v="mww"/>
    <n v="24"/>
    <n v="-4.9520999999999997"/>
    <n v="94.329899999999995"/>
    <s v="Sumatra, Indonesia"/>
    <x v="1"/>
    <x v="7"/>
    <n v="2"/>
    <n v="7.8"/>
    <n v="0"/>
    <n v="7.0090000000000003"/>
    <n v="20"/>
    <n v="24"/>
    <n v="4"/>
    <n v="3"/>
    <n v="0"/>
    <n v="948"/>
  </r>
  <r>
    <x v="138"/>
    <n v="7.8"/>
    <s v="25-10-2010 14:42"/>
    <n v="4"/>
    <n v="7"/>
    <m/>
    <n v="0"/>
    <n v="946"/>
    <s v="us"/>
    <n v="379"/>
    <n v="0"/>
    <n v="23"/>
    <s v="mwc"/>
    <n v="20.100000000000001"/>
    <n v="-3.4870000000000001"/>
    <n v="100.08199999999999"/>
    <s v="Sungai Penuh, Indonesia"/>
    <x v="1"/>
    <x v="7"/>
    <n v="2"/>
    <n v="7.8"/>
    <n v="379"/>
    <n v="0"/>
    <n v="23"/>
    <n v="20.100000000000001"/>
    <n v="4"/>
    <n v="7"/>
    <n v="0"/>
    <n v="946"/>
  </r>
  <r>
    <x v="139"/>
    <n v="7.3"/>
    <d v="2017-12-11T18:18:00"/>
    <n v="8"/>
    <n v="9"/>
    <s v="red"/>
    <n v="0"/>
    <n v="2790"/>
    <s v="us"/>
    <n v="0"/>
    <n v="0.28399999999999997"/>
    <n v="33"/>
    <s v="mww"/>
    <n v="19"/>
    <n v="34.910899999999998"/>
    <n v="45.959200000000003"/>
    <s v="?alabja, Iraq"/>
    <x v="1"/>
    <x v="8"/>
    <n v="2"/>
    <n v="7.3"/>
    <n v="0"/>
    <n v="0.28399999999999997"/>
    <n v="33"/>
    <n v="19"/>
    <n v="8"/>
    <n v="9"/>
    <n v="0"/>
    <n v="2790"/>
  </r>
  <r>
    <x v="140"/>
    <n v="6.5"/>
    <s v="22-06-2002 02:58"/>
    <n v="0"/>
    <n v="8"/>
    <m/>
    <n v="0"/>
    <n v="650"/>
    <s v="us"/>
    <n v="555"/>
    <n v="0"/>
    <n v="0"/>
    <s v="mwc"/>
    <n v="10"/>
    <n v="35.625999999999998"/>
    <n v="49.046999999999997"/>
    <s v="Abhar, Iran"/>
    <x v="1"/>
    <x v="8"/>
    <n v="2"/>
    <n v="6.5"/>
    <n v="555"/>
    <n v="0"/>
    <n v="0"/>
    <n v="10"/>
    <n v="0"/>
    <n v="8"/>
    <n v="0"/>
    <n v="650"/>
  </r>
  <r>
    <x v="141"/>
    <n v="6.7"/>
    <s v="20-12-2010 18:41"/>
    <n v="3"/>
    <n v="7"/>
    <m/>
    <n v="0"/>
    <n v="708"/>
    <s v="us"/>
    <n v="279"/>
    <n v="0"/>
    <n v="24.3"/>
    <s v="mwc"/>
    <n v="12"/>
    <n v="28.411999999999999"/>
    <n v="59.18"/>
    <s v="Bam, Iran"/>
    <x v="1"/>
    <x v="8"/>
    <n v="2"/>
    <n v="6.7"/>
    <n v="279"/>
    <n v="0"/>
    <n v="24.3"/>
    <n v="12"/>
    <n v="3"/>
    <n v="7"/>
    <n v="0"/>
    <n v="708"/>
  </r>
  <r>
    <x v="142"/>
    <n v="6.6"/>
    <s v="26-12-2003 01:56"/>
    <n v="0"/>
    <n v="9"/>
    <m/>
    <n v="0"/>
    <n v="670"/>
    <s v="us"/>
    <n v="552"/>
    <n v="0"/>
    <n v="44.8"/>
    <s v="mwc"/>
    <n v="10"/>
    <n v="28.995000000000001"/>
    <n v="58.311"/>
    <s v="Bam, Iran"/>
    <x v="1"/>
    <x v="8"/>
    <n v="2"/>
    <n v="6.6"/>
    <n v="552"/>
    <n v="0"/>
    <n v="44.8"/>
    <n v="10"/>
    <n v="0"/>
    <n v="9"/>
    <n v="0"/>
    <n v="670"/>
  </r>
  <r>
    <x v="143"/>
    <n v="7.7"/>
    <s v="16-04-2013 10:44"/>
    <n v="8"/>
    <n v="8"/>
    <s v="yellow"/>
    <n v="0"/>
    <n v="1421"/>
    <s v="us"/>
    <n v="506"/>
    <n v="0"/>
    <n v="26.6"/>
    <s v="mww"/>
    <n v="80"/>
    <n v="28.033000000000001"/>
    <n v="61.996000000000002"/>
    <s v="Kh?sh, Iran"/>
    <x v="1"/>
    <x v="8"/>
    <n v="2"/>
    <n v="7.7"/>
    <n v="506"/>
    <n v="0"/>
    <n v="26.6"/>
    <n v="80"/>
    <n v="8"/>
    <n v="8"/>
    <n v="0"/>
    <n v="1421"/>
  </r>
  <r>
    <x v="144"/>
    <n v="7.9"/>
    <d v="2011-11-03T06:15:00"/>
    <n v="8"/>
    <n v="7"/>
    <m/>
    <n v="0"/>
    <n v="1140"/>
    <s v="us"/>
    <n v="163"/>
    <n v="0"/>
    <n v="48.4"/>
    <s v="mwc"/>
    <n v="42.6"/>
    <n v="36.280999999999999"/>
    <n v="141.11099999999999"/>
    <s v="?arai, Japan"/>
    <x v="1"/>
    <x v="9"/>
    <n v="2"/>
    <n v="7.9"/>
    <n v="163"/>
    <n v="0"/>
    <n v="48.4"/>
    <n v="42.6"/>
    <n v="8"/>
    <n v="7"/>
    <n v="0"/>
    <n v="1140"/>
  </r>
  <r>
    <x v="145"/>
    <n v="7"/>
    <s v="26-05-2003 09:24"/>
    <n v="0"/>
    <n v="7"/>
    <m/>
    <n v="0"/>
    <n v="754"/>
    <s v="us"/>
    <n v="690"/>
    <n v="0"/>
    <n v="19.100000000000001"/>
    <s v="mwb"/>
    <n v="68"/>
    <n v="38.848999999999997"/>
    <n v="141.56800000000001"/>
    <s v="?funato, Japan"/>
    <x v="1"/>
    <x v="9"/>
    <n v="2"/>
    <n v="7"/>
    <n v="690"/>
    <n v="0"/>
    <n v="19.100000000000001"/>
    <n v="68"/>
    <n v="0"/>
    <n v="7"/>
    <n v="0"/>
    <n v="754"/>
  </r>
  <r>
    <x v="146"/>
    <n v="6.8"/>
    <d v="2015-12-05T21:12:00"/>
    <n v="8"/>
    <n v="6"/>
    <s v="green"/>
    <n v="1"/>
    <n v="831"/>
    <s v="us"/>
    <n v="0"/>
    <n v="1.4219999999999999"/>
    <n v="8"/>
    <s v="mww"/>
    <n v="35"/>
    <n v="38.9056"/>
    <n v="142.03200000000001"/>
    <s v="?funato, Japan"/>
    <x v="1"/>
    <x v="9"/>
    <n v="2"/>
    <n v="6.8"/>
    <n v="0"/>
    <n v="1.4219999999999999"/>
    <n v="8"/>
    <n v="35"/>
    <n v="8"/>
    <n v="6"/>
    <n v="1"/>
    <n v="831"/>
  </r>
  <r>
    <x v="147"/>
    <n v="7.3"/>
    <d v="2012-07-12T08:18:00"/>
    <n v="6"/>
    <n v="5"/>
    <m/>
    <n v="0"/>
    <n v="1014"/>
    <s v="us"/>
    <n v="918"/>
    <n v="0"/>
    <n v="14.8"/>
    <s v="mww"/>
    <n v="31"/>
    <n v="37.89"/>
    <n v="143.94900000000001"/>
    <s v="?funato, Japan"/>
    <x v="1"/>
    <x v="9"/>
    <n v="2"/>
    <n v="7.3"/>
    <n v="918"/>
    <n v="0"/>
    <n v="14.8"/>
    <n v="31"/>
    <n v="6"/>
    <n v="5"/>
    <n v="0"/>
    <n v="1014"/>
  </r>
  <r>
    <x v="148"/>
    <n v="7.3"/>
    <d v="2011-09-03T02:45:00"/>
    <n v="5"/>
    <n v="5"/>
    <m/>
    <n v="0"/>
    <n v="972"/>
    <s v="us"/>
    <n v="550"/>
    <n v="0"/>
    <n v="17.399999999999999"/>
    <s v="mww"/>
    <n v="32"/>
    <n v="38.435000000000002"/>
    <n v="142.84200000000001"/>
    <s v="?funato, Japan"/>
    <x v="1"/>
    <x v="9"/>
    <n v="2"/>
    <n v="7.3"/>
    <n v="550"/>
    <n v="0"/>
    <n v="17.399999999999999"/>
    <n v="32"/>
    <n v="5"/>
    <n v="5"/>
    <n v="0"/>
    <n v="972"/>
  </r>
  <r>
    <x v="149"/>
    <n v="6.6"/>
    <d v="2011-11-03T11:36:00"/>
    <n v="6"/>
    <n v="5"/>
    <m/>
    <n v="0"/>
    <n v="673"/>
    <s v="us"/>
    <n v="668"/>
    <n v="0"/>
    <n v="9.5"/>
    <s v="ms"/>
    <n v="25.7"/>
    <n v="39.241"/>
    <n v="142.46299999999999"/>
    <s v="?tsuchi, Japan"/>
    <x v="1"/>
    <x v="9"/>
    <n v="2"/>
    <n v="6.6"/>
    <n v="668"/>
    <n v="0"/>
    <n v="9.5"/>
    <n v="25.7"/>
    <n v="6"/>
    <n v="5"/>
    <n v="0"/>
    <n v="673"/>
  </r>
  <r>
    <x v="150"/>
    <n v="7.1"/>
    <d v="2009-09-08T10:55:00"/>
    <n v="5"/>
    <n v="4"/>
    <m/>
    <n v="0"/>
    <n v="1005"/>
    <s v="us"/>
    <n v="447"/>
    <n v="0"/>
    <n v="14.2"/>
    <s v="mwc"/>
    <n v="292"/>
    <n v="33.167000000000002"/>
    <n v="137.94399999999999"/>
    <s v="?yama, Japan"/>
    <x v="1"/>
    <x v="9"/>
    <n v="2"/>
    <n v="7.1"/>
    <n v="447"/>
    <n v="0"/>
    <n v="14.2"/>
    <n v="292"/>
    <n v="5"/>
    <n v="4"/>
    <n v="0"/>
    <n v="1005"/>
  </r>
  <r>
    <x v="151"/>
    <n v="9.1"/>
    <d v="2011-11-03T05:46:00"/>
    <n v="9"/>
    <n v="8"/>
    <m/>
    <n v="0"/>
    <n v="2184"/>
    <s v="official"/>
    <n v="541"/>
    <n v="0"/>
    <n v="9.5"/>
    <s v="mww"/>
    <n v="29"/>
    <n v="38.296999999999997"/>
    <n v="142.37299999999999"/>
    <s v="2011 Great Tohoku Earthquake, Japan"/>
    <x v="1"/>
    <x v="9"/>
    <n v="2"/>
    <n v="9.1"/>
    <n v="541"/>
    <n v="0"/>
    <n v="9.5"/>
    <n v="29"/>
    <n v="9"/>
    <n v="8"/>
    <n v="0"/>
    <n v="2184"/>
  </r>
  <r>
    <x v="152"/>
    <n v="7.8"/>
    <s v="30-05-2015 11:23"/>
    <n v="6"/>
    <n v="3"/>
    <s v="green"/>
    <n v="1"/>
    <n v="1151"/>
    <s v="us"/>
    <n v="0"/>
    <n v="1.675"/>
    <n v="12"/>
    <s v="mww"/>
    <n v="664"/>
    <n v="27.8386"/>
    <n v="140.49299999999999"/>
    <s v="Bonin Islands, Japan region"/>
    <x v="1"/>
    <x v="9"/>
    <n v="2"/>
    <n v="7.8"/>
    <n v="0"/>
    <n v="1.675"/>
    <n v="12"/>
    <n v="664"/>
    <n v="6"/>
    <n v="3"/>
    <n v="1"/>
    <n v="1151"/>
  </r>
  <r>
    <x v="153"/>
    <n v="6.5"/>
    <s v="23-06-2015 12:18"/>
    <n v="3"/>
    <n v="4"/>
    <s v="green"/>
    <n v="0"/>
    <n v="652"/>
    <s v="us"/>
    <n v="0"/>
    <n v="2.2770000000000001"/>
    <n v="11"/>
    <s v="mww"/>
    <n v="460"/>
    <n v="27.737500000000001"/>
    <n v="139.72499999999999"/>
    <s v="Bonin Islands, Japan region"/>
    <x v="1"/>
    <x v="9"/>
    <n v="2"/>
    <n v="6.5"/>
    <n v="0"/>
    <n v="2.2770000000000001"/>
    <n v="11"/>
    <n v="460"/>
    <n v="3"/>
    <n v="4"/>
    <n v="0"/>
    <n v="652"/>
  </r>
  <r>
    <x v="154"/>
    <n v="6.6"/>
    <d v="2018-05-09T18:07:00"/>
    <n v="8"/>
    <n v="9"/>
    <s v="orange"/>
    <n v="1"/>
    <n v="1075"/>
    <s v="us"/>
    <n v="0"/>
    <n v="1.1299999999999999"/>
    <n v="32"/>
    <s v="mww"/>
    <n v="35"/>
    <n v="42.686100000000003"/>
    <n v="141.929"/>
    <s v="Chitose, Japan"/>
    <x v="1"/>
    <x v="9"/>
    <n v="2"/>
    <n v="6.6"/>
    <n v="0"/>
    <n v="1.1299999999999999"/>
    <n v="32"/>
    <n v="35"/>
    <n v="8"/>
    <n v="9"/>
    <n v="1"/>
    <n v="1075"/>
  </r>
  <r>
    <x v="155"/>
    <n v="6.5"/>
    <d v="2001-02-12T13:01:00"/>
    <n v="0"/>
    <n v="5"/>
    <m/>
    <n v="0"/>
    <n v="650"/>
    <s v="us"/>
    <n v="605"/>
    <n v="0"/>
    <n v="0"/>
    <s v="mwc"/>
    <n v="123.8"/>
    <n v="39.402000000000001"/>
    <n v="141.089"/>
    <s v="Hanamaki, Japan"/>
    <x v="1"/>
    <x v="9"/>
    <n v="2"/>
    <n v="6.5"/>
    <n v="605"/>
    <n v="0"/>
    <n v="0"/>
    <n v="123.8"/>
    <n v="0"/>
    <n v="5"/>
    <n v="0"/>
    <n v="650"/>
  </r>
  <r>
    <x v="156"/>
    <n v="6.9"/>
    <d v="2008-07-05T16:45:00"/>
    <n v="5"/>
    <n v="5"/>
    <m/>
    <n v="0"/>
    <n v="910"/>
    <s v="us"/>
    <n v="519"/>
    <n v="0"/>
    <n v="21.1"/>
    <s v="mwc"/>
    <n v="27"/>
    <n v="36.164000000000001"/>
    <n v="141.52600000000001"/>
    <s v="Hasaki, Japan"/>
    <x v="1"/>
    <x v="9"/>
    <n v="2"/>
    <n v="6.9"/>
    <n v="519"/>
    <n v="0"/>
    <n v="21.1"/>
    <n v="27"/>
    <n v="5"/>
    <n v="5"/>
    <n v="0"/>
    <n v="910"/>
  </r>
  <r>
    <x v="157"/>
    <n v="6.5"/>
    <d v="2011-11-03T08:19:00"/>
    <n v="0"/>
    <n v="4"/>
    <m/>
    <n v="0"/>
    <n v="650"/>
    <s v="us"/>
    <n v="369"/>
    <n v="0"/>
    <n v="18.7"/>
    <s v="mb"/>
    <n v="6.8"/>
    <n v="36.165999999999997"/>
    <n v="141.56200000000001"/>
    <s v="Hasaki, Japan"/>
    <x v="1"/>
    <x v="9"/>
    <n v="2"/>
    <n v="6.5"/>
    <n v="369"/>
    <n v="0"/>
    <n v="18.7"/>
    <n v="6.8"/>
    <n v="0"/>
    <n v="4"/>
    <n v="0"/>
    <n v="650"/>
  </r>
  <r>
    <x v="158"/>
    <n v="6.6"/>
    <d v="2021-10-11T15:45:00"/>
    <n v="7"/>
    <n v="4"/>
    <s v="green"/>
    <n v="1"/>
    <n v="688"/>
    <s v="us"/>
    <n v="0"/>
    <n v="3.2589999999999999"/>
    <n v="15"/>
    <s v="mww"/>
    <n v="12"/>
    <n v="23.541399999999999"/>
    <n v="126.48"/>
    <s v="Hirara, Japan"/>
    <x v="1"/>
    <x v="9"/>
    <n v="2"/>
    <n v="6.6"/>
    <n v="0"/>
    <n v="3.2589999999999999"/>
    <n v="15"/>
    <n v="12"/>
    <n v="7"/>
    <n v="4"/>
    <n v="1"/>
    <n v="688"/>
  </r>
  <r>
    <x v="159"/>
    <n v="6.6"/>
    <d v="2011-11-04T08:16:00"/>
    <n v="7"/>
    <n v="7"/>
    <m/>
    <n v="0"/>
    <n v="822"/>
    <s v="us"/>
    <n v="586"/>
    <n v="0"/>
    <n v="10.1"/>
    <s v="mww"/>
    <n v="11"/>
    <n v="37.000999999999998"/>
    <n v="140.40100000000001"/>
    <s v="Ishikawa, Japan"/>
    <x v="1"/>
    <x v="9"/>
    <n v="2"/>
    <n v="6.6"/>
    <n v="586"/>
    <n v="0"/>
    <n v="10.1"/>
    <n v="11"/>
    <n v="7"/>
    <n v="7"/>
    <n v="0"/>
    <n v="822"/>
  </r>
  <r>
    <x v="160"/>
    <n v="7.1"/>
    <d v="2011-07-04T14:32:00"/>
    <n v="8"/>
    <n v="8"/>
    <m/>
    <n v="0"/>
    <n v="1114"/>
    <s v="us"/>
    <n v="446"/>
    <n v="0"/>
    <n v="17.7"/>
    <s v="mww"/>
    <n v="42"/>
    <n v="38.276000000000003"/>
    <n v="141.58799999999999"/>
    <s v="Ishinomaki, Japan"/>
    <x v="1"/>
    <x v="9"/>
    <n v="2"/>
    <n v="7.1"/>
    <n v="446"/>
    <n v="0"/>
    <n v="17.7"/>
    <n v="42"/>
    <n v="8"/>
    <n v="8"/>
    <n v="0"/>
    <n v="1114"/>
  </r>
  <r>
    <x v="161"/>
    <n v="7"/>
    <s v="20-03-2021 09:09"/>
    <n v="7"/>
    <n v="7"/>
    <s v="yellow"/>
    <n v="1"/>
    <n v="1052"/>
    <s v="us"/>
    <n v="0"/>
    <n v="2.3780000000000001"/>
    <n v="35"/>
    <s v="mww"/>
    <n v="43"/>
    <n v="38.475200000000001"/>
    <n v="141.607"/>
    <s v="Ishinomaki, Japan"/>
    <x v="1"/>
    <x v="9"/>
    <n v="2"/>
    <n v="7"/>
    <n v="0"/>
    <n v="2.3780000000000001"/>
    <n v="35"/>
    <n v="43"/>
    <n v="7"/>
    <n v="7"/>
    <n v="1"/>
    <n v="1052"/>
  </r>
  <r>
    <x v="162"/>
    <n v="7.2"/>
    <s v="16-08-2005 02:46"/>
    <n v="7"/>
    <n v="7"/>
    <m/>
    <n v="0"/>
    <n v="1104"/>
    <s v="us"/>
    <n v="698"/>
    <n v="0"/>
    <n v="19.600000000000001"/>
    <s v="mwc"/>
    <n v="36"/>
    <n v="38.276000000000003"/>
    <n v="142.03899999999999"/>
    <s v="Ishinomaki, Japan"/>
    <x v="1"/>
    <x v="9"/>
    <n v="2"/>
    <n v="7.2"/>
    <n v="698"/>
    <n v="0"/>
    <n v="19.600000000000001"/>
    <n v="36"/>
    <n v="7"/>
    <n v="7"/>
    <n v="0"/>
    <n v="1104"/>
  </r>
  <r>
    <x v="163"/>
    <n v="7"/>
    <s v="31-10-2003 01:06"/>
    <n v="0"/>
    <n v="5"/>
    <m/>
    <n v="0"/>
    <n v="754"/>
    <s v="us"/>
    <n v="568"/>
    <n v="0"/>
    <n v="61.2"/>
    <s v="mwb"/>
    <n v="10"/>
    <n v="37.811999999999998"/>
    <n v="142.619"/>
    <s v="Ishinomaki, Japan"/>
    <x v="1"/>
    <x v="9"/>
    <n v="2"/>
    <n v="7"/>
    <n v="568"/>
    <n v="0"/>
    <n v="61.2"/>
    <n v="10"/>
    <n v="0"/>
    <n v="5"/>
    <n v="0"/>
    <n v="754"/>
  </r>
  <r>
    <x v="164"/>
    <n v="6.5"/>
    <d v="2005-02-12T13:13:00"/>
    <n v="4"/>
    <n v="5"/>
    <m/>
    <n v="0"/>
    <n v="683"/>
    <s v="us"/>
    <n v="464"/>
    <n v="0"/>
    <n v="48.8"/>
    <s v="mwc"/>
    <n v="29"/>
    <n v="38.088999999999999"/>
    <n v="142.12200000000001"/>
    <s v="Ishinomaki, Japan"/>
    <x v="1"/>
    <x v="9"/>
    <n v="2"/>
    <n v="6.5"/>
    <n v="464"/>
    <n v="0"/>
    <n v="48.8"/>
    <n v="29"/>
    <n v="4"/>
    <n v="5"/>
    <n v="0"/>
    <n v="683"/>
  </r>
  <r>
    <x v="165"/>
    <n v="6.5"/>
    <d v="2013-04-09T00:18:00"/>
    <n v="5"/>
    <n v="3"/>
    <s v="green"/>
    <n v="0"/>
    <n v="739"/>
    <s v="us"/>
    <n v="0"/>
    <n v="3.2759999999999998"/>
    <n v="26"/>
    <s v="mww"/>
    <n v="402"/>
    <n v="29.9377"/>
    <n v="138.833"/>
    <s v="Izu Islands, Japan region"/>
    <x v="1"/>
    <x v="9"/>
    <n v="2"/>
    <n v="6.5"/>
    <n v="0"/>
    <n v="3.2759999999999998"/>
    <n v="26"/>
    <n v="402"/>
    <n v="5"/>
    <n v="3"/>
    <n v="0"/>
    <n v="739"/>
  </r>
  <r>
    <x v="166"/>
    <n v="7.7"/>
    <d v="2011-11-03T06:25:00"/>
    <n v="7"/>
    <n v="4"/>
    <m/>
    <n v="0"/>
    <n v="931"/>
    <s v="us"/>
    <n v="507"/>
    <n v="0"/>
    <n v="10.8"/>
    <s v="mwc"/>
    <n v="18.600000000000001"/>
    <n v="38.058"/>
    <n v="144.59"/>
    <s v="Kamaishi, Japan"/>
    <x v="1"/>
    <x v="9"/>
    <n v="2"/>
    <n v="7.7"/>
    <n v="507"/>
    <n v="0"/>
    <n v="10.8"/>
    <n v="18.600000000000001"/>
    <n v="7"/>
    <n v="4"/>
    <n v="0"/>
    <n v="931"/>
  </r>
  <r>
    <x v="167"/>
    <n v="6.6"/>
    <s v="16-07-2007 01:13"/>
    <n v="8"/>
    <n v="8"/>
    <m/>
    <n v="0"/>
    <n v="831"/>
    <s v="us"/>
    <n v="782"/>
    <n v="0"/>
    <n v="16.7"/>
    <s v="mwc"/>
    <n v="12"/>
    <n v="37.534999999999997"/>
    <n v="138.446"/>
    <s v="Kashiwazaki, Japan"/>
    <x v="1"/>
    <x v="9"/>
    <n v="2"/>
    <n v="6.6"/>
    <n v="782"/>
    <n v="0"/>
    <n v="16.7"/>
    <n v="12"/>
    <n v="8"/>
    <n v="8"/>
    <n v="0"/>
    <n v="831"/>
  </r>
  <r>
    <x v="168"/>
    <n v="7"/>
    <s v="26-02-2010 20:31"/>
    <n v="6"/>
    <n v="6"/>
    <m/>
    <n v="0"/>
    <n v="1180"/>
    <s v="us"/>
    <n v="487"/>
    <n v="0"/>
    <n v="15.7"/>
    <s v="mwc"/>
    <n v="25"/>
    <n v="25.93"/>
    <n v="128.42500000000001"/>
    <s v="Katsuren-haebaru, Japan"/>
    <x v="1"/>
    <x v="9"/>
    <n v="2"/>
    <n v="7"/>
    <n v="487"/>
    <n v="0"/>
    <n v="15.7"/>
    <n v="25"/>
    <n v="6"/>
    <n v="6"/>
    <n v="0"/>
    <n v="1180"/>
  </r>
  <r>
    <x v="169"/>
    <n v="6.6"/>
    <s v="19-01-2005 06:11"/>
    <n v="6"/>
    <n v="4"/>
    <m/>
    <n v="0"/>
    <n v="676"/>
    <s v="us"/>
    <n v="225"/>
    <n v="0"/>
    <n v="78.5"/>
    <s v="mwc"/>
    <n v="27.8"/>
    <n v="34.064"/>
    <n v="141.49100000000001"/>
    <s v="Katsuura, Japan"/>
    <x v="1"/>
    <x v="9"/>
    <n v="2"/>
    <n v="6.6"/>
    <n v="225"/>
    <n v="0"/>
    <n v="78.5"/>
    <n v="27.8"/>
    <n v="6"/>
    <n v="4"/>
    <n v="0"/>
    <n v="676"/>
  </r>
  <r>
    <x v="170"/>
    <n v="7"/>
    <s v="15-04-2016 16:25"/>
    <n v="9"/>
    <n v="9"/>
    <s v="red"/>
    <n v="1"/>
    <n v="2074"/>
    <s v="us"/>
    <n v="0"/>
    <n v="0.34899999999999998"/>
    <n v="32"/>
    <s v="mww"/>
    <n v="10"/>
    <n v="32.790599999999998"/>
    <n v="130.75399999999999"/>
    <s v="Kumamoto, Japan"/>
    <x v="1"/>
    <x v="9"/>
    <n v="2"/>
    <n v="7"/>
    <n v="0"/>
    <n v="0.34899999999999998"/>
    <n v="32"/>
    <n v="10"/>
    <n v="9"/>
    <n v="9"/>
    <n v="1"/>
    <n v="2074"/>
  </r>
  <r>
    <x v="171"/>
    <n v="6.8"/>
    <s v="24-03-2001 06:27"/>
    <n v="0"/>
    <n v="7"/>
    <m/>
    <n v="0"/>
    <n v="711"/>
    <s v="us"/>
    <n v="596"/>
    <n v="0"/>
    <n v="0"/>
    <s v="mwc"/>
    <n v="50"/>
    <n v="34.082999999999998"/>
    <n v="132.52600000000001"/>
    <s v="Kure, Japan"/>
    <x v="1"/>
    <x v="9"/>
    <n v="2"/>
    <n v="6.8"/>
    <n v="596"/>
    <n v="0"/>
    <n v="0"/>
    <n v="50"/>
    <n v="0"/>
    <n v="7"/>
    <n v="0"/>
    <n v="711"/>
  </r>
  <r>
    <x v="172"/>
    <n v="8.16"/>
    <s v="25-09-2003 19:50"/>
    <n v="0"/>
    <n v="9"/>
    <m/>
    <n v="0"/>
    <n v="1024"/>
    <s v="official"/>
    <n v="0"/>
    <n v="0"/>
    <n v="0"/>
    <s v="mww"/>
    <n v="27"/>
    <n v="41.814999999999998"/>
    <n v="143.91"/>
    <s v="Kushiro, Japan"/>
    <x v="1"/>
    <x v="9"/>
    <n v="2"/>
    <n v="8.16"/>
    <n v="0"/>
    <n v="0"/>
    <n v="0"/>
    <n v="27"/>
    <n v="0"/>
    <n v="9"/>
    <n v="0"/>
    <n v="1024"/>
  </r>
  <r>
    <x v="173"/>
    <n v="6.7"/>
    <d v="2003-08-10T09:06:00"/>
    <n v="0"/>
    <n v="6"/>
    <m/>
    <n v="0"/>
    <n v="691"/>
    <s v="us"/>
    <n v="556"/>
    <n v="0"/>
    <n v="55.4"/>
    <s v="mwc"/>
    <n v="32"/>
    <n v="42.648000000000003"/>
    <n v="144.57"/>
    <s v="Kushiro, Japan"/>
    <x v="1"/>
    <x v="9"/>
    <n v="2"/>
    <n v="6.7"/>
    <n v="556"/>
    <n v="0"/>
    <n v="55.4"/>
    <n v="32"/>
    <n v="0"/>
    <n v="6"/>
    <n v="0"/>
    <n v="691"/>
  </r>
  <r>
    <x v="174"/>
    <n v="6.5"/>
    <s v="29-09-2003 02:36"/>
    <n v="0"/>
    <n v="5"/>
    <m/>
    <n v="0"/>
    <n v="650"/>
    <s v="us"/>
    <n v="586"/>
    <n v="0"/>
    <n v="71.3"/>
    <s v="mwc"/>
    <n v="25"/>
    <n v="42.45"/>
    <n v="144.38"/>
    <s v="Kushiro, Japan"/>
    <x v="1"/>
    <x v="9"/>
    <n v="2"/>
    <n v="6.5"/>
    <n v="586"/>
    <n v="0"/>
    <n v="71.3"/>
    <n v="25"/>
    <n v="0"/>
    <n v="5"/>
    <n v="0"/>
    <n v="650"/>
  </r>
  <r>
    <x v="175"/>
    <n v="6.6"/>
    <s v="20-03-2005 01:53"/>
    <n v="8"/>
    <n v="7"/>
    <m/>
    <n v="0"/>
    <n v="805"/>
    <s v="us"/>
    <n v="401"/>
    <n v="0"/>
    <n v="22.9"/>
    <s v="mwc"/>
    <n v="10"/>
    <n v="33.807000000000002"/>
    <n v="130.131"/>
    <s v="Maebaru-ch??, Japan"/>
    <x v="1"/>
    <x v="9"/>
    <n v="2"/>
    <n v="6.6"/>
    <n v="401"/>
    <n v="0"/>
    <n v="22.9"/>
    <n v="10"/>
    <n v="8"/>
    <n v="7"/>
    <n v="0"/>
    <n v="805"/>
  </r>
  <r>
    <x v="176"/>
    <n v="6.7"/>
    <s v="13-11-2015 20:51"/>
    <n v="5"/>
    <n v="4"/>
    <s v="green"/>
    <n v="0"/>
    <n v="702"/>
    <s v="us"/>
    <n v="0"/>
    <n v="1.444"/>
    <n v="17"/>
    <s v="mww"/>
    <n v="12"/>
    <n v="31.000900000000001"/>
    <n v="128.87299999999999"/>
    <s v="Makurazaki, Japan"/>
    <x v="1"/>
    <x v="9"/>
    <n v="2"/>
    <n v="6.7"/>
    <n v="0"/>
    <n v="1.444"/>
    <n v="17"/>
    <n v="12"/>
    <n v="5"/>
    <n v="4"/>
    <n v="0"/>
    <n v="702"/>
  </r>
  <r>
    <x v="177"/>
    <n v="6.8"/>
    <s v="16-07-2007 14:17"/>
    <n v="5"/>
    <n v="4"/>
    <m/>
    <n v="0"/>
    <n v="779"/>
    <s v="us"/>
    <n v="664"/>
    <n v="0"/>
    <n v="18.2"/>
    <s v="mwb"/>
    <n v="350.4"/>
    <n v="36.808"/>
    <n v="134.85"/>
    <s v="Mikuni, Japan"/>
    <x v="1"/>
    <x v="9"/>
    <n v="2"/>
    <n v="6.8"/>
    <n v="664"/>
    <n v="0"/>
    <n v="18.2"/>
    <n v="350.4"/>
    <n v="5"/>
    <n v="4"/>
    <n v="0"/>
    <n v="779"/>
  </r>
  <r>
    <x v="178"/>
    <n v="6.7"/>
    <s v="22-06-2011 21:50"/>
    <n v="6"/>
    <n v="6"/>
    <m/>
    <n v="0"/>
    <n v="749"/>
    <s v="us"/>
    <n v="592"/>
    <n v="0"/>
    <n v="24.9"/>
    <s v="mww"/>
    <n v="33"/>
    <n v="39.954999999999998"/>
    <n v="142.20500000000001"/>
    <s v="Miyako, Japan"/>
    <x v="1"/>
    <x v="9"/>
    <n v="2"/>
    <n v="6.7"/>
    <n v="592"/>
    <n v="0"/>
    <n v="24.9"/>
    <n v="33"/>
    <n v="6"/>
    <n v="6"/>
    <n v="0"/>
    <n v="749"/>
  </r>
  <r>
    <x v="179"/>
    <n v="6.7"/>
    <s v="16-02-2015 23:06"/>
    <n v="5"/>
    <n v="5"/>
    <s v="green"/>
    <n v="1"/>
    <n v="714"/>
    <s v="us"/>
    <n v="0"/>
    <n v="1.925"/>
    <n v="20"/>
    <s v="mww"/>
    <n v="23"/>
    <n v="39.855800000000002"/>
    <n v="142.881"/>
    <s v="Miyako, Japan"/>
    <x v="1"/>
    <x v="9"/>
    <n v="2"/>
    <n v="6.7"/>
    <n v="0"/>
    <n v="1.925"/>
    <n v="20"/>
    <n v="23"/>
    <n v="5"/>
    <n v="5"/>
    <n v="1"/>
    <n v="714"/>
  </r>
  <r>
    <x v="180"/>
    <n v="6.7"/>
    <s v="16-09-2011 19:26"/>
    <n v="5"/>
    <n v="5"/>
    <m/>
    <n v="0"/>
    <n v="712"/>
    <s v="us"/>
    <n v="667"/>
    <n v="0"/>
    <n v="10.9"/>
    <s v="mwc"/>
    <n v="30"/>
    <n v="40.273000000000003"/>
    <n v="142.779"/>
    <s v="Miyako, Japan"/>
    <x v="1"/>
    <x v="9"/>
    <n v="2"/>
    <n v="6.7"/>
    <n v="667"/>
    <n v="0"/>
    <n v="10.9"/>
    <n v="30"/>
    <n v="5"/>
    <n v="5"/>
    <n v="0"/>
    <n v="712"/>
  </r>
  <r>
    <x v="181"/>
    <n v="6.9"/>
    <s v="13-06-2008 23:43"/>
    <n v="7"/>
    <n v="8"/>
    <m/>
    <n v="0"/>
    <n v="888"/>
    <s v="us"/>
    <n v="654"/>
    <n v="0"/>
    <n v="17.100000000000001"/>
    <s v="mwc"/>
    <n v="7.8"/>
    <n v="39.03"/>
    <n v="140.881"/>
    <s v="Mizusawa, Japan"/>
    <x v="1"/>
    <x v="9"/>
    <n v="2"/>
    <n v="6.9"/>
    <n v="654"/>
    <n v="0"/>
    <n v="17.100000000000001"/>
    <n v="7.8"/>
    <n v="7"/>
    <n v="8"/>
    <n v="0"/>
    <n v="888"/>
  </r>
  <r>
    <x v="182"/>
    <n v="6.8"/>
    <s v="23-07-2008 15:26"/>
    <n v="8"/>
    <n v="7"/>
    <m/>
    <n v="0"/>
    <n v="1046"/>
    <s v="us"/>
    <n v="633"/>
    <n v="0"/>
    <n v="20.2"/>
    <s v="mwc"/>
    <n v="108"/>
    <n v="39.802"/>
    <n v="141.464"/>
    <s v="Morioka, Japan"/>
    <x v="1"/>
    <x v="9"/>
    <n v="2"/>
    <n v="6.8"/>
    <n v="633"/>
    <n v="0"/>
    <n v="20.2"/>
    <n v="108"/>
    <n v="8"/>
    <n v="7"/>
    <n v="0"/>
    <n v="1046"/>
  </r>
  <r>
    <x v="183"/>
    <n v="6.5"/>
    <d v="2014-02-03T20:11:00"/>
    <n v="4"/>
    <n v="5"/>
    <s v="green"/>
    <n v="1"/>
    <n v="668"/>
    <s v="us"/>
    <n v="0"/>
    <n v="1.0009999999999999"/>
    <n v="17"/>
    <s v="mww"/>
    <n v="119"/>
    <n v="27.4312"/>
    <n v="127.367"/>
    <s v="Nago, Japan"/>
    <x v="1"/>
    <x v="9"/>
    <n v="2"/>
    <n v="6.5"/>
    <n v="0"/>
    <n v="1.0009999999999999"/>
    <n v="17"/>
    <n v="119"/>
    <n v="4"/>
    <n v="5"/>
    <n v="1"/>
    <n v="668"/>
  </r>
  <r>
    <x v="184"/>
    <n v="7.3"/>
    <s v="16-03-2022 14:36"/>
    <n v="9"/>
    <n v="8"/>
    <s v="red"/>
    <n v="1"/>
    <n v="2397"/>
    <s v="us"/>
    <n v="0"/>
    <n v="2.9359999999999999"/>
    <n v="29"/>
    <s v="mww"/>
    <n v="41"/>
    <n v="37.701500000000003"/>
    <n v="141.58699999999999"/>
    <s v="Namie, Japan"/>
    <x v="1"/>
    <x v="9"/>
    <n v="2"/>
    <n v="7.3"/>
    <n v="0"/>
    <n v="2.9359999999999999"/>
    <n v="29"/>
    <n v="41"/>
    <n v="9"/>
    <n v="8"/>
    <n v="1"/>
    <n v="2397"/>
  </r>
  <r>
    <x v="185"/>
    <n v="7.1"/>
    <s v="13-02-2021 14:07"/>
    <n v="9"/>
    <n v="8"/>
    <s v="orange"/>
    <n v="1"/>
    <n v="1612"/>
    <s v="us"/>
    <n v="0"/>
    <n v="3.085"/>
    <n v="11"/>
    <s v="mww"/>
    <n v="43.98"/>
    <n v="37.685600000000001"/>
    <n v="141.99199999999999"/>
    <s v="Namie, Japan"/>
    <x v="1"/>
    <x v="9"/>
    <n v="2"/>
    <n v="7.1"/>
    <n v="0"/>
    <n v="3.085"/>
    <n v="11"/>
    <n v="43.98"/>
    <n v="9"/>
    <n v="8"/>
    <n v="1"/>
    <n v="1612"/>
  </r>
  <r>
    <x v="186"/>
    <n v="7"/>
    <s v="19-07-2008 02:39"/>
    <n v="5"/>
    <n v="5"/>
    <m/>
    <n v="0"/>
    <n v="840"/>
    <s v="us"/>
    <n v="577"/>
    <n v="0"/>
    <n v="18.2"/>
    <s v="mwc"/>
    <n v="22"/>
    <n v="37.552"/>
    <n v="142.214"/>
    <s v="Namie, Japan"/>
    <x v="1"/>
    <x v="9"/>
    <n v="2"/>
    <n v="7"/>
    <n v="577"/>
    <n v="0"/>
    <n v="18.2"/>
    <n v="22"/>
    <n v="5"/>
    <n v="5"/>
    <n v="0"/>
    <n v="840"/>
  </r>
  <r>
    <x v="187"/>
    <n v="6.9"/>
    <s v="21-11-2016 20:59"/>
    <n v="9"/>
    <n v="6"/>
    <s v="green"/>
    <n v="1"/>
    <n v="1144"/>
    <s v="us"/>
    <n v="0"/>
    <n v="0.67100000000000004"/>
    <n v="10"/>
    <s v="mww"/>
    <n v="9"/>
    <n v="37.393099999999997"/>
    <n v="141.387"/>
    <s v="Namie, Japan"/>
    <x v="1"/>
    <x v="9"/>
    <n v="2"/>
    <n v="6.9"/>
    <n v="0"/>
    <n v="0.67100000000000004"/>
    <n v="10"/>
    <n v="9"/>
    <n v="9"/>
    <n v="6"/>
    <n v="1"/>
    <n v="1144"/>
  </r>
  <r>
    <x v="188"/>
    <n v="6.9"/>
    <s v="19-07-2008 02:39"/>
    <n v="5"/>
    <n v="5"/>
    <m/>
    <n v="0"/>
    <n v="825"/>
    <s v="duputel"/>
    <n v="0"/>
    <n v="0"/>
    <n v="0"/>
    <s v="mww"/>
    <n v="25.5"/>
    <n v="37.549999999999997"/>
    <n v="142.714"/>
    <s v="Namie, Japan"/>
    <x v="1"/>
    <x v="9"/>
    <n v="2"/>
    <n v="6.9"/>
    <n v="0"/>
    <n v="0"/>
    <n v="0"/>
    <n v="25.5"/>
    <n v="5"/>
    <n v="5"/>
    <n v="0"/>
    <n v="825"/>
  </r>
  <r>
    <x v="189"/>
    <n v="6.5"/>
    <d v="2014-11-07T19:22:00"/>
    <n v="5"/>
    <n v="4"/>
    <s v="green"/>
    <n v="1"/>
    <n v="706"/>
    <s v="us"/>
    <n v="0"/>
    <n v="2.4209999999999998"/>
    <n v="9"/>
    <s v="mww"/>
    <n v="20"/>
    <n v="37.005200000000002"/>
    <n v="142.452"/>
    <s v="Namie, Japan"/>
    <x v="1"/>
    <x v="9"/>
    <n v="2"/>
    <n v="6.5"/>
    <n v="0"/>
    <n v="2.4209999999999998"/>
    <n v="9"/>
    <n v="20"/>
    <n v="5"/>
    <n v="4"/>
    <n v="1"/>
    <n v="706"/>
  </r>
  <r>
    <x v="190"/>
    <n v="6.5"/>
    <s v="14-03-2010 08:08"/>
    <n v="6"/>
    <n v="5"/>
    <m/>
    <n v="0"/>
    <n v="810"/>
    <s v="us"/>
    <n v="491"/>
    <n v="0"/>
    <n v="27"/>
    <s v="mwc"/>
    <n v="32"/>
    <n v="37.744999999999997"/>
    <n v="141.59"/>
    <s v="Namie, Japan"/>
    <x v="1"/>
    <x v="9"/>
    <n v="2"/>
    <n v="6.5"/>
    <n v="491"/>
    <n v="0"/>
    <n v="27"/>
    <n v="32"/>
    <n v="6"/>
    <n v="5"/>
    <n v="0"/>
    <n v="810"/>
  </r>
  <r>
    <x v="191"/>
    <n v="6.7"/>
    <s v="25-03-2007 00:41"/>
    <n v="7"/>
    <n v="8"/>
    <m/>
    <n v="0"/>
    <n v="782"/>
    <s v="us"/>
    <n v="493"/>
    <n v="0"/>
    <n v="23.9"/>
    <s v="mwc"/>
    <n v="8"/>
    <n v="37.335999999999999"/>
    <n v="136.58799999999999"/>
    <s v="Nanao, Japan"/>
    <x v="1"/>
    <x v="9"/>
    <n v="2"/>
    <n v="6.7"/>
    <n v="493"/>
    <n v="0"/>
    <n v="23.9"/>
    <n v="8"/>
    <n v="7"/>
    <n v="8"/>
    <n v="0"/>
    <n v="782"/>
  </r>
  <r>
    <x v="192"/>
    <n v="6.8"/>
    <s v="30-10-2009 07:03"/>
    <n v="0"/>
    <n v="6"/>
    <m/>
    <n v="0"/>
    <n v="711"/>
    <s v="us"/>
    <n v="424"/>
    <n v="0"/>
    <n v="21.4"/>
    <s v="mwc"/>
    <n v="34"/>
    <n v="29.218"/>
    <n v="129.78200000000001"/>
    <s v="Naze, Japan"/>
    <x v="1"/>
    <x v="9"/>
    <n v="2"/>
    <n v="6.8"/>
    <n v="424"/>
    <n v="0"/>
    <n v="21.4"/>
    <n v="34"/>
    <n v="0"/>
    <n v="6"/>
    <n v="0"/>
    <n v="711"/>
  </r>
  <r>
    <x v="193"/>
    <n v="6.6"/>
    <s v="13-06-2020 15:51"/>
    <n v="5"/>
    <n v="4"/>
    <s v="green"/>
    <n v="1"/>
    <n v="734"/>
    <s v="us"/>
    <n v="0"/>
    <n v="2.0150000000000001"/>
    <n v="18"/>
    <s v="mww"/>
    <n v="165"/>
    <n v="28.938600000000001"/>
    <n v="128.262"/>
    <s v="Naze, Japan"/>
    <x v="1"/>
    <x v="9"/>
    <n v="2"/>
    <n v="6.6"/>
    <n v="0"/>
    <n v="2.0150000000000001"/>
    <n v="18"/>
    <n v="165"/>
    <n v="5"/>
    <n v="4"/>
    <n v="1"/>
    <n v="734"/>
  </r>
  <r>
    <x v="194"/>
    <n v="7"/>
    <s v="28-11-2004 18:32"/>
    <n v="4"/>
    <n v="7"/>
    <m/>
    <n v="0"/>
    <n v="771"/>
    <s v="us"/>
    <n v="929"/>
    <n v="0"/>
    <n v="23.9"/>
    <s v="mwb"/>
    <n v="39"/>
    <n v="43.006"/>
    <n v="145.119"/>
    <s v="Nemuro, Japan"/>
    <x v="1"/>
    <x v="9"/>
    <n v="2"/>
    <n v="7"/>
    <n v="929"/>
    <n v="0"/>
    <n v="23.9"/>
    <n v="39"/>
    <n v="4"/>
    <n v="7"/>
    <n v="0"/>
    <n v="771"/>
  </r>
  <r>
    <x v="195"/>
    <n v="6.8"/>
    <d v="2004-06-12T14:15:00"/>
    <n v="4"/>
    <n v="7"/>
    <m/>
    <n v="0"/>
    <n v="724"/>
    <s v="us"/>
    <n v="759"/>
    <n v="0"/>
    <n v="23.6"/>
    <s v="mwb"/>
    <n v="35"/>
    <n v="42.9"/>
    <n v="145.22800000000001"/>
    <s v="Nemuro, Japan"/>
    <x v="1"/>
    <x v="9"/>
    <n v="2"/>
    <n v="6.8"/>
    <n v="759"/>
    <n v="0"/>
    <n v="23.6"/>
    <n v="35"/>
    <n v="4"/>
    <n v="7"/>
    <n v="0"/>
    <n v="724"/>
  </r>
  <r>
    <x v="196"/>
    <n v="6.9"/>
    <d v="2013-02-02T14:17:00"/>
    <n v="6"/>
    <n v="7"/>
    <s v="yellow"/>
    <n v="0"/>
    <n v="814"/>
    <s v="us"/>
    <n v="686"/>
    <n v="0"/>
    <n v="28"/>
    <s v="mww"/>
    <n v="107"/>
    <n v="42.77"/>
    <n v="143.09200000000001"/>
    <s v="Obihiro, Japan"/>
    <x v="1"/>
    <x v="9"/>
    <n v="2"/>
    <n v="6.9"/>
    <n v="686"/>
    <n v="0"/>
    <n v="28"/>
    <n v="107"/>
    <n v="6"/>
    <n v="7"/>
    <n v="0"/>
    <n v="814"/>
  </r>
  <r>
    <x v="197"/>
    <n v="6.8"/>
    <d v="2008-11-09T00:20:00"/>
    <n v="0"/>
    <n v="6"/>
    <m/>
    <n v="0"/>
    <n v="711"/>
    <s v="us"/>
    <n v="500"/>
    <n v="0"/>
    <n v="22.2"/>
    <s v="mwc"/>
    <n v="25"/>
    <n v="41.892000000000003"/>
    <n v="143.75399999999999"/>
    <s v="Obihiro, Japan"/>
    <x v="1"/>
    <x v="9"/>
    <n v="2"/>
    <n v="6.8"/>
    <n v="500"/>
    <n v="0"/>
    <n v="22.2"/>
    <n v="25"/>
    <n v="0"/>
    <n v="6"/>
    <n v="0"/>
    <n v="711"/>
  </r>
  <r>
    <x v="198"/>
    <n v="7.1"/>
    <s v="25-10-2013 17:10"/>
    <n v="6"/>
    <n v="4"/>
    <s v="green"/>
    <n v="1"/>
    <n v="872"/>
    <s v="us"/>
    <n v="0"/>
    <n v="3.968"/>
    <n v="10"/>
    <s v="mww"/>
    <n v="35"/>
    <n v="37.155700000000003"/>
    <n v="144.661"/>
    <s v="off the east coast of Honshu, Japan"/>
    <x v="1"/>
    <x v="9"/>
    <n v="2"/>
    <n v="7.1"/>
    <n v="0"/>
    <n v="3.968"/>
    <n v="10"/>
    <n v="35"/>
    <n v="6"/>
    <n v="4"/>
    <n v="1"/>
    <n v="872"/>
  </r>
  <r>
    <x v="199"/>
    <n v="6.6"/>
    <s v="23-10-2004 08:56"/>
    <n v="0"/>
    <n v="8"/>
    <m/>
    <n v="0"/>
    <n v="670"/>
    <s v="us"/>
    <n v="782"/>
    <n v="0"/>
    <n v="37"/>
    <s v="mwc"/>
    <n v="16"/>
    <n v="37.225999999999999"/>
    <n v="138.779"/>
    <s v="Ojiya, Japan"/>
    <x v="1"/>
    <x v="9"/>
    <n v="2"/>
    <n v="6.6"/>
    <n v="782"/>
    <n v="0"/>
    <n v="37"/>
    <n v="16"/>
    <n v="0"/>
    <n v="8"/>
    <n v="0"/>
    <n v="670"/>
  </r>
  <r>
    <x v="200"/>
    <n v="7.4"/>
    <d v="2004-05-09T14:57:00"/>
    <n v="0"/>
    <n v="5"/>
    <m/>
    <n v="0"/>
    <n v="842"/>
    <s v="us"/>
    <n v="594"/>
    <n v="0"/>
    <n v="27.5"/>
    <s v="mwb"/>
    <n v="10"/>
    <n v="33.183999999999997"/>
    <n v="137.071"/>
    <s v="Shing?, Japan"/>
    <x v="1"/>
    <x v="9"/>
    <n v="2"/>
    <n v="7.4"/>
    <n v="594"/>
    <n v="0"/>
    <n v="27.5"/>
    <n v="10"/>
    <n v="0"/>
    <n v="5"/>
    <n v="0"/>
    <n v="842"/>
  </r>
  <r>
    <x v="201"/>
    <n v="7.2"/>
    <d v="2004-05-09T10:07:00"/>
    <n v="0"/>
    <n v="5"/>
    <m/>
    <n v="0"/>
    <n v="798"/>
    <s v="us"/>
    <n v="643"/>
    <n v="0"/>
    <n v="28.4"/>
    <s v="mwc"/>
    <n v="14"/>
    <n v="33.07"/>
    <n v="136.61799999999999"/>
    <s v="Shing?, Japan"/>
    <x v="1"/>
    <x v="9"/>
    <n v="2"/>
    <n v="7.2"/>
    <n v="643"/>
    <n v="0"/>
    <n v="28.4"/>
    <n v="14"/>
    <n v="0"/>
    <n v="5"/>
    <n v="0"/>
    <n v="798"/>
  </r>
  <r>
    <x v="202"/>
    <n v="6.6"/>
    <d v="2004-06-09T23:29:00"/>
    <n v="0"/>
    <n v="4"/>
    <m/>
    <n v="0"/>
    <n v="670"/>
    <s v="us"/>
    <n v="478"/>
    <n v="0"/>
    <n v="29.8"/>
    <s v="mwc"/>
    <n v="10"/>
    <n v="33.204999999999998"/>
    <n v="137.227"/>
    <s v="Shing?, Japan"/>
    <x v="1"/>
    <x v="9"/>
    <n v="2"/>
    <n v="6.6"/>
    <n v="478"/>
    <n v="0"/>
    <n v="29.8"/>
    <n v="10"/>
    <n v="0"/>
    <n v="4"/>
    <n v="0"/>
    <n v="670"/>
  </r>
  <r>
    <x v="203"/>
    <n v="6.7"/>
    <s v="14-01-2016 03:25"/>
    <n v="5"/>
    <n v="6"/>
    <s v="green"/>
    <n v="1"/>
    <n v="717"/>
    <s v="us"/>
    <n v="0"/>
    <n v="0.28100000000000003"/>
    <n v="22"/>
    <s v="mww"/>
    <n v="46"/>
    <n v="41.972299999999997"/>
    <n v="142.78100000000001"/>
    <s v="Shizunai-furukawach?, Japan"/>
    <x v="1"/>
    <x v="9"/>
    <n v="2"/>
    <n v="6.7"/>
    <n v="0"/>
    <n v="0.28100000000000003"/>
    <n v="22"/>
    <n v="46"/>
    <n v="5"/>
    <n v="6"/>
    <n v="1"/>
    <n v="717"/>
  </r>
  <r>
    <x v="204"/>
    <n v="7.4"/>
    <s v="25-09-2003 21:08"/>
    <n v="0"/>
    <n v="7"/>
    <m/>
    <n v="0"/>
    <n v="842"/>
    <s v="us"/>
    <n v="514"/>
    <n v="0"/>
    <n v="78.8"/>
    <s v="mwc"/>
    <n v="33"/>
    <n v="41.774000000000001"/>
    <n v="143.59299999999999"/>
    <s v="Shizunai-furukawach?, Japan"/>
    <x v="1"/>
    <x v="9"/>
    <n v="2"/>
    <n v="7.4"/>
    <n v="514"/>
    <n v="0"/>
    <n v="78.8"/>
    <n v="33"/>
    <n v="0"/>
    <n v="7"/>
    <n v="0"/>
    <n v="842"/>
  </r>
  <r>
    <x v="205"/>
    <n v="6.6"/>
    <d v="2009-12-08T22:48:00"/>
    <n v="4"/>
    <n v="5"/>
    <m/>
    <n v="0"/>
    <n v="703"/>
    <s v="us"/>
    <n v="336"/>
    <n v="0"/>
    <n v="14.1"/>
    <s v="mwc"/>
    <n v="53"/>
    <n v="32.820999999999998"/>
    <n v="140.39500000000001"/>
    <s v="Tateyama, Japan"/>
    <x v="1"/>
    <x v="9"/>
    <n v="2"/>
    <n v="6.6"/>
    <n v="336"/>
    <n v="0"/>
    <n v="14.1"/>
    <n v="53"/>
    <n v="4"/>
    <n v="5"/>
    <n v="0"/>
    <n v="703"/>
  </r>
  <r>
    <x v="206"/>
    <n v="6.8"/>
    <s v="18-12-2001 04:02"/>
    <n v="0"/>
    <n v="5"/>
    <m/>
    <n v="0"/>
    <n v="711"/>
    <s v="us"/>
    <n v="499"/>
    <n v="0"/>
    <n v="0"/>
    <s v="mwc"/>
    <n v="14"/>
    <n v="23.954000000000001"/>
    <n v="122.73399999999999"/>
    <s v="Yonakuni, Japan"/>
    <x v="1"/>
    <x v="9"/>
    <n v="2"/>
    <n v="6.8"/>
    <n v="499"/>
    <n v="0"/>
    <n v="0"/>
    <n v="14"/>
    <n v="0"/>
    <n v="5"/>
    <n v="0"/>
    <n v="711"/>
  </r>
  <r>
    <x v="207"/>
    <n v="6.7"/>
    <s v="15-10-2004 04:08"/>
    <n v="5"/>
    <n v="6"/>
    <m/>
    <n v="0"/>
    <n v="705"/>
    <s v="us"/>
    <n v="698"/>
    <n v="0"/>
    <n v="24.7"/>
    <s v="mwb"/>
    <n v="94"/>
    <n v="24.53"/>
    <n v="122.694"/>
    <s v="Yonakuni, Japan"/>
    <x v="1"/>
    <x v="9"/>
    <n v="2"/>
    <n v="6.7"/>
    <n v="698"/>
    <n v="0"/>
    <n v="24.7"/>
    <n v="94"/>
    <n v="5"/>
    <n v="6"/>
    <n v="0"/>
    <n v="705"/>
  </r>
  <r>
    <x v="208"/>
    <n v="6.9"/>
    <d v="2021-01-05T01:27:00"/>
    <n v="7"/>
    <n v="6"/>
    <s v="green"/>
    <n v="1"/>
    <n v="919"/>
    <s v="us"/>
    <n v="0"/>
    <n v="2.6190000000000002"/>
    <n v="35"/>
    <s v="mww"/>
    <n v="43"/>
    <n v="38.229599999999998"/>
    <n v="141.66499999999999"/>
    <m/>
    <x v="1"/>
    <x v="9"/>
    <n v="2"/>
    <n v="6.9"/>
    <n v="0"/>
    <n v="2.6190000000000002"/>
    <n v="35"/>
    <n v="43"/>
    <n v="7"/>
    <n v="6"/>
    <n v="1"/>
    <n v="919"/>
  </r>
  <r>
    <x v="209"/>
    <n v="6.7"/>
    <d v="2008-05-10T15:52:00"/>
    <n v="0"/>
    <n v="6"/>
    <m/>
    <n v="0"/>
    <n v="691"/>
    <s v="us"/>
    <n v="529"/>
    <n v="0"/>
    <n v="22.3"/>
    <s v="mwc"/>
    <n v="27.4"/>
    <n v="39.533000000000001"/>
    <n v="73.823999999999998"/>
    <s v="Nookat, Kyrgyzstan"/>
    <x v="1"/>
    <x v="10"/>
    <n v="2"/>
    <n v="6.7"/>
    <n v="529"/>
    <n v="0"/>
    <n v="22.3"/>
    <n v="27.4"/>
    <n v="0"/>
    <n v="6"/>
    <n v="0"/>
    <n v="691"/>
  </r>
  <r>
    <x v="210"/>
    <n v="6.7"/>
    <d v="2021-11-01T21:32:00"/>
    <n v="8"/>
    <n v="8"/>
    <s v="green"/>
    <n v="0"/>
    <n v="776"/>
    <s v="us"/>
    <n v="0"/>
    <n v="2.0430000000000001"/>
    <n v="22"/>
    <s v="mww"/>
    <n v="10"/>
    <n v="51.240699999999997"/>
    <n v="100.443"/>
    <s v="Turt, Mongolia"/>
    <x v="1"/>
    <x v="11"/>
    <n v="2"/>
    <n v="6.7"/>
    <n v="0"/>
    <n v="2.0430000000000001"/>
    <n v="22"/>
    <n v="10"/>
    <n v="8"/>
    <n v="8"/>
    <n v="0"/>
    <n v="776"/>
  </r>
  <r>
    <x v="211"/>
    <n v="6.8"/>
    <s v="24-08-2016 10:34"/>
    <n v="6"/>
    <n v="6"/>
    <s v="yellow"/>
    <n v="0"/>
    <n v="981"/>
    <s v="us"/>
    <n v="0"/>
    <n v="1.802"/>
    <n v="17"/>
    <s v="mww"/>
    <n v="82"/>
    <n v="20.922799999999999"/>
    <n v="94.569000000000003"/>
    <s v="Chauk, Myanmar"/>
    <x v="1"/>
    <x v="12"/>
    <n v="2"/>
    <n v="6.8"/>
    <n v="0"/>
    <n v="1.802"/>
    <n v="17"/>
    <n v="82"/>
    <n v="6"/>
    <n v="6"/>
    <n v="0"/>
    <n v="981"/>
  </r>
  <r>
    <x v="212"/>
    <n v="6.9"/>
    <s v="13-04-2016 13:55"/>
    <n v="6"/>
    <n v="6"/>
    <s v="yellow"/>
    <n v="0"/>
    <n v="903"/>
    <s v="us"/>
    <n v="0"/>
    <n v="3.0009999999999999"/>
    <n v="14"/>
    <s v="mww"/>
    <n v="136"/>
    <n v="23.0944"/>
    <n v="94.865399999999994"/>
    <s v="Mawlaik, Myanmar"/>
    <x v="1"/>
    <x v="12"/>
    <n v="2"/>
    <n v="6.9"/>
    <n v="0"/>
    <n v="3.0009999999999999"/>
    <n v="14"/>
    <n v="136"/>
    <n v="6"/>
    <n v="6"/>
    <n v="0"/>
    <n v="903"/>
  </r>
  <r>
    <x v="213"/>
    <n v="6.8"/>
    <d v="2012-11-11T01:12:00"/>
    <n v="7"/>
    <n v="6"/>
    <m/>
    <n v="0"/>
    <n v="795"/>
    <s v="us"/>
    <n v="391"/>
    <n v="0"/>
    <n v="13.7"/>
    <s v="mww"/>
    <n v="13.7"/>
    <n v="23.004999999999999"/>
    <n v="95.885000000000005"/>
    <s v="Shwebo, Myanmar"/>
    <x v="1"/>
    <x v="12"/>
    <n v="2"/>
    <n v="6.8"/>
    <n v="391"/>
    <n v="0"/>
    <n v="13.7"/>
    <n v="13.7"/>
    <n v="7"/>
    <n v="6"/>
    <n v="0"/>
    <n v="795"/>
  </r>
  <r>
    <x v="214"/>
    <n v="6.9"/>
    <s v="24-03-2011 13:55"/>
    <n v="7"/>
    <n v="9"/>
    <m/>
    <n v="0"/>
    <n v="1154"/>
    <s v="us"/>
    <n v="335"/>
    <n v="0"/>
    <n v="18.2"/>
    <s v="mww"/>
    <n v="8"/>
    <n v="20.687000000000001"/>
    <n v="99.822000000000003"/>
    <s v="Tachilek, Myanmar"/>
    <x v="1"/>
    <x v="12"/>
    <n v="2"/>
    <n v="6.9"/>
    <n v="335"/>
    <n v="0"/>
    <n v="18.2"/>
    <n v="8"/>
    <n v="7"/>
    <n v="9"/>
    <n v="0"/>
    <n v="1154"/>
  </r>
  <r>
    <x v="215"/>
    <n v="6.6"/>
    <s v="21-09-2003 18:16"/>
    <n v="0"/>
    <n v="7"/>
    <m/>
    <n v="0"/>
    <n v="670"/>
    <s v="us"/>
    <n v="518"/>
    <n v="0"/>
    <n v="24.7"/>
    <s v="mwb"/>
    <n v="10"/>
    <n v="19.917000000000002"/>
    <n v="95.671999999999997"/>
    <s v="Taungdwingyi, Myanmar"/>
    <x v="1"/>
    <x v="12"/>
    <n v="2"/>
    <n v="6.6"/>
    <n v="518"/>
    <n v="0"/>
    <n v="24.7"/>
    <n v="10"/>
    <n v="0"/>
    <n v="7"/>
    <n v="0"/>
    <n v="670"/>
  </r>
  <r>
    <x v="216"/>
    <n v="7.8"/>
    <s v="25-04-2015 06:11"/>
    <n v="8"/>
    <n v="9"/>
    <s v="red"/>
    <n v="0"/>
    <n v="2820"/>
    <s v="us"/>
    <n v="0"/>
    <n v="1.857"/>
    <n v="12"/>
    <s v="mww"/>
    <n v="8.2200000000000006"/>
    <n v="28.230499999999999"/>
    <n v="84.731399999999994"/>
    <s v="Bharatpur, Nepal"/>
    <x v="1"/>
    <x v="13"/>
    <n v="2"/>
    <n v="7.8"/>
    <n v="0"/>
    <n v="1.857"/>
    <n v="12"/>
    <n v="8.2200000000000006"/>
    <n v="8"/>
    <n v="9"/>
    <n v="0"/>
    <n v="2820"/>
  </r>
  <r>
    <x v="217"/>
    <n v="6.6"/>
    <s v="25-04-2015 06:45"/>
    <n v="8"/>
    <n v="7"/>
    <s v="yellow"/>
    <n v="0"/>
    <n v="733"/>
    <s v="us"/>
    <n v="0"/>
    <n v="1.778"/>
    <n v="16"/>
    <s v="mww"/>
    <n v="10"/>
    <n v="28.224399999999999"/>
    <n v="84.821600000000004"/>
    <s v="Bharatpur, Nepal"/>
    <x v="1"/>
    <x v="13"/>
    <n v="2"/>
    <n v="6.6"/>
    <n v="0"/>
    <n v="1.778"/>
    <n v="16"/>
    <n v="10"/>
    <n v="8"/>
    <n v="7"/>
    <n v="0"/>
    <n v="733"/>
  </r>
  <r>
    <x v="218"/>
    <n v="6.7"/>
    <s v="26-04-2015 07:09"/>
    <n v="7"/>
    <n v="7"/>
    <s v="yellow"/>
    <n v="0"/>
    <n v="1016"/>
    <s v="us"/>
    <n v="0"/>
    <n v="0.72699999999999998"/>
    <n v="13"/>
    <s v="mww"/>
    <n v="22.91"/>
    <n v="27.771100000000001"/>
    <n v="86.017300000000006"/>
    <s v="Kod?ri??, Nepal"/>
    <x v="1"/>
    <x v="13"/>
    <n v="2"/>
    <n v="6.7"/>
    <n v="0"/>
    <n v="0.72699999999999998"/>
    <n v="13"/>
    <n v="22.91"/>
    <n v="7"/>
    <n v="7"/>
    <n v="0"/>
    <n v="1016"/>
  </r>
  <r>
    <x v="219"/>
    <n v="7.3"/>
    <d v="2015-12-05T07:05:00"/>
    <n v="8"/>
    <n v="7"/>
    <s v="orange"/>
    <n v="0"/>
    <n v="1563"/>
    <s v="us"/>
    <n v="0"/>
    <n v="0.67700000000000005"/>
    <n v="11"/>
    <s v="mww"/>
    <n v="15"/>
    <n v="27.808700000000002"/>
    <n v="86.0655"/>
    <s v="Nepal"/>
    <x v="1"/>
    <x v="13"/>
    <n v="2"/>
    <n v="7.3"/>
    <n v="0"/>
    <n v="0.67700000000000005"/>
    <n v="11"/>
    <n v="15"/>
    <n v="8"/>
    <n v="7"/>
    <n v="0"/>
    <n v="1563"/>
  </r>
  <r>
    <x v="220"/>
    <n v="7.7"/>
    <s v="24-09-2013 11:29"/>
    <n v="5"/>
    <n v="8"/>
    <s v="red"/>
    <n v="0"/>
    <n v="2015"/>
    <s v="us"/>
    <n v="0"/>
    <n v="7.2409999999999997"/>
    <n v="17"/>
    <s v="mww"/>
    <n v="15"/>
    <n v="26.951000000000001"/>
    <n v="65.500900000000001"/>
    <s v="Bela, Pakistan"/>
    <x v="1"/>
    <x v="14"/>
    <n v="2"/>
    <n v="7.7"/>
    <n v="0"/>
    <n v="7.2409999999999997"/>
    <n v="17"/>
    <n v="15"/>
    <n v="5"/>
    <n v="8"/>
    <n v="0"/>
    <n v="2015"/>
  </r>
  <r>
    <x v="221"/>
    <n v="7.2"/>
    <s v="18-01-2011 20:23"/>
    <n v="7"/>
    <n v="7"/>
    <m/>
    <n v="0"/>
    <n v="1449"/>
    <s v="us"/>
    <n v="372"/>
    <n v="0"/>
    <n v="25.3"/>
    <s v="mww"/>
    <n v="68"/>
    <n v="28.777000000000001"/>
    <n v="63.951000000000001"/>
    <s v="Dalbandin, Pakistan"/>
    <x v="1"/>
    <x v="14"/>
    <n v="2"/>
    <n v="7.2"/>
    <n v="372"/>
    <n v="0"/>
    <n v="25.3"/>
    <n v="68"/>
    <n v="7"/>
    <n v="7"/>
    <n v="0"/>
    <n v="1449"/>
  </r>
  <r>
    <x v="222"/>
    <n v="6.8"/>
    <s v="28-09-2013 07:34"/>
    <n v="7"/>
    <n v="7"/>
    <s v="orange"/>
    <n v="0"/>
    <n v="1005"/>
    <s v="us"/>
    <n v="0"/>
    <n v="7.359"/>
    <n v="17"/>
    <s v="mww"/>
    <n v="12"/>
    <n v="27.182500000000001"/>
    <n v="65.505200000000002"/>
    <s v="Khuzdar, Pakistan"/>
    <x v="1"/>
    <x v="14"/>
    <n v="2"/>
    <n v="6.8"/>
    <n v="0"/>
    <n v="7.359"/>
    <n v="17"/>
    <n v="12"/>
    <n v="7"/>
    <n v="7"/>
    <n v="0"/>
    <n v="1005"/>
  </r>
  <r>
    <x v="223"/>
    <n v="7.6"/>
    <d v="2005-08-10T03:50:00"/>
    <n v="9"/>
    <n v="9"/>
    <m/>
    <n v="0"/>
    <n v="1267"/>
    <s v="us"/>
    <n v="724"/>
    <n v="0"/>
    <n v="21.1"/>
    <s v="mwc"/>
    <n v="26"/>
    <n v="34.539000000000001"/>
    <n v="73.587999999999994"/>
    <s v="Muzaffar?b?d, Pakistan"/>
    <x v="1"/>
    <x v="14"/>
    <n v="2"/>
    <n v="7.6"/>
    <n v="724"/>
    <n v="0"/>
    <n v="21.1"/>
    <n v="26"/>
    <n v="9"/>
    <n v="9"/>
    <n v="0"/>
    <n v="1267"/>
  </r>
  <r>
    <x v="224"/>
    <n v="7.2"/>
    <s v="20-03-2008 22:32"/>
    <n v="0"/>
    <n v="7"/>
    <m/>
    <n v="0"/>
    <n v="798"/>
    <s v="us"/>
    <n v="532"/>
    <n v="0"/>
    <n v="25.9"/>
    <s v="mwc"/>
    <n v="10"/>
    <n v="35.49"/>
    <n v="81.466999999999999"/>
    <s v="Hotan, China"/>
    <x v="1"/>
    <x v="15"/>
    <n v="2"/>
    <n v="7.2"/>
    <n v="532"/>
    <n v="0"/>
    <n v="25.9"/>
    <n v="10"/>
    <n v="0"/>
    <n v="7"/>
    <n v="0"/>
    <n v="798"/>
  </r>
  <r>
    <x v="225"/>
    <n v="6.9"/>
    <d v="2014-12-02T09:19:00"/>
    <n v="3"/>
    <n v="8"/>
    <s v="yellow"/>
    <n v="0"/>
    <n v="733"/>
    <s v="us"/>
    <n v="0"/>
    <n v="7.4960000000000004"/>
    <n v="18"/>
    <s v="mww"/>
    <n v="10"/>
    <n v="35.905299999999997"/>
    <n v="82.586399999999998"/>
    <s v="Hotan, China"/>
    <x v="1"/>
    <x v="15"/>
    <n v="2"/>
    <n v="6.9"/>
    <n v="0"/>
    <n v="7.4960000000000004"/>
    <n v="18"/>
    <n v="10"/>
    <n v="3"/>
    <n v="8"/>
    <n v="0"/>
    <n v="733"/>
  </r>
  <r>
    <x v="226"/>
    <n v="6.7"/>
    <s v="25-08-2008 13:21"/>
    <n v="4"/>
    <n v="7"/>
    <m/>
    <n v="0"/>
    <n v="692"/>
    <s v="us"/>
    <n v="325"/>
    <n v="0"/>
    <n v="28"/>
    <s v="mwc"/>
    <n v="12"/>
    <n v="30.901"/>
    <n v="83.52"/>
    <s v="Jumla, Nepal"/>
    <x v="1"/>
    <x v="13"/>
    <n v="2"/>
    <n v="6.7"/>
    <n v="325"/>
    <n v="0"/>
    <n v="28"/>
    <n v="12"/>
    <n v="4"/>
    <n v="7"/>
    <n v="0"/>
    <n v="692"/>
  </r>
  <r>
    <x v="227"/>
    <n v="6.6"/>
    <d v="2022-05-09T04:52:00"/>
    <n v="9"/>
    <n v="8"/>
    <s v="orange"/>
    <n v="0"/>
    <n v="1043"/>
    <s v="us"/>
    <n v="141"/>
    <n v="8.4540000000000006"/>
    <n v="34"/>
    <s v="mww"/>
    <n v="12"/>
    <n v="29.726299999999998"/>
    <n v="102.279"/>
    <s v="Kangding, China"/>
    <x v="1"/>
    <x v="15"/>
    <n v="2"/>
    <n v="6.6"/>
    <n v="141"/>
    <n v="8.4540000000000006"/>
    <n v="34"/>
    <n v="12"/>
    <n v="9"/>
    <n v="8"/>
    <n v="0"/>
    <n v="1043"/>
  </r>
  <r>
    <x v="228"/>
    <n v="6.6"/>
    <s v="20-04-2013 00:02"/>
    <n v="8"/>
    <n v="8"/>
    <s v="red"/>
    <n v="0"/>
    <n v="2083"/>
    <s v="us"/>
    <n v="548"/>
    <n v="0"/>
    <n v="12.6"/>
    <s v="mww"/>
    <n v="14"/>
    <n v="30.308"/>
    <n v="102.88800000000001"/>
    <s v="Linqiong, China"/>
    <x v="1"/>
    <x v="15"/>
    <n v="2"/>
    <n v="6.6"/>
    <n v="548"/>
    <n v="0"/>
    <n v="12.6"/>
    <n v="14"/>
    <n v="8"/>
    <n v="8"/>
    <n v="0"/>
    <n v="2083"/>
  </r>
  <r>
    <x v="229"/>
    <n v="6.5"/>
    <d v="2017-08-08T13:19:00"/>
    <n v="5"/>
    <n v="7"/>
    <s v="yellow"/>
    <n v="0"/>
    <n v="707"/>
    <s v="us"/>
    <n v="0"/>
    <n v="11.411"/>
    <n v="22"/>
    <s v="mww"/>
    <n v="9"/>
    <n v="33.192599999999999"/>
    <n v="103.855"/>
    <s v="Mawu, China"/>
    <x v="1"/>
    <x v="15"/>
    <n v="2"/>
    <n v="6.5"/>
    <n v="0"/>
    <n v="11.411"/>
    <n v="22"/>
    <n v="9"/>
    <n v="5"/>
    <n v="7"/>
    <n v="0"/>
    <n v="707"/>
  </r>
  <r>
    <x v="230"/>
    <n v="6.6"/>
    <s v="25-11-2016 14:24"/>
    <n v="8"/>
    <n v="7"/>
    <s v="green"/>
    <n v="0"/>
    <n v="693"/>
    <s v="us"/>
    <n v="0"/>
    <n v="1.6970000000000001"/>
    <n v="20"/>
    <s v="mww"/>
    <n v="17"/>
    <n v="39.273200000000003"/>
    <n v="73.977599999999995"/>
    <s v="Murghob, Tajikistan"/>
    <x v="1"/>
    <x v="16"/>
    <n v="2"/>
    <n v="6.6"/>
    <n v="0"/>
    <n v="1.6970000000000001"/>
    <n v="20"/>
    <n v="17"/>
    <n v="8"/>
    <n v="7"/>
    <n v="0"/>
    <n v="693"/>
  </r>
  <r>
    <x v="231"/>
    <n v="6.6"/>
    <d v="2022-07-01T17:45:00"/>
    <n v="9"/>
    <n v="8"/>
    <s v="orange"/>
    <n v="0"/>
    <n v="1012"/>
    <s v="us"/>
    <n v="0"/>
    <n v="2.6850000000000001"/>
    <n v="13"/>
    <s v="mww"/>
    <n v="13"/>
    <n v="37.816699999999997"/>
    <n v="101.29900000000001"/>
    <s v="northern Qinghai, China"/>
    <x v="1"/>
    <x v="15"/>
    <n v="2"/>
    <n v="6.6"/>
    <n v="0"/>
    <n v="2.6850000000000001"/>
    <n v="13"/>
    <n v="13"/>
    <n v="9"/>
    <n v="8"/>
    <n v="0"/>
    <n v="1012"/>
  </r>
  <r>
    <x v="232"/>
    <n v="6.9"/>
    <s v="13-04-2010 23:49"/>
    <n v="6"/>
    <n v="9"/>
    <m/>
    <n v="0"/>
    <n v="773"/>
    <s v="us"/>
    <n v="410"/>
    <n v="0"/>
    <n v="14.9"/>
    <s v="mwc"/>
    <n v="17"/>
    <n v="33.164999999999999"/>
    <n v="96.548000000000002"/>
    <s v="Qamdo, China"/>
    <x v="1"/>
    <x v="15"/>
    <n v="2"/>
    <n v="6.9"/>
    <n v="410"/>
    <n v="0"/>
    <n v="14.9"/>
    <n v="17"/>
    <n v="6"/>
    <n v="9"/>
    <n v="0"/>
    <n v="773"/>
  </r>
  <r>
    <x v="233"/>
    <n v="7.8"/>
    <s v="14-11-2001 09:26"/>
    <n v="0"/>
    <n v="9"/>
    <m/>
    <n v="0"/>
    <n v="936"/>
    <s v="us"/>
    <n v="368"/>
    <n v="0"/>
    <n v="0"/>
    <s v="mwc"/>
    <n v="10"/>
    <n v="35.945999999999998"/>
    <n v="90.540999999999997"/>
    <s v="Southern Qinghai, China"/>
    <x v="1"/>
    <x v="15"/>
    <n v="2"/>
    <n v="7.8"/>
    <n v="368"/>
    <n v="0"/>
    <n v="0"/>
    <n v="10"/>
    <n v="0"/>
    <n v="9"/>
    <n v="0"/>
    <n v="936"/>
  </r>
  <r>
    <x v="234"/>
    <n v="7.3"/>
    <s v="21-05-2021 18:04"/>
    <n v="9"/>
    <n v="9"/>
    <s v="orange"/>
    <n v="0"/>
    <n v="1025"/>
    <s v="us"/>
    <n v="0"/>
    <n v="4.6550000000000002"/>
    <n v="9"/>
    <s v="mww"/>
    <n v="10"/>
    <n v="34.586100000000002"/>
    <n v="98.255099999999999"/>
    <s v="Southern Qinghai, China"/>
    <x v="1"/>
    <x v="15"/>
    <n v="2"/>
    <n v="7.3"/>
    <n v="0"/>
    <n v="4.6550000000000002"/>
    <n v="9"/>
    <n v="10"/>
    <n v="9"/>
    <n v="9"/>
    <n v="0"/>
    <n v="1025"/>
  </r>
  <r>
    <x v="235"/>
    <n v="7.9"/>
    <d v="2008-12-05T06:28:00"/>
    <n v="9"/>
    <n v="9"/>
    <m/>
    <n v="0"/>
    <n v="1870"/>
    <s v="us"/>
    <n v="774"/>
    <n v="0"/>
    <n v="11.3"/>
    <s v="mwc"/>
    <n v="19"/>
    <n v="31.001999999999999"/>
    <n v="103.322"/>
    <s v="Tianpeng, China"/>
    <x v="1"/>
    <x v="15"/>
    <n v="2"/>
    <n v="7.9"/>
    <n v="774"/>
    <n v="0"/>
    <n v="11.3"/>
    <n v="19"/>
    <n v="9"/>
    <n v="9"/>
    <n v="0"/>
    <n v="1870"/>
  </r>
  <r>
    <x v="236"/>
    <n v="7"/>
    <s v="27-07-2022 00:43"/>
    <n v="9"/>
    <n v="8"/>
    <s v="yellow"/>
    <n v="1"/>
    <n v="1351"/>
    <s v="us"/>
    <n v="152"/>
    <n v="5.2759999999999998"/>
    <n v="22"/>
    <s v="mww"/>
    <n v="33.728999999999999"/>
    <n v="17.597799999999999"/>
    <n v="120.809"/>
    <s v="Bantay, Philippines"/>
    <x v="1"/>
    <x v="17"/>
    <n v="2"/>
    <n v="7"/>
    <n v="152"/>
    <n v="5.2759999999999998"/>
    <n v="22"/>
    <n v="33.728999999999999"/>
    <n v="9"/>
    <n v="8"/>
    <n v="1"/>
    <n v="1351"/>
  </r>
  <r>
    <x v="237"/>
    <n v="7.6"/>
    <s v="23-07-2010 22:51"/>
    <n v="5"/>
    <n v="3"/>
    <m/>
    <n v="0"/>
    <n v="902"/>
    <s v="us"/>
    <n v="340"/>
    <n v="0"/>
    <n v="15.1"/>
    <s v="mwc"/>
    <n v="578"/>
    <n v="6.4969999999999999"/>
    <n v="123.48"/>
    <s v="Bantogon, Philippines"/>
    <x v="1"/>
    <x v="17"/>
    <n v="2"/>
    <n v="7.6"/>
    <n v="340"/>
    <n v="0"/>
    <n v="15.1"/>
    <n v="578"/>
    <n v="5"/>
    <n v="3"/>
    <n v="0"/>
    <n v="902"/>
  </r>
  <r>
    <x v="238"/>
    <n v="6.9"/>
    <s v="28-04-2017 20:23"/>
    <n v="9"/>
    <n v="6"/>
    <s v="green"/>
    <n v="1"/>
    <n v="814"/>
    <s v="us"/>
    <n v="0"/>
    <n v="1.6359999999999999"/>
    <n v="14"/>
    <s v="mww"/>
    <n v="26"/>
    <n v="5.5042999999999997"/>
    <n v="125.066"/>
    <s v="Burias, Philippines"/>
    <x v="1"/>
    <x v="17"/>
    <n v="2"/>
    <n v="6.9"/>
    <n v="0"/>
    <n v="1.6359999999999999"/>
    <n v="14"/>
    <n v="26"/>
    <n v="9"/>
    <n v="6"/>
    <n v="1"/>
    <n v="814"/>
  </r>
  <r>
    <x v="239"/>
    <n v="6.5"/>
    <s v="18-11-2003 17:14"/>
    <n v="0"/>
    <n v="6"/>
    <m/>
    <n v="0"/>
    <n v="650"/>
    <s v="us"/>
    <n v="487"/>
    <n v="0"/>
    <n v="45.9"/>
    <s v="mwb"/>
    <n v="35"/>
    <n v="12.025"/>
    <n v="125.416"/>
    <s v="Can-Avid, Philippines"/>
    <x v="1"/>
    <x v="17"/>
    <n v="2"/>
    <n v="6.5"/>
    <n v="487"/>
    <n v="0"/>
    <n v="45.9"/>
    <n v="35"/>
    <n v="0"/>
    <n v="6"/>
    <n v="0"/>
    <n v="650"/>
  </r>
  <r>
    <x v="240"/>
    <n v="6.6"/>
    <s v="29-10-2019 01:04"/>
    <n v="9"/>
    <n v="7"/>
    <s v="yellow"/>
    <n v="1"/>
    <n v="780"/>
    <s v="us"/>
    <n v="0"/>
    <n v="0.64600000000000002"/>
    <n v="24"/>
    <s v="mww"/>
    <n v="15"/>
    <n v="6.7567000000000004"/>
    <n v="125.008"/>
    <s v="Columbio, Philippines"/>
    <x v="1"/>
    <x v="17"/>
    <n v="2"/>
    <n v="6.6"/>
    <n v="0"/>
    <n v="0.64600000000000002"/>
    <n v="24"/>
    <n v="15"/>
    <n v="9"/>
    <n v="7"/>
    <n v="1"/>
    <n v="780"/>
  </r>
  <r>
    <x v="241"/>
    <n v="6.7"/>
    <s v="23-07-2021 20:48"/>
    <n v="8"/>
    <n v="5"/>
    <s v="green"/>
    <n v="1"/>
    <n v="935"/>
    <s v="us"/>
    <n v="0"/>
    <n v="8.1389999999999993"/>
    <n v="12"/>
    <s v="mww"/>
    <n v="110"/>
    <n v="13.6989"/>
    <n v="120.71299999999999"/>
    <s v="Hukay, Philippines"/>
    <x v="1"/>
    <x v="17"/>
    <n v="2"/>
    <n v="6.7"/>
    <n v="0"/>
    <n v="8.1389999999999993"/>
    <n v="12"/>
    <n v="110"/>
    <n v="8"/>
    <n v="5"/>
    <n v="1"/>
    <n v="935"/>
  </r>
  <r>
    <x v="242"/>
    <n v="6.7"/>
    <d v="2012-06-02T03:49:00"/>
    <n v="9"/>
    <n v="7"/>
    <m/>
    <n v="0"/>
    <n v="1551"/>
    <s v="us"/>
    <n v="572"/>
    <n v="0"/>
    <n v="11.1"/>
    <s v="mww"/>
    <n v="11"/>
    <n v="9.9990000000000006"/>
    <n v="123.206"/>
    <s v="Jimalalud, Philippines"/>
    <x v="1"/>
    <x v="17"/>
    <n v="2"/>
    <n v="6.7"/>
    <n v="572"/>
    <n v="0"/>
    <n v="11.1"/>
    <n v="11"/>
    <n v="9"/>
    <n v="7"/>
    <n v="0"/>
    <n v="1551"/>
  </r>
  <r>
    <x v="243"/>
    <n v="6.5"/>
    <s v="31-10-2019 01:11"/>
    <n v="9"/>
    <n v="7"/>
    <s v="green"/>
    <n v="1"/>
    <n v="733"/>
    <s v="us"/>
    <n v="0"/>
    <n v="0.42799999999999999"/>
    <n v="19"/>
    <s v="mww"/>
    <n v="10"/>
    <n v="6.9097999999999997"/>
    <n v="125.178"/>
    <s v="Kisante, Philippines"/>
    <x v="1"/>
    <x v="17"/>
    <n v="2"/>
    <n v="6.5"/>
    <n v="0"/>
    <n v="0.42799999999999999"/>
    <n v="19"/>
    <n v="10"/>
    <n v="9"/>
    <n v="7"/>
    <n v="1"/>
    <n v="733"/>
  </r>
  <r>
    <x v="244"/>
    <n v="6.5"/>
    <d v="2017-06-07T08:03:00"/>
    <n v="9"/>
    <n v="8"/>
    <s v="yellow"/>
    <n v="1"/>
    <n v="740"/>
    <s v="us"/>
    <n v="0"/>
    <n v="4.1390000000000002"/>
    <n v="30"/>
    <s v="mww"/>
    <n v="9"/>
    <n v="11.126899999999999"/>
    <n v="124.629"/>
    <s v="Lim-oo, Philippines"/>
    <x v="1"/>
    <x v="17"/>
    <n v="2"/>
    <n v="6.5"/>
    <n v="0"/>
    <n v="4.1390000000000002"/>
    <n v="30"/>
    <n v="9"/>
    <n v="9"/>
    <n v="8"/>
    <n v="1"/>
    <n v="740"/>
  </r>
  <r>
    <x v="245"/>
    <n v="7.5"/>
    <d v="2001-01-01T06:57:00"/>
    <n v="0"/>
    <n v="7"/>
    <m/>
    <n v="0"/>
    <n v="865"/>
    <s v="us"/>
    <n v="324"/>
    <n v="0"/>
    <n v="0"/>
    <s v="mwc"/>
    <n v="33"/>
    <n v="6.8979999999999997"/>
    <n v="126.57899999999999"/>
    <s v="Lukatan, Philippines"/>
    <x v="1"/>
    <x v="17"/>
    <n v="2"/>
    <n v="7.5"/>
    <n v="324"/>
    <n v="0"/>
    <n v="0"/>
    <n v="33"/>
    <n v="0"/>
    <n v="7"/>
    <n v="0"/>
    <n v="865"/>
  </r>
  <r>
    <x v="246"/>
    <n v="6.5"/>
    <d v="2017-10-02T14:03:00"/>
    <n v="8"/>
    <n v="7"/>
    <s v="yellow"/>
    <n v="1"/>
    <n v="718"/>
    <s v="us"/>
    <n v="0"/>
    <n v="2.8220000000000001"/>
    <n v="36"/>
    <s v="mww"/>
    <n v="15"/>
    <n v="9.9070999999999998"/>
    <n v="125.452"/>
    <s v="Mabua, Philippines"/>
    <x v="1"/>
    <x v="17"/>
    <n v="2"/>
    <n v="6.5"/>
    <n v="0"/>
    <n v="2.8220000000000001"/>
    <n v="36"/>
    <n v="15"/>
    <n v="8"/>
    <n v="7"/>
    <n v="1"/>
    <n v="718"/>
  </r>
  <r>
    <x v="247"/>
    <n v="6.8"/>
    <s v="15-12-2019 06:11"/>
    <n v="9"/>
    <n v="7"/>
    <s v="yellow"/>
    <n v="1"/>
    <n v="825"/>
    <s v="us"/>
    <n v="0"/>
    <n v="0.54600000000000004"/>
    <n v="39"/>
    <s v="mww"/>
    <n v="18"/>
    <n v="6.6969000000000003"/>
    <n v="125.17400000000001"/>
    <s v="Magsaysay, Philippines"/>
    <x v="1"/>
    <x v="17"/>
    <n v="2"/>
    <n v="6.8"/>
    <n v="0"/>
    <n v="0.54600000000000004"/>
    <n v="39"/>
    <n v="18"/>
    <n v="9"/>
    <n v="7"/>
    <n v="1"/>
    <n v="825"/>
  </r>
  <r>
    <x v="248"/>
    <n v="7.5"/>
    <d v="2002-05-03T21:16:00"/>
    <n v="0"/>
    <n v="7"/>
    <m/>
    <n v="0"/>
    <n v="865"/>
    <s v="us"/>
    <n v="321"/>
    <n v="0"/>
    <n v="0"/>
    <s v="mwc"/>
    <n v="31"/>
    <n v="6.0330000000000004"/>
    <n v="124.249"/>
    <s v="Mindanao, Philippines"/>
    <x v="1"/>
    <x v="17"/>
    <n v="2"/>
    <n v="7.5"/>
    <n v="321"/>
    <n v="0"/>
    <n v="0"/>
    <n v="31"/>
    <n v="0"/>
    <n v="7"/>
    <n v="0"/>
    <n v="865"/>
  </r>
  <r>
    <x v="249"/>
    <n v="6.8"/>
    <d v="2001-01-01T08:54:00"/>
    <n v="0"/>
    <n v="5"/>
    <m/>
    <n v="0"/>
    <n v="711"/>
    <s v="us"/>
    <n v="64"/>
    <n v="0"/>
    <n v="0"/>
    <s v="mwc"/>
    <n v="33"/>
    <n v="6.6310000000000002"/>
    <n v="126.899"/>
    <s v="Mindanao, Philippines"/>
    <x v="1"/>
    <x v="17"/>
    <n v="2"/>
    <n v="6.8"/>
    <n v="64"/>
    <n v="0"/>
    <n v="0"/>
    <n v="33"/>
    <n v="0"/>
    <n v="5"/>
    <n v="0"/>
    <n v="711"/>
  </r>
  <r>
    <x v="250"/>
    <n v="7.1"/>
    <d v="2005-05-02T12:23:00"/>
    <n v="7"/>
    <n v="3"/>
    <m/>
    <n v="0"/>
    <n v="782"/>
    <s v="us"/>
    <n v="640"/>
    <n v="0"/>
    <n v="26.4"/>
    <s v="mwc"/>
    <n v="525"/>
    <n v="5.2930000000000001"/>
    <n v="123.337"/>
    <s v="Palimbang, Philippines"/>
    <x v="1"/>
    <x v="17"/>
    <n v="2"/>
    <n v="7.1"/>
    <n v="640"/>
    <n v="0"/>
    <n v="26.4"/>
    <n v="525"/>
    <n v="7"/>
    <n v="3"/>
    <n v="0"/>
    <n v="782"/>
  </r>
  <r>
    <x v="251"/>
    <n v="6.9"/>
    <d v="2008-03-03T14:11:00"/>
    <n v="4"/>
    <n v="5"/>
    <m/>
    <n v="0"/>
    <n v="740"/>
    <s v="us"/>
    <n v="544"/>
    <n v="0"/>
    <n v="25.9"/>
    <s v="mwc"/>
    <n v="24"/>
    <n v="13.351000000000001"/>
    <n v="125.63"/>
    <s v="Philippine Islands region"/>
    <x v="1"/>
    <x v="17"/>
    <n v="2"/>
    <n v="6.9"/>
    <n v="544"/>
    <n v="0"/>
    <n v="25.9"/>
    <n v="24"/>
    <n v="4"/>
    <n v="5"/>
    <n v="0"/>
    <n v="740"/>
  </r>
  <r>
    <x v="252"/>
    <n v="7.1"/>
    <d v="2021-11-08T17:46:00"/>
    <n v="9"/>
    <n v="7"/>
    <s v="green"/>
    <n v="1"/>
    <n v="846"/>
    <s v="us"/>
    <n v="0"/>
    <n v="1.2729999999999999"/>
    <n v="25"/>
    <s v="mww"/>
    <n v="55.14"/>
    <n v="6.4546999999999999"/>
    <n v="126.742"/>
    <s v="Pondaguitan, Philippines"/>
    <x v="1"/>
    <x v="17"/>
    <n v="2"/>
    <n v="7.1"/>
    <n v="0"/>
    <n v="1.2729999999999999"/>
    <n v="25"/>
    <n v="55.14"/>
    <n v="9"/>
    <n v="7"/>
    <n v="1"/>
    <n v="846"/>
  </r>
  <r>
    <x v="253"/>
    <n v="7"/>
    <s v="21-01-2021 12:23"/>
    <n v="7"/>
    <n v="5"/>
    <s v="green"/>
    <n v="1"/>
    <n v="802"/>
    <s v="us"/>
    <n v="0"/>
    <n v="2.8210000000000002"/>
    <n v="15"/>
    <s v="mww"/>
    <n v="80"/>
    <n v="5.0073999999999996"/>
    <n v="127.517"/>
    <s v="Pondaguitan, Philippines"/>
    <x v="1"/>
    <x v="17"/>
    <n v="2"/>
    <n v="7"/>
    <n v="0"/>
    <n v="2.8210000000000002"/>
    <n v="15"/>
    <n v="80"/>
    <n v="7"/>
    <n v="5"/>
    <n v="1"/>
    <n v="802"/>
  </r>
  <r>
    <x v="254"/>
    <n v="7"/>
    <s v="29-12-2018 03:39"/>
    <n v="5"/>
    <n v="5"/>
    <s v="green"/>
    <n v="1"/>
    <n v="803"/>
    <s v="us"/>
    <n v="0"/>
    <n v="1.7689999999999999"/>
    <n v="21"/>
    <s v="mww"/>
    <n v="60.21"/>
    <n v="5.8982999999999999"/>
    <n v="126.92100000000001"/>
    <s v="Pondaguitan, Philippines"/>
    <x v="1"/>
    <x v="17"/>
    <n v="2"/>
    <n v="7"/>
    <n v="0"/>
    <n v="1.7689999999999999"/>
    <n v="21"/>
    <n v="60.21"/>
    <n v="5"/>
    <n v="5"/>
    <n v="1"/>
    <n v="803"/>
  </r>
  <r>
    <x v="255"/>
    <n v="7.1"/>
    <s v="15-10-2013 00:12"/>
    <n v="9"/>
    <n v="8"/>
    <s v="orange"/>
    <n v="1"/>
    <n v="1092"/>
    <s v="us"/>
    <n v="0"/>
    <n v="3.1440000000000001"/>
    <n v="12"/>
    <s v="mww"/>
    <n v="19.04"/>
    <n v="9.8795999999999999"/>
    <n v="124.117"/>
    <s v="Sagbayan, Philippines"/>
    <x v="1"/>
    <x v="17"/>
    <n v="2"/>
    <n v="7.1"/>
    <n v="0"/>
    <n v="3.1440000000000001"/>
    <n v="12"/>
    <n v="19.04"/>
    <n v="9"/>
    <n v="8"/>
    <n v="1"/>
    <n v="1092"/>
  </r>
  <r>
    <x v="256"/>
    <n v="6.6"/>
    <s v="18-08-2020 00:03"/>
    <n v="9"/>
    <n v="8"/>
    <s v="yellow"/>
    <n v="1"/>
    <n v="784"/>
    <s v="us"/>
    <n v="0"/>
    <n v="5.1280000000000001"/>
    <n v="14"/>
    <s v="mww"/>
    <n v="10"/>
    <n v="12.006500000000001"/>
    <n v="124.13"/>
    <s v="San Pedro, Philippines"/>
    <x v="1"/>
    <x v="17"/>
    <n v="2"/>
    <n v="6.6"/>
    <n v="0"/>
    <n v="5.1280000000000001"/>
    <n v="14"/>
    <n v="10"/>
    <n v="9"/>
    <n v="8"/>
    <n v="1"/>
    <n v="784"/>
  </r>
  <r>
    <x v="257"/>
    <n v="6.6"/>
    <d v="2014-02-12T05:11:00"/>
    <n v="1"/>
    <n v="3"/>
    <s v="green"/>
    <n v="0"/>
    <n v="670"/>
    <s v="us"/>
    <n v="0"/>
    <n v="2.6"/>
    <n v="9"/>
    <s v="mww"/>
    <n v="614"/>
    <n v="6.1571999999999996"/>
    <n v="123.126"/>
    <s v="Sangay, Philippines"/>
    <x v="1"/>
    <x v="17"/>
    <n v="2"/>
    <n v="6.6"/>
    <n v="0"/>
    <n v="2.6"/>
    <n v="9"/>
    <n v="614"/>
    <n v="1"/>
    <n v="3"/>
    <n v="0"/>
    <n v="670"/>
  </r>
  <r>
    <x v="258"/>
    <n v="6.5"/>
    <d v="2004-08-10T14:36:00"/>
    <n v="5"/>
    <n v="5"/>
    <m/>
    <n v="0"/>
    <n v="665"/>
    <s v="us"/>
    <n v="526"/>
    <n v="0"/>
    <n v="18.3"/>
    <s v="mwb"/>
    <n v="105"/>
    <n v="13.925000000000001"/>
    <n v="120.53400000000001"/>
    <s v="Talisay, Philippines"/>
    <x v="1"/>
    <x v="17"/>
    <n v="2"/>
    <n v="6.5"/>
    <n v="526"/>
    <n v="0"/>
    <n v="18.3"/>
    <n v="105"/>
    <n v="5"/>
    <n v="5"/>
    <n v="0"/>
    <n v="665"/>
  </r>
  <r>
    <x v="259"/>
    <n v="7.6"/>
    <s v="31-08-2012 12:47"/>
    <n v="8"/>
    <n v="5"/>
    <m/>
    <n v="0"/>
    <n v="1115"/>
    <s v="us"/>
    <n v="682"/>
    <n v="0"/>
    <n v="10.199999999999999"/>
    <s v="mww"/>
    <n v="28"/>
    <n v="10.811"/>
    <n v="126.63800000000001"/>
    <s v="Sulangan, Philippines"/>
    <x v="1"/>
    <x v="18"/>
    <n v="2"/>
    <n v="7.6"/>
    <n v="682"/>
    <n v="0"/>
    <n v="10.199999999999999"/>
    <n v="28"/>
    <n v="8"/>
    <n v="5"/>
    <n v="0"/>
    <n v="1115"/>
  </r>
  <r>
    <x v="260"/>
    <n v="7.3"/>
    <d v="2017-10-01T06:13:00"/>
    <n v="6"/>
    <n v="3"/>
    <s v="green"/>
    <n v="1"/>
    <n v="849"/>
    <s v="us"/>
    <n v="0"/>
    <n v="3.8130000000000002"/>
    <n v="18"/>
    <s v="mww"/>
    <n v="627.16999999999996"/>
    <n v="4.4782000000000002"/>
    <n v="122.617"/>
    <s v="Tabiauan, Philippines"/>
    <x v="1"/>
    <x v="18"/>
    <n v="2"/>
    <n v="7.3"/>
    <n v="0"/>
    <n v="3.8130000000000002"/>
    <n v="18"/>
    <n v="627.16999999999996"/>
    <n v="6"/>
    <n v="3"/>
    <n v="1"/>
    <n v="849"/>
  </r>
  <r>
    <x v="261"/>
    <n v="7.3"/>
    <s v="27-09-2003 11:33"/>
    <n v="0"/>
    <n v="7"/>
    <m/>
    <n v="0"/>
    <n v="820"/>
    <s v="us"/>
    <n v="667"/>
    <n v="0"/>
    <n v="24.5"/>
    <s v="mwb"/>
    <n v="16"/>
    <n v="50.037999999999997"/>
    <n v="87.813000000000002"/>
    <s v="Aktash, Russia"/>
    <x v="1"/>
    <x v="19"/>
    <n v="2"/>
    <n v="7.3"/>
    <n v="667"/>
    <n v="0"/>
    <n v="24.5"/>
    <n v="16"/>
    <n v="0"/>
    <n v="7"/>
    <n v="0"/>
    <n v="820"/>
  </r>
  <r>
    <x v="262"/>
    <n v="6.7"/>
    <d v="2003-01-10T01:03:00"/>
    <n v="0"/>
    <n v="7"/>
    <m/>
    <n v="0"/>
    <n v="691"/>
    <s v="us"/>
    <n v="643"/>
    <n v="0"/>
    <n v="24.5"/>
    <s v="mwb"/>
    <n v="10"/>
    <n v="50.210999999999999"/>
    <n v="87.721000000000004"/>
    <s v="Aktash, Russia"/>
    <x v="1"/>
    <x v="19"/>
    <n v="2"/>
    <n v="6.7"/>
    <n v="643"/>
    <n v="0"/>
    <n v="24.5"/>
    <n v="10"/>
    <n v="0"/>
    <n v="7"/>
    <n v="0"/>
    <n v="691"/>
  </r>
  <r>
    <x v="263"/>
    <n v="6.9"/>
    <d v="2004-10-06T15:19:00"/>
    <n v="0"/>
    <n v="5"/>
    <m/>
    <n v="0"/>
    <n v="732"/>
    <s v="us"/>
    <n v="798"/>
    <n v="0"/>
    <n v="31.2"/>
    <s v="mwb"/>
    <n v="188.6"/>
    <n v="55.682000000000002"/>
    <n v="160.00299999999999"/>
    <s v="Atlasovo, Russia"/>
    <x v="1"/>
    <x v="19"/>
    <n v="2"/>
    <n v="6.9"/>
    <n v="798"/>
    <n v="0"/>
    <n v="31.2"/>
    <n v="188.6"/>
    <n v="0"/>
    <n v="5"/>
    <n v="0"/>
    <n v="732"/>
  </r>
  <r>
    <x v="264"/>
    <n v="6.9"/>
    <s v="16-06-2003 22:08"/>
    <n v="0"/>
    <n v="5"/>
    <m/>
    <n v="0"/>
    <n v="732"/>
    <s v="us"/>
    <n v="733"/>
    <n v="0"/>
    <n v="26.7"/>
    <s v="mwb"/>
    <n v="174.8"/>
    <n v="55.491999999999997"/>
    <n v="159.999"/>
    <s v="Atlasovo, Russia"/>
    <x v="1"/>
    <x v="19"/>
    <n v="2"/>
    <n v="6.9"/>
    <n v="733"/>
    <n v="0"/>
    <n v="26.7"/>
    <n v="174.8"/>
    <n v="0"/>
    <n v="5"/>
    <n v="0"/>
    <n v="732"/>
  </r>
  <r>
    <x v="265"/>
    <n v="6.6"/>
    <s v="14-02-2013 13:13"/>
    <n v="0"/>
    <n v="7"/>
    <s v="green"/>
    <n v="1"/>
    <n v="670"/>
    <s v="us"/>
    <n v="697"/>
    <n v="0"/>
    <n v="15.3"/>
    <s v="mww"/>
    <n v="11"/>
    <n v="67.631"/>
    <n v="142.50800000000001"/>
    <s v="Belaya Gora, Russia"/>
    <x v="1"/>
    <x v="19"/>
    <n v="2"/>
    <n v="6.6"/>
    <n v="697"/>
    <n v="0"/>
    <n v="15.3"/>
    <n v="11"/>
    <n v="0"/>
    <n v="7"/>
    <n v="1"/>
    <n v="670"/>
  </r>
  <r>
    <x v="266"/>
    <n v="7.7"/>
    <s v="17-07-2017 23:34"/>
    <n v="8"/>
    <n v="7"/>
    <s v="green"/>
    <n v="1"/>
    <n v="918"/>
    <s v="us"/>
    <n v="0"/>
    <n v="3.5640000000000001"/>
    <n v="13"/>
    <s v="mww"/>
    <n v="10"/>
    <n v="54.443399999999997"/>
    <n v="168.857"/>
    <s v="Komandorskiye Ostrova, Russia region"/>
    <x v="1"/>
    <x v="19"/>
    <n v="2"/>
    <n v="7.7"/>
    <n v="0"/>
    <n v="3.5640000000000001"/>
    <n v="13"/>
    <n v="10"/>
    <n v="8"/>
    <n v="7"/>
    <n v="1"/>
    <n v="918"/>
  </r>
  <r>
    <x v="267"/>
    <n v="7.2"/>
    <s v="19-04-2013 03:05"/>
    <n v="5"/>
    <n v="7"/>
    <s v="green"/>
    <n v="1"/>
    <n v="804"/>
    <s v="us"/>
    <n v="770"/>
    <n v="0"/>
    <n v="10.1"/>
    <s v="mww"/>
    <n v="110"/>
    <n v="46.220999999999997"/>
    <n v="150.78800000000001"/>
    <s v="Kuril‚Äôsk, Russia"/>
    <x v="1"/>
    <x v="19"/>
    <n v="2"/>
    <n v="7.2"/>
    <n v="770"/>
    <n v="0"/>
    <n v="10.1"/>
    <n v="110"/>
    <n v="5"/>
    <n v="7"/>
    <n v="1"/>
    <n v="804"/>
  </r>
  <r>
    <x v="268"/>
    <n v="7"/>
    <s v="13-02-2020 10:33"/>
    <n v="5"/>
    <n v="6"/>
    <s v="yellow"/>
    <n v="1"/>
    <n v="770"/>
    <s v="us"/>
    <n v="0"/>
    <n v="4.5010000000000003"/>
    <n v="25"/>
    <s v="mww"/>
    <n v="143"/>
    <n v="45.616100000000003"/>
    <n v="148.959"/>
    <s v="Kuril‚Äôsk, Russia"/>
    <x v="1"/>
    <x v="19"/>
    <n v="2"/>
    <n v="7"/>
    <n v="0"/>
    <n v="4.5010000000000003"/>
    <n v="25"/>
    <n v="143"/>
    <n v="5"/>
    <n v="6"/>
    <n v="1"/>
    <n v="770"/>
  </r>
  <r>
    <x v="269"/>
    <n v="7.2"/>
    <s v="30-01-2016 03:25"/>
    <n v="3"/>
    <n v="7"/>
    <s v="green"/>
    <n v="1"/>
    <n v="799"/>
    <s v="us"/>
    <n v="0"/>
    <n v="0.95799999999999996"/>
    <n v="17"/>
    <s v="mww"/>
    <n v="177"/>
    <n v="53.977600000000002"/>
    <n v="158.54599999999999"/>
    <s v="Mil‚Äôkovo, Russia"/>
    <x v="1"/>
    <x v="19"/>
    <n v="2"/>
    <n v="7.2"/>
    <n v="0"/>
    <n v="0.95799999999999996"/>
    <n v="17"/>
    <n v="177"/>
    <n v="3"/>
    <n v="7"/>
    <n v="1"/>
    <n v="799"/>
  </r>
  <r>
    <x v="270"/>
    <n v="6.5"/>
    <s v="24-08-2006 21:50"/>
    <n v="0"/>
    <n v="6"/>
    <m/>
    <n v="0"/>
    <n v="650"/>
    <s v="us"/>
    <n v="700"/>
    <n v="0"/>
    <n v="47.4"/>
    <s v="mwb"/>
    <n v="43"/>
    <n v="51.148000000000003"/>
    <n v="157.52199999999999"/>
    <s v="Ozernovskiy, Russia"/>
    <x v="1"/>
    <x v="19"/>
    <n v="2"/>
    <n v="6.5"/>
    <n v="700"/>
    <n v="0"/>
    <n v="47.4"/>
    <n v="43"/>
    <n v="0"/>
    <n v="6"/>
    <n v="0"/>
    <n v="650"/>
  </r>
  <r>
    <x v="271"/>
    <n v="6.9"/>
    <s v="28-02-2013 14:05"/>
    <n v="5"/>
    <n v="6"/>
    <s v="green"/>
    <n v="1"/>
    <n v="736"/>
    <s v="us"/>
    <n v="531"/>
    <n v="0"/>
    <n v="20.7"/>
    <s v="mww"/>
    <n v="41"/>
    <n v="50.954000000000001"/>
    <n v="157.28299999999999"/>
    <s v="Ozernovskiy, Russia"/>
    <x v="1"/>
    <x v="19"/>
    <n v="2"/>
    <n v="6.9"/>
    <n v="531"/>
    <n v="0"/>
    <n v="20.7"/>
    <n v="41"/>
    <n v="5"/>
    <n v="6"/>
    <n v="1"/>
    <n v="736"/>
  </r>
  <r>
    <x v="272"/>
    <n v="6.7"/>
    <s v="13-10-2018 11:10"/>
    <n v="0"/>
    <n v="3"/>
    <s v="green"/>
    <n v="1"/>
    <n v="691"/>
    <s v="us"/>
    <n v="0"/>
    <n v="2.7050000000000001"/>
    <n v="17"/>
    <s v="mww"/>
    <n v="461"/>
    <n v="52.854900000000001"/>
    <n v="153.24299999999999"/>
    <s v="Ozernovskiy, Russia"/>
    <x v="1"/>
    <x v="19"/>
    <n v="2"/>
    <n v="6.7"/>
    <n v="0"/>
    <n v="2.7050000000000001"/>
    <n v="17"/>
    <n v="461"/>
    <n v="0"/>
    <n v="3"/>
    <n v="1"/>
    <n v="691"/>
  </r>
  <r>
    <x v="273"/>
    <n v="6.5"/>
    <d v="2013-01-03T13:20:00"/>
    <n v="3"/>
    <n v="6"/>
    <s v="green"/>
    <n v="0"/>
    <n v="651"/>
    <s v="us"/>
    <n v="480"/>
    <n v="0"/>
    <n v="20.7"/>
    <s v="mww"/>
    <n v="29"/>
    <n v="50.957999999999998"/>
    <n v="157.40799999999999"/>
    <s v="Ozernovskiy, Russia"/>
    <x v="1"/>
    <x v="19"/>
    <n v="2"/>
    <n v="6.5"/>
    <n v="480"/>
    <n v="0"/>
    <n v="20.7"/>
    <n v="29"/>
    <n v="3"/>
    <n v="6"/>
    <n v="0"/>
    <n v="651"/>
  </r>
  <r>
    <x v="274"/>
    <n v="7.7"/>
    <s v="14-08-2012 02:59"/>
    <n v="7"/>
    <n v="4"/>
    <m/>
    <n v="0"/>
    <n v="941"/>
    <s v="us"/>
    <n v="862"/>
    <n v="0"/>
    <n v="13.8"/>
    <s v="mww"/>
    <n v="583.20000000000005"/>
    <n v="49.8"/>
    <n v="145.06399999999999"/>
    <s v="Poronaysk, Russia"/>
    <x v="1"/>
    <x v="19"/>
    <n v="2"/>
    <n v="7.7"/>
    <n v="862"/>
    <n v="0"/>
    <n v="13.8"/>
    <n v="583.20000000000005"/>
    <n v="7"/>
    <n v="4"/>
    <n v="0"/>
    <n v="941"/>
  </r>
  <r>
    <x v="275"/>
    <n v="6.7"/>
    <s v="26-02-2012 06:17"/>
    <n v="7"/>
    <n v="7"/>
    <m/>
    <n v="0"/>
    <n v="833"/>
    <s v="us"/>
    <n v="596"/>
    <n v="0"/>
    <n v="13.4"/>
    <s v="mww"/>
    <n v="12"/>
    <n v="51.707999999999998"/>
    <n v="95.991"/>
    <s v="Saryg-Sep, Russia"/>
    <x v="1"/>
    <x v="19"/>
    <n v="2"/>
    <n v="6.7"/>
    <n v="596"/>
    <n v="0"/>
    <n v="13.4"/>
    <n v="12"/>
    <n v="7"/>
    <n v="7"/>
    <n v="0"/>
    <n v="833"/>
  </r>
  <r>
    <x v="276"/>
    <n v="6.6"/>
    <s v="27-12-2011 15:21"/>
    <n v="0"/>
    <n v="7"/>
    <m/>
    <n v="0"/>
    <n v="670"/>
    <s v="us"/>
    <n v="545"/>
    <n v="0"/>
    <n v="17.600000000000001"/>
    <s v="mww"/>
    <n v="15"/>
    <n v="51.841999999999999"/>
    <n v="95.911000000000001"/>
    <s v="Saryg-Sep, Russia"/>
    <x v="1"/>
    <x v="19"/>
    <n v="2"/>
    <n v="6.6"/>
    <n v="545"/>
    <n v="0"/>
    <n v="17.600000000000001"/>
    <n v="15"/>
    <n v="0"/>
    <n v="7"/>
    <n v="0"/>
    <n v="670"/>
  </r>
  <r>
    <x v="277"/>
    <n v="7.5"/>
    <s v="25-03-2020 02:49"/>
    <n v="6"/>
    <n v="5"/>
    <s v="green"/>
    <n v="1"/>
    <n v="879"/>
    <s v="us"/>
    <n v="0"/>
    <n v="4.109"/>
    <n v="12"/>
    <s v="mww"/>
    <n v="57.8"/>
    <n v="48.963799999999999"/>
    <n v="157.69499999999999"/>
    <s v="Severo-Kuril‚Äôsk, Russia"/>
    <x v="1"/>
    <x v="19"/>
    <n v="2"/>
    <n v="7.5"/>
    <n v="0"/>
    <n v="4.109"/>
    <n v="12"/>
    <n v="57.8"/>
    <n v="6"/>
    <n v="5"/>
    <n v="1"/>
    <n v="879"/>
  </r>
  <r>
    <x v="278"/>
    <n v="6.5"/>
    <d v="2018-10-10T23:16:00"/>
    <n v="0"/>
    <n v="4"/>
    <s v="green"/>
    <n v="1"/>
    <n v="650"/>
    <s v="us"/>
    <n v="0"/>
    <n v="3.923"/>
    <n v="14"/>
    <s v="mww"/>
    <n v="20"/>
    <n v="49.290199999999999"/>
    <n v="156.297"/>
    <s v="Severo-Kuril‚Äôsk, Russia"/>
    <x v="1"/>
    <x v="19"/>
    <n v="2"/>
    <n v="6.5"/>
    <n v="0"/>
    <n v="3.923"/>
    <n v="14"/>
    <n v="20"/>
    <n v="0"/>
    <n v="4"/>
    <n v="1"/>
    <n v="650"/>
  </r>
  <r>
    <x v="279"/>
    <n v="7.6"/>
    <s v="20-04-2006 23:25"/>
    <n v="0"/>
    <n v="8"/>
    <m/>
    <n v="0"/>
    <n v="889"/>
    <s v="us"/>
    <n v="579"/>
    <n v="0"/>
    <n v="18.5"/>
    <s v="mwc"/>
    <n v="22"/>
    <n v="60.948999999999998"/>
    <n v="167.089"/>
    <s v="Tilichiki, Russia"/>
    <x v="1"/>
    <x v="19"/>
    <n v="2"/>
    <n v="7.6"/>
    <n v="579"/>
    <n v="0"/>
    <n v="18.5"/>
    <n v="22"/>
    <n v="0"/>
    <n v="8"/>
    <n v="0"/>
    <n v="889"/>
  </r>
  <r>
    <x v="280"/>
    <n v="6.6"/>
    <s v="22-05-2006 11:12"/>
    <n v="0"/>
    <n v="7"/>
    <m/>
    <n v="0"/>
    <n v="670"/>
    <s v="us"/>
    <n v="548"/>
    <n v="0"/>
    <n v="28"/>
    <s v="mwc"/>
    <n v="19"/>
    <n v="60.771999999999998"/>
    <n v="165.74299999999999"/>
    <s v="Tilichiki, Russia"/>
    <x v="1"/>
    <x v="19"/>
    <n v="2"/>
    <n v="6.6"/>
    <n v="548"/>
    <n v="0"/>
    <n v="28"/>
    <n v="19"/>
    <n v="0"/>
    <n v="7"/>
    <n v="0"/>
    <n v="670"/>
  </r>
  <r>
    <x v="281"/>
    <n v="6.6"/>
    <s v="29-04-2006 16:58"/>
    <n v="0"/>
    <n v="8"/>
    <m/>
    <n v="0"/>
    <n v="670"/>
    <s v="us"/>
    <n v="645"/>
    <n v="0"/>
    <n v="28.4"/>
    <s v="mwc"/>
    <n v="11"/>
    <n v="60.491"/>
    <n v="167.51599999999999"/>
    <s v="Tilichiki, Russia"/>
    <x v="1"/>
    <x v="19"/>
    <n v="2"/>
    <n v="6.6"/>
    <n v="645"/>
    <n v="0"/>
    <n v="28.4"/>
    <n v="11"/>
    <n v="0"/>
    <n v="8"/>
    <n v="0"/>
    <n v="670"/>
  </r>
  <r>
    <x v="282"/>
    <n v="6.6"/>
    <s v="29-03-2017 04:09"/>
    <n v="6"/>
    <n v="7"/>
    <s v="yellow"/>
    <n v="1"/>
    <n v="671"/>
    <s v="us"/>
    <n v="0"/>
    <n v="4.5910000000000002"/>
    <n v="14"/>
    <s v="mww"/>
    <n v="17"/>
    <n v="56.940100000000001"/>
    <n v="162.786"/>
    <s v="Ust‚Äô-Kamchatsk Staryy, Russia"/>
    <x v="1"/>
    <x v="19"/>
    <n v="2"/>
    <n v="6.6"/>
    <n v="0"/>
    <n v="4.5910000000000002"/>
    <n v="14"/>
    <n v="17"/>
    <n v="6"/>
    <n v="7"/>
    <n v="1"/>
    <n v="671"/>
  </r>
  <r>
    <x v="283"/>
    <n v="7.3"/>
    <s v="20-12-2018 17:01"/>
    <n v="3"/>
    <n v="7"/>
    <s v="green"/>
    <n v="1"/>
    <n v="822"/>
    <s v="us"/>
    <n v="0"/>
    <n v="4.1260000000000003"/>
    <n v="23"/>
    <s v="mww"/>
    <n v="16.559999999999999"/>
    <n v="55.099899999999998"/>
    <n v="164.69900000000001"/>
    <s v="Ust‚Äô-Kamchatsk Staryy, Russia"/>
    <x v="1"/>
    <x v="19"/>
    <n v="2"/>
    <n v="7.3"/>
    <n v="0"/>
    <n v="4.1260000000000003"/>
    <n v="23"/>
    <n v="16.559999999999999"/>
    <n v="3"/>
    <n v="7"/>
    <n v="1"/>
    <n v="822"/>
  </r>
  <r>
    <x v="284"/>
    <n v="6.6"/>
    <s v="16-03-2021 18:38"/>
    <n v="5"/>
    <n v="5"/>
    <s v="green"/>
    <n v="1"/>
    <n v="672"/>
    <s v="us"/>
    <n v="0"/>
    <n v="3.1829999999999998"/>
    <n v="18"/>
    <s v="mww"/>
    <n v="13.23"/>
    <n v="54.701799999999999"/>
    <n v="163.208"/>
    <s v="Ust‚Äô-Kamchatsk Staryy, Russia"/>
    <x v="1"/>
    <x v="19"/>
    <n v="2"/>
    <n v="6.6"/>
    <n v="0"/>
    <n v="3.1829999999999998"/>
    <n v="18"/>
    <n v="13.23"/>
    <n v="5"/>
    <n v="5"/>
    <n v="1"/>
    <n v="672"/>
  </r>
  <r>
    <x v="285"/>
    <n v="7.1"/>
    <s v="26-12-2006 12:26"/>
    <n v="8"/>
    <n v="7"/>
    <m/>
    <n v="0"/>
    <n v="1023"/>
    <s v="us"/>
    <n v="744"/>
    <n v="0"/>
    <n v="29.1"/>
    <s v="mwb"/>
    <n v="10"/>
    <n v="21.798999999999999"/>
    <n v="120.547"/>
    <s v="Hengchun, Taiwan"/>
    <x v="1"/>
    <x v="20"/>
    <n v="2"/>
    <n v="7.1"/>
    <n v="744"/>
    <n v="0"/>
    <n v="29.1"/>
    <n v="10"/>
    <n v="8"/>
    <n v="7"/>
    <n v="0"/>
    <n v="1023"/>
  </r>
  <r>
    <x v="286"/>
    <n v="6.9"/>
    <s v="26-12-2006 12:34"/>
    <n v="6"/>
    <n v="7"/>
    <m/>
    <n v="0"/>
    <n v="798"/>
    <s v="us"/>
    <n v="466"/>
    <n v="0"/>
    <n v="31.6"/>
    <s v="mwc"/>
    <n v="10"/>
    <n v="21.974"/>
    <n v="120.49299999999999"/>
    <s v="Hengchun, Taiwan"/>
    <x v="1"/>
    <x v="20"/>
    <n v="2"/>
    <n v="6.9"/>
    <n v="466"/>
    <n v="0"/>
    <n v="31.6"/>
    <n v="10"/>
    <n v="6"/>
    <n v="7"/>
    <n v="0"/>
    <n v="798"/>
  </r>
  <r>
    <x v="287"/>
    <n v="6.7"/>
    <s v="22-03-2022 17:41"/>
    <n v="8"/>
    <n v="7"/>
    <s v="green"/>
    <n v="1"/>
    <n v="806"/>
    <s v="us"/>
    <n v="0"/>
    <n v="0.28899999999999998"/>
    <n v="32"/>
    <s v="mww"/>
    <n v="24"/>
    <n v="23.342099999999999"/>
    <n v="121.636"/>
    <s v="Hualien City, Taiwan"/>
    <x v="1"/>
    <x v="20"/>
    <n v="2"/>
    <n v="6.7"/>
    <n v="0"/>
    <n v="0.28899999999999998"/>
    <n v="32"/>
    <n v="24"/>
    <n v="8"/>
    <n v="7"/>
    <n v="1"/>
    <n v="806"/>
  </r>
  <r>
    <x v="288"/>
    <n v="7.1"/>
    <s v="31-03-2002 06:52"/>
    <n v="0"/>
    <n v="6"/>
    <m/>
    <n v="0"/>
    <n v="776"/>
    <s v="us"/>
    <n v="550"/>
    <n v="0"/>
    <n v="0"/>
    <s v="mwc"/>
    <n v="32.799999999999997"/>
    <n v="24.279"/>
    <n v="122.179"/>
    <s v="Hualien City, Taiwan"/>
    <x v="1"/>
    <x v="20"/>
    <n v="2"/>
    <n v="7.1"/>
    <n v="550"/>
    <n v="0"/>
    <n v="0"/>
    <n v="32.799999999999997"/>
    <n v="0"/>
    <n v="6"/>
    <n v="0"/>
    <n v="776"/>
  </r>
  <r>
    <x v="289"/>
    <n v="6.5"/>
    <s v="17-09-2022 13:41"/>
    <n v="7"/>
    <n v="7"/>
    <s v="green"/>
    <n v="1"/>
    <n v="756"/>
    <s v="us"/>
    <n v="178"/>
    <n v="0.43"/>
    <n v="54"/>
    <s v="mww"/>
    <n v="10"/>
    <n v="23.029"/>
    <n v="121.348"/>
    <s v="Lugu, Taiwan"/>
    <x v="1"/>
    <x v="20"/>
    <n v="2"/>
    <n v="6.5"/>
    <n v="178"/>
    <n v="0.43"/>
    <n v="54"/>
    <n v="10"/>
    <n v="7"/>
    <n v="7"/>
    <n v="1"/>
    <n v="756"/>
  </r>
  <r>
    <x v="290"/>
    <n v="6.9"/>
    <s v="18-09-2022 06:44"/>
    <n v="9"/>
    <n v="9"/>
    <s v="yellow"/>
    <n v="1"/>
    <n v="887"/>
    <s v="us"/>
    <n v="215"/>
    <n v="0.40100000000000002"/>
    <n v="34"/>
    <s v="mww"/>
    <n v="10"/>
    <n v="23.144400000000001"/>
    <n v="121.307"/>
    <s v="Yujing, Taiwan"/>
    <x v="1"/>
    <x v="20"/>
    <n v="2"/>
    <n v="6.9"/>
    <n v="215"/>
    <n v="0.40100000000000002"/>
    <n v="34"/>
    <n v="10"/>
    <n v="9"/>
    <n v="9"/>
    <n v="1"/>
    <n v="887"/>
  </r>
  <r>
    <x v="291"/>
    <n v="6.8"/>
    <d v="2003-10-12T04:38:00"/>
    <n v="0"/>
    <n v="7"/>
    <m/>
    <n v="0"/>
    <n v="711"/>
    <s v="us"/>
    <n v="447"/>
    <n v="0"/>
    <n v="27.7"/>
    <s v="mwb"/>
    <n v="10"/>
    <n v="23.039000000000001"/>
    <n v="121.36199999999999"/>
    <s v="Yujing, Taiwan"/>
    <x v="1"/>
    <x v="20"/>
    <n v="2"/>
    <n v="6.8"/>
    <n v="447"/>
    <n v="0"/>
    <n v="27.7"/>
    <n v="10"/>
    <n v="0"/>
    <n v="7"/>
    <n v="0"/>
    <n v="711"/>
  </r>
  <r>
    <x v="292"/>
    <n v="7.2"/>
    <d v="2015-07-12T07:50:00"/>
    <n v="4"/>
    <n v="7"/>
    <s v="green"/>
    <n v="0"/>
    <n v="827"/>
    <s v="us"/>
    <n v="0"/>
    <n v="1.1160000000000001"/>
    <n v="18"/>
    <s v="mww"/>
    <n v="22"/>
    <n v="38.210700000000003"/>
    <n v="72.779700000000005"/>
    <s v="Murghob, Tajikistan"/>
    <x v="1"/>
    <x v="16"/>
    <n v="2"/>
    <n v="7.2"/>
    <n v="0"/>
    <n v="1.1160000000000001"/>
    <n v="18"/>
    <n v="22"/>
    <n v="4"/>
    <n v="7"/>
    <n v="0"/>
    <n v="827"/>
  </r>
  <r>
    <x v="293"/>
    <n v="6.7"/>
    <s v="24-01-2020 17:55"/>
    <n v="8"/>
    <n v="9"/>
    <s v="orange"/>
    <n v="0"/>
    <n v="1247"/>
    <s v="us"/>
    <n v="0"/>
    <n v="0.87"/>
    <n v="49"/>
    <s v="mww"/>
    <n v="10"/>
    <n v="38.431199999999997"/>
    <n v="39.060899999999997"/>
    <s v="Do?anyol, Turkey"/>
    <x v="1"/>
    <x v="21"/>
    <n v="2"/>
    <n v="6.7"/>
    <n v="0"/>
    <n v="0.87"/>
    <n v="49"/>
    <n v="10"/>
    <n v="8"/>
    <n v="9"/>
    <n v="0"/>
    <n v="1247"/>
  </r>
  <r>
    <x v="294"/>
    <n v="6.6"/>
    <s v="20-07-2017 22:31"/>
    <n v="7"/>
    <n v="7"/>
    <s v="yellow"/>
    <n v="0"/>
    <n v="1064"/>
    <s v="us"/>
    <n v="0"/>
    <n v="0.91300000000000003"/>
    <n v="16"/>
    <s v="mww"/>
    <n v="7"/>
    <n v="36.929299999999998"/>
    <n v="27.413900000000002"/>
    <s v="Kos, Greece"/>
    <x v="1"/>
    <x v="21"/>
    <n v="2"/>
    <n v="6.6"/>
    <n v="0"/>
    <n v="0.91300000000000003"/>
    <n v="16"/>
    <n v="7"/>
    <n v="7"/>
    <n v="7"/>
    <n v="0"/>
    <n v="1064"/>
  </r>
  <r>
    <x v="295"/>
    <n v="6.5"/>
    <d v="2002-03-02T07:11:00"/>
    <n v="0"/>
    <n v="7"/>
    <m/>
    <n v="0"/>
    <n v="650"/>
    <s v="us"/>
    <n v="482"/>
    <n v="0"/>
    <n v="0"/>
    <s v="mwc"/>
    <n v="5"/>
    <n v="38.573"/>
    <n v="31.271000000000001"/>
    <s v="Sultanda??, Turkey"/>
    <x v="1"/>
    <x v="21"/>
    <n v="2"/>
    <n v="6.5"/>
    <n v="482"/>
    <n v="0"/>
    <n v="0"/>
    <n v="5"/>
    <n v="0"/>
    <n v="7"/>
    <n v="0"/>
    <n v="650"/>
  </r>
  <r>
    <x v="296"/>
    <n v="7.1"/>
    <s v="23-10-2011 10:41"/>
    <n v="9"/>
    <n v="9"/>
    <m/>
    <n v="0"/>
    <n v="1096"/>
    <s v="us"/>
    <n v="693"/>
    <n v="0"/>
    <n v="19.7"/>
    <s v="mww"/>
    <n v="18"/>
    <n v="38.720999999999997"/>
    <n v="43.508000000000003"/>
    <s v="Van, Turkey"/>
    <x v="1"/>
    <x v="21"/>
    <n v="2"/>
    <n v="7.1"/>
    <n v="693"/>
    <n v="0"/>
    <n v="19.7"/>
    <n v="18"/>
    <n v="9"/>
    <n v="9"/>
    <n v="0"/>
    <n v="1096"/>
  </r>
  <r>
    <x v="297"/>
    <n v="8.3000000000000007"/>
    <s v="15-11-2006 11:14"/>
    <n v="4"/>
    <n v="7"/>
    <m/>
    <n v="0"/>
    <n v="1064"/>
    <s v="us"/>
    <n v="576"/>
    <n v="0"/>
    <n v="20.9"/>
    <s v="mwc"/>
    <n v="10"/>
    <n v="46.591999999999999"/>
    <n v="153.26599999999999"/>
    <s v="Kuril Islands"/>
    <x v="1"/>
    <x v="22"/>
    <n v="2"/>
    <n v="8.3000000000000007"/>
    <n v="576"/>
    <n v="0"/>
    <n v="20.9"/>
    <n v="10"/>
    <n v="4"/>
    <n v="7"/>
    <n v="0"/>
    <n v="1064"/>
  </r>
  <r>
    <x v="298"/>
    <n v="8.3000000000000007"/>
    <s v="24-05-2013 05:44"/>
    <n v="5"/>
    <n v="5"/>
    <s v="green"/>
    <n v="1"/>
    <n v="1115"/>
    <s v="us"/>
    <n v="385"/>
    <n v="0"/>
    <n v="10"/>
    <s v="mww"/>
    <n v="598.1"/>
    <n v="54.892000000000003"/>
    <n v="153.221"/>
    <s v="Okhotsk"/>
    <x v="1"/>
    <x v="22"/>
    <n v="2"/>
    <n v="8.3000000000000007"/>
    <n v="385"/>
    <n v="0"/>
    <n v="10"/>
    <n v="598.1"/>
    <n v="5"/>
    <n v="5"/>
    <n v="1"/>
    <n v="1115"/>
  </r>
  <r>
    <x v="299"/>
    <n v="6.7"/>
    <d v="2013-01-10T03:38:00"/>
    <n v="0"/>
    <n v="3"/>
    <s v="green"/>
    <n v="0"/>
    <n v="691"/>
    <s v="us"/>
    <n v="0"/>
    <n v="2.9580000000000002"/>
    <n v="11"/>
    <s v="mww"/>
    <n v="573"/>
    <n v="53.1995"/>
    <n v="152.786"/>
    <s v="Okhotsk"/>
    <x v="1"/>
    <x v="22"/>
    <n v="2"/>
    <n v="6.7"/>
    <n v="0"/>
    <n v="2.9580000000000002"/>
    <n v="11"/>
    <n v="573"/>
    <n v="0"/>
    <n v="3"/>
    <n v="0"/>
    <n v="691"/>
  </r>
  <r>
    <x v="299"/>
    <n v="6.7"/>
    <s v="24-05-2013 14:56"/>
    <n v="0"/>
    <n v="3"/>
    <s v="green"/>
    <n v="1"/>
    <n v="691"/>
    <s v="us"/>
    <n v="217"/>
    <n v="0"/>
    <n v="25.2"/>
    <s v="mwb"/>
    <n v="624"/>
    <n v="52.234999999999999"/>
    <n v="151.44399999999999"/>
    <s v="Okhotsk"/>
    <x v="1"/>
    <x v="22"/>
    <n v="2"/>
    <n v="6.7"/>
    <n v="217"/>
    <n v="0"/>
    <n v="25.2"/>
    <n v="624"/>
    <n v="0"/>
    <n v="3"/>
    <n v="1"/>
    <n v="691"/>
  </r>
  <r>
    <x v="300"/>
    <n v="6.6"/>
    <d v="2013-12-10T13:11:00"/>
    <n v="5"/>
    <n v="6"/>
    <s v="yellow"/>
    <n v="0"/>
    <n v="691"/>
    <s v="us"/>
    <n v="0"/>
    <n v="1.984"/>
    <n v="40"/>
    <s v="mww"/>
    <n v="40"/>
    <n v="35.514200000000002"/>
    <n v="23.252300000000002"/>
    <s v="K√≠ssamos, Greece"/>
    <x v="2"/>
    <x v="23"/>
    <n v="3"/>
    <n v="6.6"/>
    <n v="0"/>
    <n v="1.984"/>
    <n v="40"/>
    <n v="40"/>
    <n v="5"/>
    <n v="6"/>
    <n v="0"/>
    <n v="691"/>
  </r>
  <r>
    <x v="301"/>
    <n v="6.7"/>
    <d v="2006-08-01T11:34:00"/>
    <n v="7"/>
    <n v="6"/>
    <m/>
    <n v="0"/>
    <n v="934"/>
    <s v="us"/>
    <n v="769"/>
    <n v="0"/>
    <n v="19.7"/>
    <s v="mwb"/>
    <n v="66"/>
    <n v="36.311"/>
    <n v="23.212"/>
    <s v="K√Ωthira, Greece"/>
    <x v="2"/>
    <x v="23"/>
    <n v="3"/>
    <n v="6.7"/>
    <n v="769"/>
    <n v="0"/>
    <n v="19.7"/>
    <n v="66"/>
    <n v="7"/>
    <n v="6"/>
    <n v="0"/>
    <n v="934"/>
  </r>
  <r>
    <x v="302"/>
    <n v="6.9"/>
    <s v="24-05-2014 09:25"/>
    <n v="9"/>
    <n v="7"/>
    <s v="green"/>
    <n v="0"/>
    <n v="951"/>
    <s v="us"/>
    <n v="0"/>
    <n v="0.40200000000000002"/>
    <n v="25"/>
    <s v="mww"/>
    <n v="6.43"/>
    <n v="40.289299999999997"/>
    <n v="25.3889"/>
    <s v="Kamari√≥tissa, Greece"/>
    <x v="2"/>
    <x v="23"/>
    <n v="3"/>
    <n v="6.9"/>
    <n v="0"/>
    <n v="0.40200000000000002"/>
    <n v="25"/>
    <n v="6.43"/>
    <n v="9"/>
    <n v="7"/>
    <n v="0"/>
    <n v="951"/>
  </r>
  <r>
    <x v="303"/>
    <n v="6.5"/>
    <s v="14-02-2008 12:08"/>
    <n v="8"/>
    <n v="5"/>
    <m/>
    <n v="0"/>
    <n v="692"/>
    <s v="us"/>
    <n v="650"/>
    <n v="0"/>
    <n v="30.7"/>
    <s v="mwc"/>
    <n v="28"/>
    <n v="36.344999999999999"/>
    <n v="21.863"/>
    <s v="Kor√≥ni, Greece"/>
    <x v="2"/>
    <x v="23"/>
    <n v="3"/>
    <n v="6.5"/>
    <n v="650"/>
    <n v="0"/>
    <n v="30.7"/>
    <n v="28"/>
    <n v="8"/>
    <n v="5"/>
    <n v="0"/>
    <n v="692"/>
  </r>
  <r>
    <x v="304"/>
    <n v="6.5"/>
    <s v="17-11-2015 07:10"/>
    <n v="7"/>
    <n v="7"/>
    <s v="orange"/>
    <n v="0"/>
    <n v="1018"/>
    <s v="us"/>
    <n v="0"/>
    <n v="0"/>
    <n v="0"/>
    <s v="mww"/>
    <n v="11"/>
    <n v="38.67"/>
    <n v="20.6"/>
    <s v="Lefk√°da, Greece"/>
    <x v="2"/>
    <x v="23"/>
    <n v="3"/>
    <n v="6.5"/>
    <n v="0"/>
    <n v="0"/>
    <n v="0"/>
    <n v="11"/>
    <n v="7"/>
    <n v="7"/>
    <n v="0"/>
    <n v="1018"/>
  </r>
  <r>
    <x v="305"/>
    <n v="6.8"/>
    <s v="25-10-2018 22:54"/>
    <n v="8"/>
    <n v="7"/>
    <s v="yellow"/>
    <n v="0"/>
    <n v="954"/>
    <s v="us"/>
    <n v="0"/>
    <n v="2.2679999999999998"/>
    <n v="15"/>
    <s v="mww"/>
    <n v="14"/>
    <n v="37.520299999999999"/>
    <n v="20.5565"/>
    <s v="Lithaki√°, Greece"/>
    <x v="2"/>
    <x v="23"/>
    <n v="3"/>
    <n v="6.8"/>
    <n v="0"/>
    <n v="2.2679999999999998"/>
    <n v="15"/>
    <n v="14"/>
    <n v="8"/>
    <n v="7"/>
    <n v="0"/>
    <n v="954"/>
  </r>
  <r>
    <x v="306"/>
    <n v="6.9"/>
    <s v="14-02-2008 10:09"/>
    <n v="6"/>
    <n v="6"/>
    <m/>
    <n v="0"/>
    <n v="941"/>
    <s v="us"/>
    <n v="645"/>
    <n v="0"/>
    <n v="30.6"/>
    <s v="mwc"/>
    <n v="29"/>
    <n v="36.500999999999998"/>
    <n v="21.67"/>
    <s v="Meth√≥ni, Greece"/>
    <x v="2"/>
    <x v="23"/>
    <n v="3"/>
    <n v="6.9"/>
    <n v="645"/>
    <n v="0"/>
    <n v="30.6"/>
    <n v="29"/>
    <n v="6"/>
    <n v="6"/>
    <n v="0"/>
    <n v="941"/>
  </r>
  <r>
    <x v="307"/>
    <n v="6.5"/>
    <d v="2020-02-05T12:51:00"/>
    <n v="7"/>
    <n v="6"/>
    <s v="green"/>
    <n v="0"/>
    <n v="678"/>
    <s v="us"/>
    <n v="0"/>
    <n v="1.2929999999999999"/>
    <n v="19"/>
    <s v="mww"/>
    <n v="10"/>
    <n v="34.181800000000003"/>
    <n v="25.710100000000001"/>
    <s v="N√©a Anatol√≠, Greece"/>
    <x v="2"/>
    <x v="23"/>
    <n v="3"/>
    <n v="6.5"/>
    <n v="0"/>
    <n v="1.2929999999999999"/>
    <n v="19"/>
    <n v="10"/>
    <n v="7"/>
    <n v="6"/>
    <n v="0"/>
    <n v="678"/>
  </r>
  <r>
    <x v="308"/>
    <n v="7"/>
    <s v="30-10-2020 11:51"/>
    <n v="8"/>
    <n v="7"/>
    <s v="orange"/>
    <n v="0"/>
    <n v="1527"/>
    <s v="us"/>
    <n v="0"/>
    <n v="1.518"/>
    <n v="18"/>
    <s v="mww"/>
    <n v="21"/>
    <n v="37.897300000000001"/>
    <n v="26.795300000000001"/>
    <s v="N√©on Karlov√°sion, Greece"/>
    <x v="2"/>
    <x v="23"/>
    <n v="3"/>
    <n v="7"/>
    <n v="0"/>
    <n v="1.518"/>
    <n v="18"/>
    <n v="21"/>
    <n v="8"/>
    <n v="7"/>
    <n v="0"/>
    <n v="1527"/>
  </r>
  <r>
    <x v="309"/>
    <n v="6.5"/>
    <s v="26-07-2001 00:21"/>
    <n v="0"/>
    <n v="8"/>
    <m/>
    <n v="0"/>
    <n v="650"/>
    <s v="us"/>
    <n v="483"/>
    <n v="0"/>
    <n v="0"/>
    <s v="mwc"/>
    <n v="10"/>
    <n v="39.058999999999997"/>
    <n v="24.244"/>
    <s v="Sk√Ωros, Greece"/>
    <x v="2"/>
    <x v="23"/>
    <n v="3"/>
    <n v="6.5"/>
    <n v="483"/>
    <n v="0"/>
    <n v="0"/>
    <n v="10"/>
    <n v="0"/>
    <n v="8"/>
    <n v="0"/>
    <n v="650"/>
  </r>
  <r>
    <x v="310"/>
    <n v="6.6"/>
    <s v="30-10-2016 06:40"/>
    <n v="9"/>
    <n v="8"/>
    <s v="red"/>
    <n v="0"/>
    <n v="2840"/>
    <s v="us"/>
    <n v="0"/>
    <n v="0.17399999999999999"/>
    <n v="25"/>
    <s v="mww"/>
    <n v="8"/>
    <n v="42.862099999999998"/>
    <n v="13.0961"/>
    <s v="Preci, Italy"/>
    <x v="2"/>
    <x v="24"/>
    <n v="3"/>
    <n v="6.6"/>
    <n v="0"/>
    <n v="0.17399999999999999"/>
    <n v="25"/>
    <n v="8"/>
    <n v="9"/>
    <n v="8"/>
    <n v="0"/>
    <n v="2840"/>
  </r>
  <r>
    <x v="311"/>
    <n v="6.6"/>
    <s v="27-08-2019 23:55"/>
    <n v="0"/>
    <n v="4"/>
    <s v="green"/>
    <n v="1"/>
    <n v="670"/>
    <s v="us"/>
    <n v="0"/>
    <n v="12.896000000000001"/>
    <n v="19"/>
    <s v="mww"/>
    <n v="16"/>
    <n v="-60.215200000000003"/>
    <n v="-26.580100000000002"/>
    <s v="Bristol Island, South Sandwich Islands"/>
    <x v="2"/>
    <x v="25"/>
    <n v="3"/>
    <n v="6.6"/>
    <n v="0"/>
    <n v="12.896000000000001"/>
    <n v="19"/>
    <n v="16"/>
    <n v="0"/>
    <n v="4"/>
    <n v="1"/>
    <n v="670"/>
  </r>
  <r>
    <x v="312"/>
    <n v="6.5"/>
    <d v="2019-09-04T17:53:00"/>
    <n v="0"/>
    <n v="5"/>
    <s v="green"/>
    <n v="1"/>
    <n v="650"/>
    <s v="us"/>
    <n v="0"/>
    <n v="7.5679999999999996"/>
    <n v="18"/>
    <s v="mww"/>
    <n v="38"/>
    <n v="-58.626199999999997"/>
    <n v="-25.303999999999998"/>
    <s v="Bristol Island, South Sandwich Islands"/>
    <x v="2"/>
    <x v="25"/>
    <n v="3"/>
    <n v="6.5"/>
    <n v="0"/>
    <n v="7.5679999999999996"/>
    <n v="18"/>
    <n v="38"/>
    <n v="0"/>
    <n v="5"/>
    <n v="1"/>
    <n v="650"/>
  </r>
  <r>
    <x v="313"/>
    <n v="7.7"/>
    <s v="17-11-2013 09:04"/>
    <n v="1"/>
    <n v="8"/>
    <s v="green"/>
    <n v="1"/>
    <n v="912"/>
    <s v="us"/>
    <n v="0"/>
    <n v="8.0500000000000007"/>
    <n v="23"/>
    <s v="mww"/>
    <n v="10"/>
    <n v="-60.273800000000001"/>
    <n v="-46.4011"/>
    <s v="Scotia Sea"/>
    <x v="2"/>
    <x v="25"/>
    <n v="3"/>
    <n v="7.7"/>
    <n v="0"/>
    <n v="8.0500000000000007"/>
    <n v="23"/>
    <n v="10"/>
    <n v="1"/>
    <n v="8"/>
    <n v="1"/>
    <n v="912"/>
  </r>
  <r>
    <x v="314"/>
    <n v="7.6"/>
    <d v="2003-04-08T04:37:00"/>
    <n v="0"/>
    <n v="6"/>
    <m/>
    <n v="0"/>
    <n v="889"/>
    <s v="us"/>
    <n v="315"/>
    <n v="0"/>
    <n v="25.2"/>
    <s v="mwc"/>
    <n v="10"/>
    <n v="-60.531999999999996"/>
    <n v="-43.411000000000001"/>
    <s v="Scotia Sea"/>
    <x v="2"/>
    <x v="25"/>
    <n v="3"/>
    <n v="7.6"/>
    <n v="315"/>
    <n v="0"/>
    <n v="25.2"/>
    <n v="10"/>
    <n v="0"/>
    <n v="6"/>
    <n v="0"/>
    <n v="889"/>
  </r>
  <r>
    <x v="315"/>
    <n v="6.9"/>
    <s v="16-11-2013 03:34"/>
    <n v="0"/>
    <n v="5"/>
    <s v="green"/>
    <n v="1"/>
    <n v="732"/>
    <s v="us"/>
    <n v="0"/>
    <n v="8.2840000000000007"/>
    <n v="17"/>
    <s v="mww"/>
    <n v="9.9700000000000006"/>
    <n v="-60.262700000000002"/>
    <n v="-47.062100000000001"/>
    <s v="Scotia Sea"/>
    <x v="2"/>
    <x v="25"/>
    <n v="3"/>
    <n v="6.9"/>
    <n v="0"/>
    <n v="8.2840000000000007"/>
    <n v="17"/>
    <n v="9.9700000000000006"/>
    <n v="0"/>
    <n v="5"/>
    <n v="1"/>
    <n v="732"/>
  </r>
  <r>
    <x v="316"/>
    <n v="7.3"/>
    <s v="15-07-2013 14:03"/>
    <n v="0"/>
    <n v="6"/>
    <s v="green"/>
    <n v="1"/>
    <n v="820"/>
    <s v="us"/>
    <n v="398"/>
    <n v="0"/>
    <n v="43"/>
    <s v="mww"/>
    <n v="11"/>
    <n v="-60.856999999999999"/>
    <n v="-25.07"/>
    <s v="South Sandwich Islands region"/>
    <x v="2"/>
    <x v="25"/>
    <n v="3"/>
    <n v="7.3"/>
    <n v="398"/>
    <n v="0"/>
    <n v="43"/>
    <n v="11"/>
    <n v="0"/>
    <n v="6"/>
    <n v="1"/>
    <n v="820"/>
  </r>
  <r>
    <x v="317"/>
    <n v="6.5"/>
    <s v="16-07-2015 15:16"/>
    <n v="4"/>
    <n v="4"/>
    <s v="green"/>
    <n v="1"/>
    <n v="686"/>
    <s v="us"/>
    <n v="0"/>
    <n v="1.218"/>
    <n v="20"/>
    <s v="mww"/>
    <n v="20"/>
    <n v="13.8672"/>
    <n v="-58.547899999999998"/>
    <s v="Bathsheba, Barbados"/>
    <x v="3"/>
    <x v="26"/>
    <n v="4"/>
    <n v="6.5"/>
    <n v="0"/>
    <n v="1.218"/>
    <n v="20"/>
    <n v="20"/>
    <n v="4"/>
    <n v="4"/>
    <n v="1"/>
    <n v="686"/>
  </r>
  <r>
    <x v="318"/>
    <n v="6.5"/>
    <s v="18-02-2014 09:27"/>
    <n v="5"/>
    <n v="4"/>
    <s v="green"/>
    <n v="1"/>
    <n v="681"/>
    <s v="us"/>
    <n v="0"/>
    <n v="1.635"/>
    <n v="30"/>
    <s v="mww"/>
    <n v="14.83"/>
    <n v="14.668200000000001"/>
    <n v="-58.927199999999999"/>
    <s v="Greenland, Barbados"/>
    <x v="3"/>
    <x v="26"/>
    <n v="4"/>
    <n v="6.5"/>
    <n v="0"/>
    <n v="1.635"/>
    <n v="30"/>
    <n v="14.83"/>
    <n v="5"/>
    <n v="4"/>
    <n v="1"/>
    <n v="681"/>
  </r>
  <r>
    <x v="319"/>
    <n v="6.8"/>
    <s v="22-10-2018 06:16"/>
    <n v="4"/>
    <n v="4"/>
    <s v="green"/>
    <n v="1"/>
    <n v="776"/>
    <s v="us"/>
    <n v="0"/>
    <n v="1.5049999999999999"/>
    <n v="36"/>
    <s v="mww"/>
    <n v="10"/>
    <n v="49.334600000000002"/>
    <n v="-129.28899999999999"/>
    <s v="Port McNeill, Canada"/>
    <x v="3"/>
    <x v="27"/>
    <n v="4"/>
    <n v="6.8"/>
    <n v="0"/>
    <n v="1.5049999999999999"/>
    <n v="36"/>
    <n v="10"/>
    <n v="4"/>
    <n v="4"/>
    <n v="1"/>
    <n v="776"/>
  </r>
  <r>
    <x v="320"/>
    <n v="6.7"/>
    <d v="2004-02-11T10:02:00"/>
    <n v="7"/>
    <n v="4"/>
    <m/>
    <n v="0"/>
    <n v="703"/>
    <s v="us"/>
    <n v="459"/>
    <n v="0"/>
    <n v="37.299999999999997"/>
    <s v="mwb"/>
    <n v="10"/>
    <n v="49.277000000000001"/>
    <n v="-128.77199999999999"/>
    <s v="Port McNeill, Canada"/>
    <x v="3"/>
    <x v="27"/>
    <n v="4"/>
    <n v="6.7"/>
    <n v="459"/>
    <n v="0"/>
    <n v="37.299999999999997"/>
    <n v="10"/>
    <n v="7"/>
    <n v="4"/>
    <n v="0"/>
    <n v="703"/>
  </r>
  <r>
    <x v="321"/>
    <n v="6.5"/>
    <s v="22-10-2018 06:22"/>
    <n v="2"/>
    <n v="4"/>
    <s v="green"/>
    <n v="0"/>
    <n v="655"/>
    <s v="us"/>
    <n v="0"/>
    <n v="1.6919999999999999"/>
    <n v="68"/>
    <s v="mww"/>
    <n v="10"/>
    <n v="49.296999999999997"/>
    <n v="-129.72399999999999"/>
    <s v="Port McNeill, Canada"/>
    <x v="3"/>
    <x v="27"/>
    <n v="4"/>
    <n v="6.5"/>
    <n v="0"/>
    <n v="1.6919999999999999"/>
    <n v="68"/>
    <n v="10"/>
    <n v="2"/>
    <n v="4"/>
    <n v="0"/>
    <n v="655"/>
  </r>
  <r>
    <x v="322"/>
    <n v="6.5"/>
    <s v="22-10-2018 05:39"/>
    <n v="3"/>
    <n v="4"/>
    <s v="green"/>
    <n v="1"/>
    <n v="669"/>
    <s v="us"/>
    <n v="0"/>
    <n v="1.611"/>
    <n v="63"/>
    <s v="mww"/>
    <n v="10"/>
    <n v="49.258600000000001"/>
    <n v="-129.41200000000001"/>
    <s v="Port McNeill, Canada"/>
    <x v="3"/>
    <x v="27"/>
    <n v="4"/>
    <n v="6.5"/>
    <n v="0"/>
    <n v="1.611"/>
    <n v="63"/>
    <n v="10"/>
    <n v="3"/>
    <n v="4"/>
    <n v="1"/>
    <n v="669"/>
  </r>
  <r>
    <x v="323"/>
    <n v="7.8"/>
    <s v="28-10-2012 03:04"/>
    <n v="8"/>
    <n v="7"/>
    <m/>
    <n v="0"/>
    <n v="1726"/>
    <s v="us"/>
    <n v="807"/>
    <n v="0"/>
    <n v="42.7"/>
    <s v="mww"/>
    <n v="14"/>
    <n v="52.787999999999997"/>
    <n v="-132.101"/>
    <s v="Prince Rupert, Canada"/>
    <x v="3"/>
    <x v="27"/>
    <n v="4"/>
    <n v="7.8"/>
    <n v="807"/>
    <n v="0"/>
    <n v="42.7"/>
    <n v="14"/>
    <n v="8"/>
    <n v="7"/>
    <n v="0"/>
    <n v="1726"/>
  </r>
  <r>
    <x v="324"/>
    <n v="6.5"/>
    <s v="24-04-2014 03:10"/>
    <n v="4"/>
    <n v="6"/>
    <s v="green"/>
    <n v="1"/>
    <n v="838"/>
    <s v="us"/>
    <n v="0"/>
    <n v="0"/>
    <n v="0"/>
    <s v="mww"/>
    <n v="10"/>
    <n v="49.638800000000003"/>
    <n v="-127.732"/>
    <s v="Vernon, Canada"/>
    <x v="3"/>
    <x v="27"/>
    <n v="4"/>
    <n v="6.5"/>
    <n v="0"/>
    <n v="0"/>
    <n v="0"/>
    <n v="10"/>
    <n v="4"/>
    <n v="6"/>
    <n v="1"/>
    <n v="838"/>
  </r>
  <r>
    <x v="325"/>
    <n v="6.5"/>
    <s v="24-10-2012 00:45"/>
    <n v="6"/>
    <n v="6"/>
    <m/>
    <n v="0"/>
    <n v="745"/>
    <s v="us"/>
    <n v="691"/>
    <n v="0"/>
    <n v="34.4"/>
    <s v="mww"/>
    <n v="17"/>
    <n v="10.086"/>
    <n v="-85.298000000000002"/>
    <s v="Costa Rica"/>
    <x v="3"/>
    <x v="28"/>
    <n v="4"/>
    <n v="6.5"/>
    <n v="691"/>
    <n v="0"/>
    <n v="34.4"/>
    <n v="17"/>
    <n v="6"/>
    <n v="6"/>
    <n v="0"/>
    <n v="745"/>
  </r>
  <r>
    <x v="326"/>
    <n v="7.6"/>
    <d v="2012-05-09T14:42:00"/>
    <n v="8"/>
    <n v="7"/>
    <m/>
    <n v="0"/>
    <n v="1555"/>
    <s v="us"/>
    <n v="703"/>
    <n v="0"/>
    <n v="34.299999999999997"/>
    <s v="mww"/>
    <n v="35"/>
    <n v="10.085000000000001"/>
    <n v="-85.314999999999998"/>
    <s v="Hojancha, Costa Rica"/>
    <x v="3"/>
    <x v="28"/>
    <n v="4"/>
    <n v="7.6"/>
    <n v="703"/>
    <n v="0"/>
    <n v="34.299999999999997"/>
    <n v="35"/>
    <n v="8"/>
    <n v="7"/>
    <n v="0"/>
    <n v="1555"/>
  </r>
  <r>
    <x v="327"/>
    <n v="6.5"/>
    <s v="13-11-2017 02:28"/>
    <n v="8"/>
    <n v="8"/>
    <s v="yellow"/>
    <n v="1"/>
    <n v="1153"/>
    <s v="us"/>
    <n v="0"/>
    <n v="0.22500000000000001"/>
    <n v="37"/>
    <s v="mww"/>
    <n v="19.36"/>
    <n v="9.5146999999999995"/>
    <n v="-84.486500000000007"/>
    <s v="Parrita, Costa Rica"/>
    <x v="3"/>
    <x v="28"/>
    <n v="4"/>
    <n v="6.5"/>
    <n v="0"/>
    <n v="0.22500000000000001"/>
    <n v="37"/>
    <n v="19.36"/>
    <n v="8"/>
    <n v="8"/>
    <n v="1"/>
    <n v="1153"/>
  </r>
  <r>
    <x v="328"/>
    <n v="6.6"/>
    <s v="13-02-2001 14:22"/>
    <n v="0"/>
    <n v="8"/>
    <m/>
    <n v="0"/>
    <n v="670"/>
    <s v="us"/>
    <n v="273"/>
    <n v="0"/>
    <n v="0"/>
    <s v="mwc"/>
    <n v="10"/>
    <n v="13.670999999999999"/>
    <n v="-88.938000000000002"/>
    <s v="Cojutepeque, El Salvador"/>
    <x v="3"/>
    <x v="29"/>
    <n v="4"/>
    <n v="6.6"/>
    <n v="273"/>
    <n v="0"/>
    <n v="0"/>
    <n v="10"/>
    <n v="0"/>
    <n v="8"/>
    <n v="0"/>
    <n v="670"/>
  </r>
  <r>
    <x v="329"/>
    <n v="7.3"/>
    <s v="14-10-2014 03:51"/>
    <n v="8"/>
    <n v="6"/>
    <s v="yellow"/>
    <n v="1"/>
    <n v="982"/>
    <s v="us"/>
    <n v="0"/>
    <n v="1.0780000000000001"/>
    <n v="18"/>
    <s v="mww"/>
    <n v="40"/>
    <n v="12.526199999999999"/>
    <n v="-88.122500000000002"/>
    <s v="Intipuc√°, El Salvador"/>
    <x v="3"/>
    <x v="29"/>
    <n v="4"/>
    <n v="7.3"/>
    <n v="0"/>
    <n v="1.0780000000000001"/>
    <n v="18"/>
    <n v="40"/>
    <n v="8"/>
    <n v="6"/>
    <n v="1"/>
    <n v="982"/>
  </r>
  <r>
    <x v="330"/>
    <n v="6.6"/>
    <s v="30-05-2019 09:03"/>
    <n v="7"/>
    <n v="6"/>
    <s v="yellow"/>
    <n v="1"/>
    <n v="886"/>
    <s v="us"/>
    <n v="0"/>
    <n v="1.1930000000000001"/>
    <n v="22"/>
    <s v="mww"/>
    <n v="57.92"/>
    <n v="13.199400000000001"/>
    <n v="-89.305599999999998"/>
    <s v="La Libertad, El Salvador"/>
    <x v="3"/>
    <x v="29"/>
    <n v="4"/>
    <n v="6.6"/>
    <n v="0"/>
    <n v="1.1930000000000001"/>
    <n v="22"/>
    <n v="57.92"/>
    <n v="7"/>
    <n v="6"/>
    <n v="1"/>
    <n v="886"/>
  </r>
  <r>
    <x v="331"/>
    <n v="7.7"/>
    <s v="13-01-2001 17:33"/>
    <n v="0"/>
    <n v="8"/>
    <m/>
    <n v="0"/>
    <n v="912"/>
    <s v="us"/>
    <n v="427"/>
    <n v="0"/>
    <n v="0"/>
    <s v="mwc"/>
    <n v="60"/>
    <n v="13.048999999999999"/>
    <n v="-88.66"/>
    <s v="Puerto El Triunfo, El Salvador"/>
    <x v="3"/>
    <x v="29"/>
    <n v="4"/>
    <n v="7.7"/>
    <n v="427"/>
    <n v="0"/>
    <n v="0"/>
    <n v="60"/>
    <n v="0"/>
    <n v="8"/>
    <n v="0"/>
    <n v="912"/>
  </r>
  <r>
    <x v="332"/>
    <n v="7.3"/>
    <s v="27-08-2012 04:37"/>
    <n v="5"/>
    <n v="5"/>
    <m/>
    <n v="0"/>
    <n v="994"/>
    <s v="us"/>
    <n v="417"/>
    <n v="0"/>
    <n v="37"/>
    <s v="mww"/>
    <n v="28"/>
    <n v="12.138999999999999"/>
    <n v="-88.59"/>
    <s v="Puerto El Triunfo, El Salvador"/>
    <x v="3"/>
    <x v="29"/>
    <n v="4"/>
    <n v="7.3"/>
    <n v="417"/>
    <n v="0"/>
    <n v="37"/>
    <n v="28"/>
    <n v="5"/>
    <n v="5"/>
    <n v="0"/>
    <n v="994"/>
  </r>
  <r>
    <x v="333"/>
    <n v="6.9"/>
    <s v="24-11-2016 18:43"/>
    <n v="5"/>
    <n v="4"/>
    <s v="green"/>
    <n v="1"/>
    <n v="855"/>
    <s v="us"/>
    <n v="0"/>
    <n v="1.796"/>
    <n v="20"/>
    <s v="mww"/>
    <n v="10"/>
    <n v="11.909700000000001"/>
    <n v="-88.896799999999999"/>
    <s v="Puerto El Triunfo, El Salvador"/>
    <x v="3"/>
    <x v="29"/>
    <n v="4"/>
    <n v="6.9"/>
    <n v="0"/>
    <n v="1.796"/>
    <n v="20"/>
    <n v="10"/>
    <n v="5"/>
    <n v="4"/>
    <n v="1"/>
    <n v="855"/>
  </r>
  <r>
    <x v="334"/>
    <n v="7.4"/>
    <d v="2012-07-11T16:35:00"/>
    <n v="8"/>
    <n v="7"/>
    <s v="yellow"/>
    <n v="0"/>
    <n v="1455"/>
    <s v="us"/>
    <n v="751"/>
    <n v="0"/>
    <n v="25.5"/>
    <s v="mww"/>
    <n v="24"/>
    <n v="13.988"/>
    <n v="-91.894999999999996"/>
    <s v="Champerico, Guatemala"/>
    <x v="3"/>
    <x v="30"/>
    <n v="4"/>
    <n v="7.4"/>
    <n v="751"/>
    <n v="0"/>
    <n v="25.5"/>
    <n v="24"/>
    <n v="8"/>
    <n v="7"/>
    <n v="0"/>
    <n v="1455"/>
  </r>
  <r>
    <x v="335"/>
    <n v="6.5"/>
    <d v="2012-11-11T22:14:00"/>
    <n v="4"/>
    <n v="5"/>
    <m/>
    <n v="0"/>
    <n v="708"/>
    <s v="us"/>
    <n v="598"/>
    <n v="0"/>
    <n v="57.3"/>
    <s v="mww"/>
    <n v="20"/>
    <n v="14.129"/>
    <n v="-92.164000000000001"/>
    <s v="Champerico, Guatemala"/>
    <x v="3"/>
    <x v="30"/>
    <n v="4"/>
    <n v="6.5"/>
    <n v="598"/>
    <n v="0"/>
    <n v="57.3"/>
    <n v="20"/>
    <n v="4"/>
    <n v="5"/>
    <n v="0"/>
    <n v="708"/>
  </r>
  <r>
    <x v="336"/>
    <n v="6.5"/>
    <s v="21-01-2003 02:46"/>
    <n v="0"/>
    <n v="6"/>
    <m/>
    <n v="0"/>
    <n v="650"/>
    <s v="us"/>
    <n v="316"/>
    <n v="0"/>
    <n v="0"/>
    <s v="mwc"/>
    <n v="24"/>
    <n v="13.625999999999999"/>
    <n v="-90.774000000000001"/>
    <s v="Puerto San Jos√©, Guatemala"/>
    <x v="3"/>
    <x v="30"/>
    <n v="4"/>
    <n v="6.5"/>
    <n v="316"/>
    <n v="0"/>
    <n v="0"/>
    <n v="24"/>
    <n v="0"/>
    <n v="6"/>
    <n v="0"/>
    <n v="650"/>
  </r>
  <r>
    <x v="337"/>
    <n v="6.9"/>
    <s v="14-06-2017 07:29"/>
    <n v="8"/>
    <n v="6"/>
    <s v="yellow"/>
    <n v="1"/>
    <n v="1188"/>
    <s v="us"/>
    <n v="0"/>
    <n v="0.247"/>
    <n v="35"/>
    <s v="mww"/>
    <n v="93"/>
    <n v="14.9091"/>
    <n v="-92.009200000000007"/>
    <s v="San Pablo, Guatemala"/>
    <x v="3"/>
    <x v="30"/>
    <n v="4"/>
    <n v="6.9"/>
    <n v="0"/>
    <n v="0.247"/>
    <n v="35"/>
    <n v="93"/>
    <n v="8"/>
    <n v="6"/>
    <n v="1"/>
    <n v="1188"/>
  </r>
  <r>
    <x v="338"/>
    <n v="7"/>
    <d v="2010-12-01T21:53:00"/>
    <n v="9"/>
    <n v="9"/>
    <m/>
    <n v="0"/>
    <n v="1623"/>
    <s v="us"/>
    <n v="500"/>
    <n v="0"/>
    <n v="22.7"/>
    <s v="mwc"/>
    <n v="13"/>
    <n v="18.443000000000001"/>
    <n v="-72.570999999999998"/>
    <s v="L√©og√¢ne, Haiti"/>
    <x v="3"/>
    <x v="31"/>
    <n v="4"/>
    <n v="7"/>
    <n v="500"/>
    <n v="0"/>
    <n v="22.7"/>
    <n v="13"/>
    <n v="9"/>
    <n v="9"/>
    <n v="0"/>
    <n v="1623"/>
  </r>
  <r>
    <x v="339"/>
    <n v="7.2"/>
    <s v="14-08-2021 12:29"/>
    <n v="9"/>
    <n v="8"/>
    <s v="red"/>
    <n v="1"/>
    <n v="2331"/>
    <s v="us"/>
    <n v="0"/>
    <n v="1.1779999999999999"/>
    <n v="23"/>
    <s v="mww"/>
    <n v="10"/>
    <n v="18.3521"/>
    <n v="-73.480400000000003"/>
    <s v="Nippes, Haiti"/>
    <x v="3"/>
    <x v="31"/>
    <n v="4"/>
    <n v="7.2"/>
    <n v="0"/>
    <n v="1.1779999999999999"/>
    <n v="23"/>
    <n v="10"/>
    <n v="9"/>
    <n v="8"/>
    <n v="1"/>
    <n v="2331"/>
  </r>
  <r>
    <x v="340"/>
    <n v="7.5"/>
    <d v="2018-10-01T02:51:00"/>
    <n v="8"/>
    <n v="5"/>
    <s v="green"/>
    <n v="1"/>
    <n v="1623"/>
    <s v="us"/>
    <n v="0"/>
    <n v="4.5810000000000004"/>
    <n v="12"/>
    <s v="mww"/>
    <n v="19"/>
    <n v="17.482500000000002"/>
    <n v="-83.52"/>
    <s v="Barra Patuca, Honduras"/>
    <x v="3"/>
    <x v="32"/>
    <n v="4"/>
    <n v="7.5"/>
    <n v="0"/>
    <n v="4.5810000000000004"/>
    <n v="12"/>
    <n v="19"/>
    <n v="8"/>
    <n v="5"/>
    <n v="1"/>
    <n v="1623"/>
  </r>
  <r>
    <x v="341"/>
    <n v="7.3"/>
    <s v="28-05-2009 08:24"/>
    <n v="7"/>
    <n v="8"/>
    <m/>
    <n v="0"/>
    <n v="1560"/>
    <s v="us"/>
    <n v="464"/>
    <n v="0"/>
    <n v="27.2"/>
    <s v="mwc"/>
    <n v="19"/>
    <n v="16.731000000000002"/>
    <n v="-86.216999999999999"/>
    <s v="Guanaja, Honduras"/>
    <x v="3"/>
    <x v="32"/>
    <n v="4"/>
    <n v="7.3"/>
    <n v="464"/>
    <n v="0"/>
    <n v="27.2"/>
    <n v="19"/>
    <n v="7"/>
    <n v="8"/>
    <n v="0"/>
    <n v="1560"/>
  </r>
  <r>
    <x v="342"/>
    <n v="7.7"/>
    <s v="28-01-2020 19:10"/>
    <n v="9"/>
    <n v="6"/>
    <s v="yellow"/>
    <n v="1"/>
    <n v="1812"/>
    <s v="us"/>
    <n v="0"/>
    <n v="1.657"/>
    <n v="26"/>
    <s v="mww"/>
    <n v="14.86"/>
    <n v="19.4193"/>
    <n v="-78.756"/>
    <s v="Lucea, Jamaica"/>
    <x v="3"/>
    <x v="33"/>
    <n v="4"/>
    <n v="7.7"/>
    <n v="0"/>
    <n v="1.657"/>
    <n v="26"/>
    <n v="14.86"/>
    <n v="9"/>
    <n v="6"/>
    <n v="1"/>
    <n v="1812"/>
  </r>
  <r>
    <x v="343"/>
    <n v="7.4"/>
    <s v="29-11-2007 19:00"/>
    <n v="7"/>
    <n v="7"/>
    <m/>
    <n v="0"/>
    <n v="1542"/>
    <s v="us"/>
    <n v="663"/>
    <n v="0"/>
    <n v="13.4"/>
    <s v="mwb"/>
    <n v="156"/>
    <n v="14.944000000000001"/>
    <n v="-61.274000000000001"/>
    <s v="Basse-Pointe, Martinique"/>
    <x v="3"/>
    <x v="34"/>
    <n v="4"/>
    <n v="7.4"/>
    <n v="663"/>
    <n v="0"/>
    <n v="13.4"/>
    <n v="156"/>
    <n v="7"/>
    <n v="7"/>
    <n v="0"/>
    <n v="1542"/>
  </r>
  <r>
    <x v="344"/>
    <n v="7"/>
    <d v="2021-08-09T01:47:00"/>
    <n v="8"/>
    <n v="8"/>
    <s v="red"/>
    <n v="1"/>
    <n v="2504"/>
    <s v="us"/>
    <n v="0"/>
    <n v="7.0000000000000007E-2"/>
    <n v="43"/>
    <s v="mww"/>
    <n v="20"/>
    <n v="16.950199999999999"/>
    <n v="-99.787700000000001"/>
    <s v="Acapulco, Mexico"/>
    <x v="3"/>
    <x v="35"/>
    <n v="4"/>
    <n v="7"/>
    <n v="0"/>
    <n v="7.0000000000000007E-2"/>
    <n v="43"/>
    <n v="20"/>
    <n v="8"/>
    <n v="8"/>
    <n v="1"/>
    <n v="2504"/>
  </r>
  <r>
    <x v="345"/>
    <n v="7.6"/>
    <s v="19-09-2022 18:05"/>
    <n v="9"/>
    <n v="8"/>
    <s v="yellow"/>
    <n v="1"/>
    <n v="1799"/>
    <s v="us"/>
    <n v="271"/>
    <n v="1.153"/>
    <n v="69"/>
    <s v="mww"/>
    <n v="26.943000000000001"/>
    <n v="18.366700000000002"/>
    <n v="-103.252"/>
    <s v="Aguililla, Mexico"/>
    <x v="3"/>
    <x v="35"/>
    <n v="4"/>
    <n v="7.6"/>
    <n v="271"/>
    <n v="1.153"/>
    <n v="69"/>
    <n v="26.943000000000001"/>
    <n v="9"/>
    <n v="8"/>
    <n v="1"/>
    <n v="1799"/>
  </r>
  <r>
    <x v="346"/>
    <n v="6.8"/>
    <s v="22-09-2022 06:16"/>
    <n v="8"/>
    <n v="7"/>
    <s v="yellow"/>
    <n v="1"/>
    <n v="1179"/>
    <s v="us"/>
    <n v="175"/>
    <n v="2.137"/>
    <n v="92"/>
    <s v="mww"/>
    <n v="20"/>
    <n v="18.329999999999998"/>
    <n v="-102.913"/>
    <s v="Aguililla, Mexico"/>
    <x v="3"/>
    <x v="35"/>
    <n v="4"/>
    <n v="6.8"/>
    <n v="175"/>
    <n v="2.137"/>
    <n v="92"/>
    <n v="20"/>
    <n v="8"/>
    <n v="7"/>
    <n v="1"/>
    <n v="1179"/>
  </r>
  <r>
    <x v="347"/>
    <n v="6.9"/>
    <d v="2009-03-08T17:59:00"/>
    <n v="5"/>
    <n v="7"/>
    <m/>
    <n v="0"/>
    <n v="1202"/>
    <s v="us"/>
    <n v="243"/>
    <n v="0"/>
    <n v="35"/>
    <s v="mwc"/>
    <n v="10"/>
    <n v="29.039000000000001"/>
    <n v="-112.90300000000001"/>
    <s v="Bah√≠a de Kino, Mexico"/>
    <x v="3"/>
    <x v="35"/>
    <n v="4"/>
    <n v="6.9"/>
    <n v="243"/>
    <n v="0"/>
    <n v="35"/>
    <n v="10"/>
    <n v="5"/>
    <n v="7"/>
    <n v="0"/>
    <n v="1202"/>
  </r>
  <r>
    <x v="348"/>
    <n v="6.6"/>
    <d v="2006-04-01T08:32:00"/>
    <n v="7"/>
    <n v="6"/>
    <m/>
    <n v="0"/>
    <n v="703"/>
    <s v="us"/>
    <n v="323"/>
    <n v="0"/>
    <n v="48.2"/>
    <s v="mwc"/>
    <n v="14"/>
    <n v="28.164000000000001"/>
    <n v="-112.117"/>
    <s v="Bah√≠a de Kino, Mexico"/>
    <x v="3"/>
    <x v="35"/>
    <n v="4"/>
    <n v="6.6"/>
    <n v="323"/>
    <n v="0"/>
    <n v="48.2"/>
    <n v="14"/>
    <n v="7"/>
    <n v="6"/>
    <n v="0"/>
    <n v="703"/>
  </r>
  <r>
    <x v="349"/>
    <n v="6.7"/>
    <s v="16-10-2008 19:41"/>
    <n v="5"/>
    <n v="6"/>
    <m/>
    <n v="0"/>
    <n v="731"/>
    <s v="us"/>
    <n v="481"/>
    <n v="0"/>
    <n v="28.6"/>
    <s v="mwc"/>
    <n v="24"/>
    <n v="14.423"/>
    <n v="-92.364000000000004"/>
    <s v="Brisas Barra de Suchiate, Mexico"/>
    <x v="3"/>
    <x v="35"/>
    <n v="4"/>
    <n v="6.7"/>
    <n v="481"/>
    <n v="0"/>
    <n v="28.6"/>
    <n v="24"/>
    <n v="5"/>
    <n v="6"/>
    <n v="0"/>
    <n v="731"/>
  </r>
  <r>
    <x v="350"/>
    <n v="8.1999999999999993"/>
    <d v="2017-08-09T04:49:00"/>
    <n v="9"/>
    <n v="7"/>
    <s v="red"/>
    <n v="1"/>
    <n v="2910"/>
    <s v="us"/>
    <n v="0"/>
    <n v="0.94399999999999995"/>
    <n v="22"/>
    <s v="mww"/>
    <n v="47.39"/>
    <n v="15.0222"/>
    <n v="-93.899299999999997"/>
    <s v="Chiapas, Mexico"/>
    <x v="3"/>
    <x v="35"/>
    <n v="4"/>
    <n v="8.1999999999999993"/>
    <n v="0"/>
    <n v="0.94399999999999995"/>
    <n v="22"/>
    <n v="47.39"/>
    <n v="9"/>
    <n v="7"/>
    <n v="1"/>
    <n v="2910"/>
  </r>
  <r>
    <x v="351"/>
    <n v="7.2"/>
    <s v="18-04-2014 14:27"/>
    <n v="8"/>
    <n v="7"/>
    <s v="yellow"/>
    <n v="1"/>
    <n v="1017"/>
    <s v="us"/>
    <n v="0"/>
    <n v="2.25"/>
    <n v="46"/>
    <s v="mww"/>
    <n v="24"/>
    <n v="17.396999999999998"/>
    <n v="-100.97199999999999"/>
    <s v="Coyuquilla Norte, Mexico"/>
    <x v="3"/>
    <x v="35"/>
    <n v="4"/>
    <n v="7.2"/>
    <n v="0"/>
    <n v="2.25"/>
    <n v="46"/>
    <n v="24"/>
    <n v="8"/>
    <n v="7"/>
    <n v="1"/>
    <n v="1017"/>
  </r>
  <r>
    <x v="352"/>
    <n v="7.6"/>
    <s v="22-01-2003 02:06"/>
    <n v="0"/>
    <n v="7"/>
    <m/>
    <n v="0"/>
    <n v="889"/>
    <s v="us"/>
    <n v="551"/>
    <n v="0"/>
    <n v="0"/>
    <s v="mwb"/>
    <n v="24"/>
    <n v="18.77"/>
    <n v="-104.104"/>
    <s v="Cuyutl√°n, Mexico"/>
    <x v="3"/>
    <x v="35"/>
    <n v="4"/>
    <n v="7.6"/>
    <n v="551"/>
    <n v="0"/>
    <n v="0"/>
    <n v="24"/>
    <n v="0"/>
    <n v="7"/>
    <n v="0"/>
    <n v="889"/>
  </r>
  <r>
    <x v="353"/>
    <n v="7.2"/>
    <d v="2010-04-04T22:40:00"/>
    <n v="9"/>
    <n v="9"/>
    <s v="red"/>
    <n v="0"/>
    <n v="2910"/>
    <s v="ci"/>
    <n v="10"/>
    <n v="0.51370000000000005"/>
    <n v="239"/>
    <s v="mw"/>
    <n v="9.9870000000000001"/>
    <n v="32.286200000000001"/>
    <n v="-115.295"/>
    <s v="Delta, B.C., MX"/>
    <x v="3"/>
    <x v="35"/>
    <n v="4"/>
    <n v="7.2"/>
    <n v="10"/>
    <n v="0.51370000000000005"/>
    <n v="239"/>
    <n v="9.9870000000000001"/>
    <n v="9"/>
    <n v="9"/>
    <n v="0"/>
    <n v="2910"/>
  </r>
  <r>
    <x v="354"/>
    <n v="6.5"/>
    <d v="2012-11-04T22:55:00"/>
    <n v="7"/>
    <n v="6"/>
    <m/>
    <n v="0"/>
    <n v="1171"/>
    <s v="us"/>
    <n v="599"/>
    <n v="0"/>
    <n v="54.1"/>
    <s v="mwb"/>
    <n v="20"/>
    <n v="18.228999999999999"/>
    <n v="-102.68899999999999"/>
    <s v="El Habillal, Mexico"/>
    <x v="3"/>
    <x v="35"/>
    <n v="4"/>
    <n v="6.5"/>
    <n v="599"/>
    <n v="0"/>
    <n v="54.1"/>
    <n v="20"/>
    <n v="7"/>
    <n v="6"/>
    <n v="0"/>
    <n v="1171"/>
  </r>
  <r>
    <x v="355"/>
    <n v="6.7"/>
    <s v="21-10-2010 17:53"/>
    <n v="5"/>
    <n v="5"/>
    <m/>
    <n v="0"/>
    <n v="776"/>
    <s v="us"/>
    <n v="352"/>
    <n v="0"/>
    <n v="50.3"/>
    <s v="mwc"/>
    <n v="13"/>
    <n v="24.696000000000002"/>
    <n v="-109.15600000000001"/>
    <s v="El Huitusi, Mexico"/>
    <x v="3"/>
    <x v="35"/>
    <n v="4"/>
    <n v="6.7"/>
    <n v="352"/>
    <n v="0"/>
    <n v="50.3"/>
    <n v="13"/>
    <n v="5"/>
    <n v="5"/>
    <n v="0"/>
    <n v="776"/>
  </r>
  <r>
    <x v="356"/>
    <n v="6.6"/>
    <s v="19-10-2013 17:54"/>
    <n v="8"/>
    <n v="5"/>
    <s v="green"/>
    <n v="1"/>
    <n v="692"/>
    <s v="us"/>
    <n v="0"/>
    <n v="1.98"/>
    <n v="44"/>
    <s v="mww"/>
    <n v="9.4499999999999993"/>
    <n v="26.0913"/>
    <n v="-110.321"/>
    <s v="Etchoropo, Mexico"/>
    <x v="3"/>
    <x v="35"/>
    <n v="4"/>
    <n v="6.6"/>
    <n v="0"/>
    <n v="1.98"/>
    <n v="44"/>
    <n v="9.4499999999999993"/>
    <n v="8"/>
    <n v="5"/>
    <n v="1"/>
    <n v="692"/>
  </r>
  <r>
    <x v="357"/>
    <n v="6.5"/>
    <d v="2008-12-02T12:50:00"/>
    <n v="7"/>
    <n v="6"/>
    <m/>
    <n v="0"/>
    <n v="723"/>
    <s v="us"/>
    <n v="521"/>
    <n v="0"/>
    <n v="27.6"/>
    <s v="mwc"/>
    <n v="83"/>
    <n v="16.356999999999999"/>
    <n v="-94.304000000000002"/>
    <s v="General Pascual Fentes, Mexico"/>
    <x v="3"/>
    <x v="35"/>
    <n v="4"/>
    <n v="6.5"/>
    <n v="521"/>
    <n v="0"/>
    <n v="27.6"/>
    <n v="83"/>
    <n v="7"/>
    <n v="6"/>
    <n v="0"/>
    <n v="723"/>
  </r>
  <r>
    <x v="358"/>
    <n v="6.6"/>
    <d v="2011-07-04T13:11:00"/>
    <n v="7"/>
    <n v="6"/>
    <m/>
    <n v="0"/>
    <n v="897"/>
    <s v="us"/>
    <n v="518"/>
    <n v="0"/>
    <n v="37.200000000000003"/>
    <s v="mww"/>
    <n v="166.2"/>
    <n v="17.207999999999998"/>
    <n v="-94.337999999999994"/>
    <s v="Helio Garc√≠a Alfaro, Mexico"/>
    <x v="3"/>
    <x v="35"/>
    <n v="4"/>
    <n v="6.6"/>
    <n v="518"/>
    <n v="0"/>
    <n v="37.200000000000003"/>
    <n v="166.2"/>
    <n v="7"/>
    <n v="6"/>
    <n v="0"/>
    <n v="897"/>
  </r>
  <r>
    <x v="359"/>
    <n v="6.6"/>
    <s v="21-01-2016 18:06"/>
    <n v="3"/>
    <n v="4"/>
    <s v="green"/>
    <n v="1"/>
    <n v="673"/>
    <s v="us"/>
    <n v="0"/>
    <n v="2.4129999999999998"/>
    <n v="74"/>
    <s v="mww"/>
    <n v="10"/>
    <n v="18.823899999999998"/>
    <n v="-106.934"/>
    <s v="La Cruz de Loreto, Mexico"/>
    <x v="3"/>
    <x v="35"/>
    <n v="4"/>
    <n v="6.6"/>
    <n v="0"/>
    <n v="2.4129999999999998"/>
    <n v="74"/>
    <n v="10"/>
    <n v="3"/>
    <n v="4"/>
    <n v="1"/>
    <n v="673"/>
  </r>
  <r>
    <x v="360"/>
    <n v="6.6"/>
    <s v="17-12-2015 19:49"/>
    <n v="8"/>
    <n v="6"/>
    <s v="green"/>
    <n v="1"/>
    <n v="765"/>
    <s v="us"/>
    <n v="0"/>
    <n v="0.41"/>
    <n v="35"/>
    <s v="mww"/>
    <n v="85"/>
    <n v="15.801500000000001"/>
    <n v="-93.632999999999996"/>
    <s v="Manuel √Åvila Camacho (Ponte Duro), Mexico"/>
    <x v="3"/>
    <x v="35"/>
    <n v="4"/>
    <n v="6.6"/>
    <n v="0"/>
    <n v="0.41"/>
    <n v="35"/>
    <n v="85"/>
    <n v="8"/>
    <n v="6"/>
    <n v="1"/>
    <n v="765"/>
  </r>
  <r>
    <x v="361"/>
    <n v="7.1"/>
    <s v="19-09-2017 18:14"/>
    <n v="9"/>
    <n v="8"/>
    <m/>
    <n v="0"/>
    <n v="1686"/>
    <s v="us"/>
    <n v="0"/>
    <n v="0.98399999999999999"/>
    <n v="23"/>
    <s v="mww"/>
    <n v="48"/>
    <n v="18.549900000000001"/>
    <n v="-98.488699999999994"/>
    <s v="Matzaco, Mexico"/>
    <x v="3"/>
    <x v="35"/>
    <n v="4"/>
    <n v="7.1"/>
    <n v="0"/>
    <n v="0.98399999999999999"/>
    <n v="23"/>
    <n v="48"/>
    <n v="9"/>
    <n v="8"/>
    <n v="0"/>
    <n v="1686"/>
  </r>
  <r>
    <x v="362"/>
    <n v="6.5"/>
    <d v="2011-11-12T01:47:00"/>
    <n v="8"/>
    <n v="7"/>
    <m/>
    <n v="0"/>
    <n v="1400"/>
    <s v="us"/>
    <n v="578"/>
    <n v="0"/>
    <n v="38.6"/>
    <s v="mww"/>
    <n v="59"/>
    <n v="17.986000000000001"/>
    <n v="-99.789000000000001"/>
    <s v="Nuevo Balsas, Mexico"/>
    <x v="3"/>
    <x v="35"/>
    <n v="4"/>
    <n v="6.5"/>
    <n v="578"/>
    <n v="0"/>
    <n v="38.6"/>
    <n v="59"/>
    <n v="8"/>
    <n v="7"/>
    <n v="0"/>
    <n v="1400"/>
  </r>
  <r>
    <x v="363"/>
    <n v="6.8"/>
    <s v="18-04-2002 05:02"/>
    <n v="0"/>
    <n v="6"/>
    <m/>
    <n v="0"/>
    <n v="711"/>
    <s v="us"/>
    <n v="292"/>
    <n v="0"/>
    <n v="0"/>
    <s v="mwc"/>
    <n v="24.9"/>
    <n v="16.984999999999999"/>
    <n v="-100.86499999999999"/>
    <s v="Nuxco, Mexico"/>
    <x v="3"/>
    <x v="35"/>
    <n v="4"/>
    <n v="6.8"/>
    <n v="292"/>
    <n v="0"/>
    <n v="0"/>
    <n v="24.9"/>
    <n v="0"/>
    <n v="6"/>
    <n v="0"/>
    <n v="711"/>
  </r>
  <r>
    <x v="364"/>
    <n v="7.2"/>
    <s v="16-02-2018 23:39"/>
    <n v="7"/>
    <n v="7"/>
    <s v="yellow"/>
    <n v="1"/>
    <n v="1384"/>
    <s v="us"/>
    <n v="0"/>
    <n v="0.14199999999999999"/>
    <n v="82"/>
    <s v="mww"/>
    <n v="22"/>
    <n v="16.3855"/>
    <n v="-97.978700000000003"/>
    <s v="Pinotepa de Don Luis, Mexico"/>
    <x v="3"/>
    <x v="35"/>
    <n v="4"/>
    <n v="7.2"/>
    <n v="0"/>
    <n v="0.14199999999999999"/>
    <n v="82"/>
    <n v="22"/>
    <n v="7"/>
    <n v="7"/>
    <n v="1"/>
    <n v="1384"/>
  </r>
  <r>
    <x v="365"/>
    <n v="6.9"/>
    <d v="2014-07-07T11:23:00"/>
    <n v="8"/>
    <n v="7"/>
    <s v="orange"/>
    <n v="1"/>
    <n v="1079"/>
    <s v="us"/>
    <n v="0"/>
    <n v="0.26300000000000001"/>
    <n v="51"/>
    <s v="mww"/>
    <n v="53"/>
    <n v="14.724"/>
    <n v="-92.461399999999998"/>
    <s v="Puerto Madero, Mexico"/>
    <x v="3"/>
    <x v="35"/>
    <n v="4"/>
    <n v="6.9"/>
    <n v="0"/>
    <n v="0.26300000000000001"/>
    <n v="51"/>
    <n v="53"/>
    <n v="8"/>
    <n v="7"/>
    <n v="1"/>
    <n v="1079"/>
  </r>
  <r>
    <x v="366"/>
    <n v="6.7"/>
    <d v="2019-01-02T16:14:00"/>
    <n v="6"/>
    <n v="6"/>
    <s v="yellow"/>
    <n v="1"/>
    <n v="909"/>
    <s v="us"/>
    <n v="0"/>
    <n v="0.28899999999999998"/>
    <n v="43"/>
    <s v="mww"/>
    <n v="66"/>
    <n v="14.680199999999999"/>
    <n v="-92.452699999999993"/>
    <s v="Puerto Madero, Mexico"/>
    <x v="3"/>
    <x v="35"/>
    <n v="4"/>
    <n v="6.7"/>
    <n v="0"/>
    <n v="0.28899999999999998"/>
    <n v="43"/>
    <n v="66"/>
    <n v="6"/>
    <n v="6"/>
    <n v="1"/>
    <n v="909"/>
  </r>
  <r>
    <x v="367"/>
    <n v="7"/>
    <d v="2012-12-04T07:15:00"/>
    <n v="7"/>
    <n v="7"/>
    <m/>
    <n v="0"/>
    <n v="1000"/>
    <s v="us"/>
    <n v="474"/>
    <n v="0"/>
    <n v="95.9"/>
    <s v="mww"/>
    <n v="13"/>
    <n v="28.696000000000002"/>
    <n v="-113.104"/>
    <s v="San Luis, Mexico"/>
    <x v="3"/>
    <x v="35"/>
    <n v="4"/>
    <n v="7"/>
    <n v="474"/>
    <n v="0"/>
    <n v="95.9"/>
    <n v="13"/>
    <n v="7"/>
    <n v="7"/>
    <n v="0"/>
    <n v="1000"/>
  </r>
  <r>
    <x v="368"/>
    <n v="7.4"/>
    <s v="23-06-2020 15:29"/>
    <n v="8"/>
    <n v="8"/>
    <s v="orange"/>
    <n v="1"/>
    <n v="1494"/>
    <s v="us"/>
    <n v="0"/>
    <n v="0.151"/>
    <n v="30"/>
    <s v="mww"/>
    <n v="20"/>
    <n v="15.9163"/>
    <n v="-95.953299999999999"/>
    <s v="Santa Mar√≠a Xadani, Mexico"/>
    <x v="3"/>
    <x v="35"/>
    <n v="4"/>
    <n v="7.4"/>
    <n v="0"/>
    <n v="0.151"/>
    <n v="30"/>
    <n v="20"/>
    <n v="8"/>
    <n v="8"/>
    <n v="1"/>
    <n v="1494"/>
  </r>
  <r>
    <x v="369"/>
    <n v="7.4"/>
    <s v="20-03-2012 18:02"/>
    <n v="9"/>
    <n v="8"/>
    <m/>
    <n v="0"/>
    <n v="1752"/>
    <s v="us"/>
    <n v="672"/>
    <n v="0"/>
    <n v="37.9"/>
    <s v="mww"/>
    <n v="20"/>
    <n v="16.492999999999999"/>
    <n v="-98.230999999999995"/>
    <s v="Santiago Llano Grande, Mexico"/>
    <x v="3"/>
    <x v="35"/>
    <n v="4"/>
    <n v="7.4"/>
    <n v="672"/>
    <n v="0"/>
    <n v="37.9"/>
    <n v="20"/>
    <n v="9"/>
    <n v="8"/>
    <n v="0"/>
    <n v="1752"/>
  </r>
  <r>
    <x v="370"/>
    <n v="6.7"/>
    <s v="13-09-2015 08:14"/>
    <n v="5"/>
    <n v="5"/>
    <s v="green"/>
    <n v="1"/>
    <n v="708"/>
    <s v="us"/>
    <n v="0"/>
    <n v="1.256"/>
    <n v="123"/>
    <s v="mww"/>
    <n v="10"/>
    <n v="24.913"/>
    <n v="-109.623"/>
    <s v="Topolobampo, Mexico"/>
    <x v="3"/>
    <x v="35"/>
    <n v="4"/>
    <n v="6.7"/>
    <n v="0"/>
    <n v="1.256"/>
    <n v="123"/>
    <n v="10"/>
    <n v="5"/>
    <n v="5"/>
    <n v="1"/>
    <n v="708"/>
  </r>
  <r>
    <x v="371"/>
    <n v="6.6"/>
    <d v="2014-11-04T20:29:00"/>
    <n v="6"/>
    <n v="5"/>
    <s v="green"/>
    <n v="1"/>
    <n v="677"/>
    <s v="us"/>
    <n v="0"/>
    <n v="0.76100000000000001"/>
    <n v="20"/>
    <s v="mww"/>
    <n v="135"/>
    <n v="11.641999999999999"/>
    <n v="-85.877899999999997"/>
    <s v="Bel√©n, Nicaragua"/>
    <x v="3"/>
    <x v="36"/>
    <n v="4"/>
    <n v="6.6"/>
    <n v="0"/>
    <n v="0.76100000000000001"/>
    <n v="20"/>
    <n v="135"/>
    <n v="6"/>
    <n v="5"/>
    <n v="1"/>
    <n v="677"/>
  </r>
  <r>
    <x v="372"/>
    <n v="6.5"/>
    <s v="22-09-2021 09:57"/>
    <n v="7"/>
    <n v="5"/>
    <s v="green"/>
    <n v="1"/>
    <n v="684"/>
    <s v="us"/>
    <n v="0"/>
    <n v="0.99299999999999999"/>
    <n v="114"/>
    <s v="mww"/>
    <n v="21"/>
    <n v="12.159800000000001"/>
    <n v="-87.854200000000006"/>
    <s v="Jiquilillo, Nicaragua"/>
    <x v="3"/>
    <x v="36"/>
    <n v="4"/>
    <n v="6.5"/>
    <n v="0"/>
    <n v="0.99299999999999999"/>
    <n v="114"/>
    <n v="21"/>
    <n v="7"/>
    <n v="5"/>
    <n v="1"/>
    <n v="684"/>
  </r>
  <r>
    <x v="373"/>
    <n v="7"/>
    <d v="2004-09-10T21:26:00"/>
    <n v="0"/>
    <n v="6"/>
    <m/>
    <n v="0"/>
    <n v="754"/>
    <s v="us"/>
    <n v="441"/>
    <n v="0"/>
    <n v="32.200000000000003"/>
    <s v="mwc"/>
    <n v="35"/>
    <n v="11.422000000000001"/>
    <n v="-86.665000000000006"/>
    <s v="Masachapa, Nicaragua"/>
    <x v="3"/>
    <x v="36"/>
    <n v="4"/>
    <n v="7"/>
    <n v="441"/>
    <n v="0"/>
    <n v="32.200000000000003"/>
    <n v="35"/>
    <n v="0"/>
    <n v="6"/>
    <n v="0"/>
    <n v="754"/>
  </r>
  <r>
    <x v="374"/>
    <n v="6.6"/>
    <s v="21-04-2022 07:42"/>
    <n v="6"/>
    <n v="5"/>
    <s v="green"/>
    <n v="1"/>
    <n v="762"/>
    <s v="us"/>
    <n v="0"/>
    <n v="0.91400000000000003"/>
    <n v="94"/>
    <s v="mww"/>
    <n v="27"/>
    <n v="11.553800000000001"/>
    <n v="-86.991900000000001"/>
    <s v="Masachapa, Nicaragua"/>
    <x v="3"/>
    <x v="36"/>
    <n v="4"/>
    <n v="6.6"/>
    <n v="0"/>
    <n v="0.91400000000000003"/>
    <n v="94"/>
    <n v="27"/>
    <n v="6"/>
    <n v="5"/>
    <n v="1"/>
    <n v="762"/>
  </r>
  <r>
    <x v="375"/>
    <n v="6.5"/>
    <s v="15-06-2013 17:34"/>
    <n v="5"/>
    <n v="6"/>
    <s v="green"/>
    <n v="1"/>
    <n v="679"/>
    <s v="us"/>
    <n v="698"/>
    <n v="0"/>
    <n v="27"/>
    <s v="mww"/>
    <n v="30"/>
    <n v="11.763"/>
    <n v="-86.926000000000002"/>
    <s v="Masachapa, Nicaragua"/>
    <x v="3"/>
    <x v="36"/>
    <n v="4"/>
    <n v="6.5"/>
    <n v="698"/>
    <n v="0"/>
    <n v="27"/>
    <n v="30"/>
    <n v="5"/>
    <n v="6"/>
    <n v="1"/>
    <n v="679"/>
  </r>
  <r>
    <x v="376"/>
    <n v="6.6"/>
    <d v="2005-02-07T02:16:00"/>
    <n v="6"/>
    <n v="5"/>
    <m/>
    <n v="0"/>
    <n v="719"/>
    <s v="us"/>
    <n v="446"/>
    <n v="0"/>
    <n v="21.1"/>
    <s v="mwc"/>
    <n v="27"/>
    <n v="11.244999999999999"/>
    <n v="-86.171999999999997"/>
    <s v="San Juan del Sur, Nicaragua"/>
    <x v="3"/>
    <x v="36"/>
    <n v="4"/>
    <n v="6.6"/>
    <n v="446"/>
    <n v="0"/>
    <n v="21.1"/>
    <n v="27"/>
    <n v="6"/>
    <n v="5"/>
    <n v="0"/>
    <n v="719"/>
  </r>
  <r>
    <x v="377"/>
    <n v="6.7"/>
    <s v="20-10-2022 11:57"/>
    <n v="7"/>
    <n v="6"/>
    <s v="green"/>
    <n v="1"/>
    <n v="797"/>
    <s v="us"/>
    <n v="145"/>
    <n v="1.151"/>
    <n v="37"/>
    <s v="mww"/>
    <n v="20"/>
    <n v="7.6711999999999998"/>
    <n v="-82.339600000000004"/>
    <s v="Boca Chica, Panama"/>
    <x v="3"/>
    <x v="37"/>
    <n v="4"/>
    <n v="6.7"/>
    <n v="145"/>
    <n v="1.151"/>
    <n v="37"/>
    <n v="20"/>
    <n v="7"/>
    <n v="6"/>
    <n v="1"/>
    <n v="797"/>
  </r>
  <r>
    <x v="378"/>
    <n v="6.5"/>
    <s v="25-12-2003 07:11"/>
    <n v="0"/>
    <n v="6"/>
    <m/>
    <n v="0"/>
    <n v="650"/>
    <s v="us"/>
    <n v="405"/>
    <n v="0"/>
    <n v="48.4"/>
    <s v="mwb"/>
    <n v="33"/>
    <n v="8.4160000000000004"/>
    <n v="-82.823999999999998"/>
    <s v="Progreso, Panama"/>
    <x v="3"/>
    <x v="37"/>
    <n v="4"/>
    <n v="6.5"/>
    <n v="405"/>
    <n v="0"/>
    <n v="48.4"/>
    <n v="33"/>
    <n v="0"/>
    <n v="6"/>
    <n v="0"/>
    <n v="650"/>
  </r>
  <r>
    <x v="379"/>
    <n v="6.6"/>
    <d v="2014-08-12T08:54:00"/>
    <n v="7"/>
    <n v="6"/>
    <s v="green"/>
    <n v="1"/>
    <n v="709"/>
    <s v="us"/>
    <n v="0"/>
    <n v="2.4849999999999999"/>
    <n v="43"/>
    <s v="mww"/>
    <n v="20"/>
    <n v="7.9401000000000002"/>
    <n v="-82.686499999999995"/>
    <s v="Punta de Burica, Panama"/>
    <x v="3"/>
    <x v="37"/>
    <n v="4"/>
    <n v="6.6"/>
    <n v="0"/>
    <n v="2.4849999999999999"/>
    <n v="43"/>
    <n v="20"/>
    <n v="7"/>
    <n v="6"/>
    <n v="1"/>
    <n v="709"/>
  </r>
  <r>
    <x v="380"/>
    <n v="6.5"/>
    <s v="31-07-2002 00:16"/>
    <n v="0"/>
    <n v="7"/>
    <m/>
    <n v="0"/>
    <n v="650"/>
    <s v="us"/>
    <n v="533"/>
    <n v="0"/>
    <n v="0"/>
    <s v="mwc"/>
    <n v="10"/>
    <n v="7.9290000000000003"/>
    <n v="-82.793000000000006"/>
    <s v="Punta de Burica, Panama"/>
    <x v="3"/>
    <x v="37"/>
    <n v="4"/>
    <n v="6.5"/>
    <n v="533"/>
    <n v="0"/>
    <n v="0"/>
    <n v="10"/>
    <n v="0"/>
    <n v="7"/>
    <n v="0"/>
    <n v="650"/>
  </r>
  <r>
    <x v="381"/>
    <n v="6.5"/>
    <d v="2015-07-01T05:07:00"/>
    <n v="1"/>
    <n v="4"/>
    <s v="green"/>
    <n v="1"/>
    <n v="650"/>
    <s v="us"/>
    <n v="0"/>
    <n v="4.3179999999999996"/>
    <n v="61"/>
    <s v="mww"/>
    <n v="8"/>
    <n v="5.9044999999999996"/>
    <n v="-82.657600000000002"/>
    <s v="Punta de Burica, Panama"/>
    <x v="3"/>
    <x v="37"/>
    <n v="4"/>
    <n v="6.5"/>
    <n v="0"/>
    <n v="4.3179999999999996"/>
    <n v="61"/>
    <n v="8"/>
    <n v="1"/>
    <n v="4"/>
    <n v="1"/>
    <n v="650"/>
  </r>
  <r>
    <x v="382"/>
    <n v="6.5"/>
    <s v="13-05-2014 06:35"/>
    <n v="7"/>
    <n v="5"/>
    <s v="green"/>
    <n v="1"/>
    <n v="694"/>
    <s v="us"/>
    <n v="0"/>
    <n v="3.121"/>
    <n v="33"/>
    <s v="mww"/>
    <n v="10"/>
    <n v="7.2096"/>
    <n v="-82.304500000000004"/>
    <s v="Punta de Burica, Panama"/>
    <x v="3"/>
    <x v="37"/>
    <n v="4"/>
    <n v="6.5"/>
    <n v="0"/>
    <n v="3.121"/>
    <n v="33"/>
    <n v="10"/>
    <n v="7"/>
    <n v="5"/>
    <n v="1"/>
    <n v="694"/>
  </r>
  <r>
    <x v="383"/>
    <n v="6.5"/>
    <s v="15-08-2018 21:56"/>
    <n v="6"/>
    <n v="6"/>
    <s v="green"/>
    <n v="1"/>
    <n v="655"/>
    <s v="us"/>
    <n v="0"/>
    <n v="0.57599999999999996"/>
    <n v="22"/>
    <s v="mww"/>
    <n v="33.93"/>
    <n v="51.423400000000001"/>
    <n v="-178.02600000000001"/>
    <s v="Adak, Alaska"/>
    <x v="3"/>
    <x v="38"/>
    <n v="4"/>
    <n v="6.5"/>
    <n v="0"/>
    <n v="0.57599999999999996"/>
    <n v="22"/>
    <n v="33.93"/>
    <n v="6"/>
    <n v="6"/>
    <n v="1"/>
    <n v="655"/>
  </r>
  <r>
    <x v="384"/>
    <n v="7"/>
    <s v="30-08-2013 16:25"/>
    <n v="5"/>
    <n v="6"/>
    <s v="green"/>
    <n v="0"/>
    <n v="758"/>
    <s v="us"/>
    <n v="0"/>
    <n v="0.624"/>
    <n v="53"/>
    <s v="mww"/>
    <n v="29"/>
    <n v="51.536999999999999"/>
    <n v="-175.23"/>
    <s v="Atka, Alaska"/>
    <x v="3"/>
    <x v="38"/>
    <n v="4"/>
    <n v="7"/>
    <n v="0"/>
    <n v="0.624"/>
    <n v="53"/>
    <n v="29"/>
    <n v="5"/>
    <n v="6"/>
    <n v="0"/>
    <n v="758"/>
  </r>
  <r>
    <x v="385"/>
    <n v="6.5"/>
    <d v="2013-04-09T02:32:00"/>
    <n v="0"/>
    <n v="6"/>
    <s v="green"/>
    <n v="1"/>
    <n v="650"/>
    <s v="us"/>
    <n v="0"/>
    <n v="0.73499999999999999"/>
    <n v="24"/>
    <s v="mww"/>
    <n v="20"/>
    <n v="51.557299999999998"/>
    <n v="-174.767"/>
    <s v="Atka, Alaska"/>
    <x v="3"/>
    <x v="38"/>
    <n v="4"/>
    <n v="6.5"/>
    <n v="0"/>
    <n v="0.73499999999999999"/>
    <n v="24"/>
    <n v="20"/>
    <n v="0"/>
    <n v="6"/>
    <n v="1"/>
    <n v="650"/>
  </r>
  <r>
    <x v="386"/>
    <n v="6.8"/>
    <d v="2017-02-06T22:24:00"/>
    <n v="0"/>
    <n v="4"/>
    <s v="green"/>
    <n v="1"/>
    <n v="711"/>
    <s v="us"/>
    <n v="0"/>
    <n v="2.3079999999999998"/>
    <n v="12"/>
    <s v="mww"/>
    <n v="5"/>
    <n v="54.031199999999998"/>
    <n v="170.92"/>
    <s v="Attu Station, Alaska"/>
    <x v="3"/>
    <x v="38"/>
    <n v="4"/>
    <n v="6.8"/>
    <n v="0"/>
    <n v="2.3079999999999998"/>
    <n v="12"/>
    <n v="5"/>
    <n v="0"/>
    <n v="4"/>
    <n v="1"/>
    <n v="711"/>
  </r>
  <r>
    <x v="387"/>
    <n v="6.5"/>
    <d v="2017-08-10T22:34:00"/>
    <n v="3"/>
    <n v="5"/>
    <s v="green"/>
    <n v="1"/>
    <n v="651"/>
    <s v="us"/>
    <n v="0"/>
    <n v="1.1539999999999999"/>
    <n v="11"/>
    <s v="mww"/>
    <n v="119"/>
    <n v="52.390900000000002"/>
    <n v="176.76900000000001"/>
    <s v="Attu Station, Alaska"/>
    <x v="3"/>
    <x v="38"/>
    <n v="4"/>
    <n v="6.5"/>
    <n v="0"/>
    <n v="1.1539999999999999"/>
    <n v="11"/>
    <n v="119"/>
    <n v="3"/>
    <n v="5"/>
    <n v="1"/>
    <n v="651"/>
  </r>
  <r>
    <x v="388"/>
    <n v="7.2"/>
    <s v="15-06-2005 02:50"/>
    <n v="5"/>
    <n v="4"/>
    <m/>
    <n v="0"/>
    <n v="1318"/>
    <s v="us"/>
    <n v="420"/>
    <n v="0"/>
    <n v="31.4"/>
    <s v="mwc"/>
    <n v="16"/>
    <n v="41.292000000000002"/>
    <n v="-125.953"/>
    <s v="Big Lagoon, California"/>
    <x v="3"/>
    <x v="38"/>
    <n v="4"/>
    <n v="7.2"/>
    <n v="420"/>
    <n v="0"/>
    <n v="31.4"/>
    <n v="16"/>
    <n v="5"/>
    <n v="4"/>
    <n v="0"/>
    <n v="1318"/>
  </r>
  <r>
    <x v="389"/>
    <n v="7.9"/>
    <d v="2002-03-11T22:12:00"/>
    <n v="8"/>
    <n v="9"/>
    <m/>
    <n v="0"/>
    <n v="1750"/>
    <s v="ak"/>
    <n v="0"/>
    <n v="0"/>
    <n v="0"/>
    <s v="mw"/>
    <n v="4.2"/>
    <n v="63.514099999999999"/>
    <n v="-147.453"/>
    <s v="Cantwell, Alaska"/>
    <x v="3"/>
    <x v="38"/>
    <n v="4"/>
    <n v="7.9"/>
    <n v="0"/>
    <n v="0"/>
    <n v="0"/>
    <n v="4.2"/>
    <n v="8"/>
    <n v="9"/>
    <n v="0"/>
    <n v="1750"/>
  </r>
  <r>
    <x v="390"/>
    <n v="6.6"/>
    <s v="23-10-2002 11:27"/>
    <n v="0"/>
    <n v="7"/>
    <m/>
    <n v="0"/>
    <n v="670"/>
    <s v="ak"/>
    <n v="0"/>
    <n v="0"/>
    <n v="0"/>
    <s v="mw"/>
    <n v="4.2"/>
    <n v="63.514400000000002"/>
    <n v="-147.91200000000001"/>
    <s v="Cantwell, Alaska"/>
    <x v="3"/>
    <x v="38"/>
    <n v="4"/>
    <n v="6.6"/>
    <n v="0"/>
    <n v="0"/>
    <n v="0"/>
    <n v="4.2"/>
    <n v="0"/>
    <n v="7"/>
    <n v="0"/>
    <n v="670"/>
  </r>
  <r>
    <x v="391"/>
    <n v="6.9"/>
    <d v="2021-11-10T09:10:00"/>
    <n v="8"/>
    <n v="6"/>
    <s v="green"/>
    <n v="1"/>
    <n v="995"/>
    <s v="ak"/>
    <n v="0"/>
    <n v="0"/>
    <n v="0"/>
    <s v="mww"/>
    <n v="51.6"/>
    <n v="56.258099999999999"/>
    <n v="-156.49199999999999"/>
    <s v="Chignik, Alaska"/>
    <x v="3"/>
    <x v="38"/>
    <n v="4"/>
    <n v="6.9"/>
    <n v="0"/>
    <n v="0"/>
    <n v="0"/>
    <n v="51.6"/>
    <n v="8"/>
    <n v="6"/>
    <n v="1"/>
    <n v="995"/>
  </r>
  <r>
    <x v="392"/>
    <n v="7.9"/>
    <s v="23-01-2018 09:31"/>
    <n v="9"/>
    <n v="4"/>
    <s v="green"/>
    <n v="1"/>
    <n v="1870"/>
    <s v="us"/>
    <n v="0"/>
    <n v="2.585"/>
    <n v="30"/>
    <s v="mww"/>
    <n v="14.06"/>
    <n v="56.003900000000002"/>
    <n v="-149.166"/>
    <s v="Chiniak, Alaska"/>
    <x v="3"/>
    <x v="38"/>
    <n v="4"/>
    <n v="7.9"/>
    <n v="0"/>
    <n v="2.585"/>
    <n v="30"/>
    <n v="14.06"/>
    <n v="9"/>
    <n v="4"/>
    <n v="1"/>
    <n v="1870"/>
  </r>
  <r>
    <x v="393"/>
    <n v="7.5"/>
    <d v="2013-05-01T08:58:00"/>
    <n v="6"/>
    <n v="6"/>
    <m/>
    <n v="0"/>
    <n v="1425"/>
    <s v="ak"/>
    <n v="0"/>
    <n v="0"/>
    <n v="0"/>
    <s v="mw"/>
    <n v="8.6999999999999993"/>
    <n v="55.228000000000002"/>
    <n v="-134.85900000000001"/>
    <s v="Edna Bay, Alaska"/>
    <x v="3"/>
    <x v="38"/>
    <n v="4"/>
    <n v="7.5"/>
    <n v="0"/>
    <n v="0"/>
    <n v="0"/>
    <n v="8.6999999999999993"/>
    <n v="6"/>
    <n v="6"/>
    <n v="0"/>
    <n v="1425"/>
  </r>
  <r>
    <x v="394"/>
    <n v="6.6"/>
    <d v="2016-08-12T14:49:00"/>
    <n v="5"/>
    <n v="4"/>
    <s v="green"/>
    <n v="1"/>
    <n v="1120"/>
    <s v="us"/>
    <n v="0"/>
    <n v="1.405"/>
    <n v="55"/>
    <s v="mww"/>
    <n v="8.4499999999999993"/>
    <n v="40.453499999999998"/>
    <n v="-126.194"/>
    <s v="Ferndale, California"/>
    <x v="3"/>
    <x v="38"/>
    <n v="4"/>
    <n v="6.6"/>
    <n v="0"/>
    <n v="1.405"/>
    <n v="55"/>
    <n v="8.4499999999999993"/>
    <n v="5"/>
    <n v="4"/>
    <n v="1"/>
    <n v="1120"/>
  </r>
  <r>
    <x v="395"/>
    <n v="6.5"/>
    <d v="2010-10-01T00:27:00"/>
    <n v="7"/>
    <n v="7"/>
    <m/>
    <n v="0"/>
    <n v="1360"/>
    <s v="nc"/>
    <n v="51"/>
    <n v="0.32250000000000001"/>
    <n v="220"/>
    <s v="mw"/>
    <n v="28.736999999999998"/>
    <n v="40.652000000000001"/>
    <n v="-124.69199999999999"/>
    <s v="Ferndale, California"/>
    <x v="3"/>
    <x v="38"/>
    <n v="4"/>
    <n v="6.5"/>
    <n v="51"/>
    <n v="0.32250000000000001"/>
    <n v="220"/>
    <n v="28.736999999999998"/>
    <n v="7"/>
    <n v="7"/>
    <n v="0"/>
    <n v="1360"/>
  </r>
  <r>
    <x v="396"/>
    <n v="6.9"/>
    <s v="27-07-2015 04:49"/>
    <n v="4"/>
    <n v="7"/>
    <s v="green"/>
    <n v="1"/>
    <n v="734"/>
    <s v="us"/>
    <n v="0"/>
    <n v="0.44400000000000001"/>
    <n v="39"/>
    <s v="mww"/>
    <n v="29"/>
    <n v="52.375999999999998"/>
    <n v="-169.446"/>
    <s v="Fox Islands, Aleutian Islands, Alaska"/>
    <x v="3"/>
    <x v="38"/>
    <n v="4"/>
    <n v="6.9"/>
    <n v="0"/>
    <n v="0.44400000000000001"/>
    <n v="39"/>
    <n v="29"/>
    <n v="4"/>
    <n v="7"/>
    <n v="1"/>
    <n v="734"/>
  </r>
  <r>
    <x v="397"/>
    <n v="6.8"/>
    <d v="2014-10-03T05:18:00"/>
    <n v="5"/>
    <n v="5"/>
    <s v="green"/>
    <n v="1"/>
    <n v="1211"/>
    <s v="nc"/>
    <n v="112"/>
    <n v="0.65680000000000005"/>
    <n v="229"/>
    <s v="mw"/>
    <n v="16.440999999999999"/>
    <n v="40.828699999999998"/>
    <n v="-125.134"/>
    <s v="Indianola, California"/>
    <x v="3"/>
    <x v="38"/>
    <n v="4"/>
    <n v="6.8"/>
    <n v="112"/>
    <n v="0.65680000000000005"/>
    <n v="229"/>
    <n v="16.440999999999999"/>
    <n v="5"/>
    <n v="5"/>
    <n v="1"/>
    <n v="1211"/>
  </r>
  <r>
    <x v="398"/>
    <n v="6.6"/>
    <s v="28-07-2001 07:32"/>
    <n v="6"/>
    <n v="6"/>
    <m/>
    <n v="0"/>
    <n v="754"/>
    <s v="ak"/>
    <n v="0"/>
    <n v="0"/>
    <n v="0"/>
    <s v="mw"/>
    <n v="131.80000000000001"/>
    <n v="58.774999999999999"/>
    <n v="-154.70099999999999"/>
    <s v="Kokhanok, Alaska"/>
    <x v="3"/>
    <x v="38"/>
    <n v="4"/>
    <n v="6.6"/>
    <n v="0"/>
    <n v="0"/>
    <n v="0"/>
    <n v="131.80000000000001"/>
    <n v="6"/>
    <n v="6"/>
    <n v="0"/>
    <n v="754"/>
  </r>
  <r>
    <x v="399"/>
    <n v="6.9"/>
    <d v="2018-04-05T22:32:00"/>
    <n v="7"/>
    <n v="8"/>
    <s v="yellow"/>
    <n v="1"/>
    <n v="1392"/>
    <s v="hv"/>
    <n v="63"/>
    <n v="0.11"/>
    <n v="210"/>
    <s v="mw"/>
    <n v="5.81"/>
    <n v="19.318200000000001"/>
    <n v="-155"/>
    <s v="Leilani Estates, Hawaii"/>
    <x v="3"/>
    <x v="38"/>
    <n v="4"/>
    <n v="6.9"/>
    <n v="63"/>
    <n v="0.11"/>
    <n v="210"/>
    <n v="5.81"/>
    <n v="7"/>
    <n v="8"/>
    <n v="1"/>
    <n v="1392"/>
  </r>
  <r>
    <x v="400"/>
    <n v="6.8"/>
    <s v="28-02-2001 18:54"/>
    <n v="7"/>
    <n v="7"/>
    <m/>
    <n v="0"/>
    <n v="1441"/>
    <s v="uw"/>
    <n v="67"/>
    <n v="0"/>
    <n v="31"/>
    <s v="md"/>
    <n v="51.798000000000002"/>
    <n v="47.149000000000001"/>
    <n v="-122.727"/>
    <s v="Longbranch, Washington"/>
    <x v="3"/>
    <x v="38"/>
    <n v="4"/>
    <n v="6.8"/>
    <n v="67"/>
    <n v="0"/>
    <n v="31"/>
    <n v="51.798000000000002"/>
    <n v="7"/>
    <n v="7"/>
    <n v="0"/>
    <n v="1441"/>
  </r>
  <r>
    <x v="401"/>
    <n v="7.1"/>
    <s v="26-04-2002 16:06"/>
    <n v="0"/>
    <n v="7"/>
    <m/>
    <n v="0"/>
    <n v="776"/>
    <s v="us"/>
    <n v="257"/>
    <n v="0"/>
    <n v="0"/>
    <s v="mwc"/>
    <n v="85.7"/>
    <n v="13.087999999999999"/>
    <n v="144.619"/>
    <s v="Merizo Village, Guam"/>
    <x v="3"/>
    <x v="38"/>
    <n v="4"/>
    <n v="7.1"/>
    <n v="257"/>
    <n v="0"/>
    <n v="0"/>
    <n v="85.7"/>
    <n v="0"/>
    <n v="7"/>
    <n v="0"/>
    <n v="776"/>
  </r>
  <r>
    <x v="402"/>
    <n v="6.5"/>
    <s v="15-05-2020 11:03"/>
    <n v="7"/>
    <n v="8"/>
    <s v="green"/>
    <n v="0"/>
    <n v="1320"/>
    <s v="nn"/>
    <n v="27"/>
    <n v="0.35699999999999998"/>
    <n v="55.79"/>
    <s v="ml"/>
    <n v="2.7"/>
    <n v="38.168900000000001"/>
    <n v="-117.85"/>
    <s v="Monte Cristo Range, NV Earthquake"/>
    <x v="3"/>
    <x v="38"/>
    <n v="4"/>
    <n v="6.5"/>
    <n v="27"/>
    <n v="0.35699999999999998"/>
    <n v="55.79"/>
    <n v="2.7"/>
    <n v="7"/>
    <n v="8"/>
    <n v="0"/>
    <n v="1320"/>
  </r>
  <r>
    <x v="403"/>
    <n v="6.8"/>
    <d v="2022-11-01T11:35:00"/>
    <n v="7"/>
    <n v="6"/>
    <s v="green"/>
    <n v="1"/>
    <n v="730"/>
    <s v="us"/>
    <n v="0"/>
    <n v="0.92"/>
    <n v="61"/>
    <s v="mww"/>
    <n v="20"/>
    <n v="52.656300000000002"/>
    <n v="-167.917"/>
    <s v="Nikolski, Alaska"/>
    <x v="3"/>
    <x v="38"/>
    <n v="4"/>
    <n v="6.8"/>
    <n v="0"/>
    <n v="0.92"/>
    <n v="61"/>
    <n v="20"/>
    <n v="7"/>
    <n v="6"/>
    <n v="1"/>
    <n v="730"/>
  </r>
  <r>
    <x v="404"/>
    <n v="6.7"/>
    <d v="2022-11-01T11:35:00"/>
    <n v="0"/>
    <n v="4"/>
    <m/>
    <n v="1"/>
    <n v="691"/>
    <s v="at"/>
    <n v="50"/>
    <n v="0.93694299999999997"/>
    <n v="126"/>
    <s v="Mi"/>
    <n v="33"/>
    <n v="52.48"/>
    <n v="-167.73599999999999"/>
    <s v="Nikolski, Alaska"/>
    <x v="3"/>
    <x v="38"/>
    <n v="4"/>
    <n v="6.7"/>
    <n v="50"/>
    <n v="0.93694299999999997"/>
    <n v="126"/>
    <n v="33"/>
    <n v="0"/>
    <n v="4"/>
    <n v="1"/>
    <n v="691"/>
  </r>
  <r>
    <x v="404"/>
    <n v="6.7"/>
    <d v="2022-11-01T11:35:00"/>
    <n v="0"/>
    <n v="4"/>
    <m/>
    <n v="1"/>
    <n v="691"/>
    <s v="pt"/>
    <n v="20"/>
    <n v="0"/>
    <n v="205.2"/>
    <s v="Mi"/>
    <n v="33"/>
    <n v="52.48"/>
    <n v="-167.73599999999999"/>
    <s v="Nikolski, Alaska"/>
    <x v="3"/>
    <x v="38"/>
    <n v="4"/>
    <n v="6.7"/>
    <n v="20"/>
    <n v="0"/>
    <n v="205.2"/>
    <n v="33"/>
    <n v="0"/>
    <n v="4"/>
    <n v="1"/>
    <n v="691"/>
  </r>
  <r>
    <x v="405"/>
    <n v="6.6"/>
    <d v="2022-11-01T12:39:00"/>
    <n v="8"/>
    <n v="5"/>
    <s v="green"/>
    <n v="1"/>
    <n v="674"/>
    <s v="us"/>
    <n v="0"/>
    <n v="0.50700000000000001"/>
    <n v="49"/>
    <s v="mww"/>
    <n v="19"/>
    <n v="52.6252"/>
    <n v="-168.15"/>
    <s v="Nikolski, Alaska"/>
    <x v="3"/>
    <x v="38"/>
    <n v="4"/>
    <n v="6.6"/>
    <n v="0"/>
    <n v="0.50700000000000001"/>
    <n v="49"/>
    <n v="19"/>
    <n v="8"/>
    <n v="5"/>
    <n v="1"/>
    <n v="674"/>
  </r>
  <r>
    <x v="406"/>
    <n v="6.5"/>
    <d v="2022-11-01T12:39:00"/>
    <n v="0"/>
    <n v="3"/>
    <m/>
    <n v="1"/>
    <n v="650"/>
    <s v="at"/>
    <n v="97"/>
    <n v="1.6160699999999999"/>
    <n v="108"/>
    <s v="Mi"/>
    <n v="37"/>
    <n v="52.502000000000002"/>
    <n v="-168.08"/>
    <s v="Nikolski, Alaska"/>
    <x v="3"/>
    <x v="38"/>
    <n v="4"/>
    <n v="6.5"/>
    <n v="97"/>
    <n v="1.6160699999999999"/>
    <n v="108"/>
    <n v="37"/>
    <n v="0"/>
    <n v="3"/>
    <n v="1"/>
    <n v="650"/>
  </r>
  <r>
    <x v="406"/>
    <n v="6.5"/>
    <d v="2022-11-01T12:39:00"/>
    <n v="0"/>
    <n v="3"/>
    <m/>
    <n v="1"/>
    <n v="650"/>
    <s v="pt"/>
    <n v="23"/>
    <n v="0"/>
    <n v="208.8"/>
    <s v="Mi"/>
    <n v="37"/>
    <n v="52.502000000000002"/>
    <n v="-168.08"/>
    <s v="Nikolski, Alaska"/>
    <x v="3"/>
    <x v="38"/>
    <n v="4"/>
    <n v="6.5"/>
    <n v="23"/>
    <n v="0"/>
    <n v="208.8"/>
    <n v="37"/>
    <n v="0"/>
    <n v="3"/>
    <n v="1"/>
    <n v="650"/>
  </r>
  <r>
    <x v="407"/>
    <n v="6.9"/>
    <d v="2001-10-01T16:02:00"/>
    <n v="5"/>
    <n v="7"/>
    <m/>
    <n v="0"/>
    <n v="745"/>
    <s v="ak"/>
    <n v="0"/>
    <n v="0"/>
    <n v="0"/>
    <s v="mw"/>
    <n v="36.4"/>
    <n v="56.7744"/>
    <n v="-153.28100000000001"/>
    <s v="Old Harbor, Alaska"/>
    <x v="3"/>
    <x v="38"/>
    <n v="4"/>
    <n v="6.9"/>
    <n v="0"/>
    <n v="0"/>
    <n v="0"/>
    <n v="36.4"/>
    <n v="5"/>
    <n v="7"/>
    <n v="0"/>
    <n v="745"/>
  </r>
  <r>
    <x v="408"/>
    <n v="7.1"/>
    <s v="24-01-2016 10:30"/>
    <n v="7"/>
    <n v="7"/>
    <s v="green"/>
    <n v="1"/>
    <n v="1496"/>
    <s v="ak"/>
    <n v="0"/>
    <n v="0"/>
    <n v="0"/>
    <s v="mw"/>
    <n v="125.6"/>
    <n v="59.620399999999997"/>
    <n v="-153.339"/>
    <s v="Pedro Bay, Alaska"/>
    <x v="3"/>
    <x v="38"/>
    <n v="4"/>
    <n v="7.1"/>
    <n v="0"/>
    <n v="0"/>
    <n v="0"/>
    <n v="125.6"/>
    <n v="7"/>
    <n v="7"/>
    <n v="1"/>
    <n v="1496"/>
  </r>
  <r>
    <x v="409"/>
    <n v="8.1999999999999993"/>
    <s v="29-07-2021 06:15"/>
    <n v="8"/>
    <n v="6"/>
    <s v="green"/>
    <n v="1"/>
    <n v="1237"/>
    <s v="us"/>
    <n v="0"/>
    <n v="0.875"/>
    <n v="66"/>
    <s v="mww"/>
    <n v="46.66"/>
    <n v="55.474200000000003"/>
    <n v="-157.917"/>
    <s v="Perryville, Alaska"/>
    <x v="3"/>
    <x v="38"/>
    <n v="4"/>
    <n v="8.1999999999999993"/>
    <n v="0"/>
    <n v="0.875"/>
    <n v="66"/>
    <n v="46.66"/>
    <n v="8"/>
    <n v="6"/>
    <n v="1"/>
    <n v="1237"/>
  </r>
  <r>
    <x v="410"/>
    <n v="8.1999999999999993"/>
    <s v="29-07-2021 06:15"/>
    <n v="8"/>
    <n v="7"/>
    <s v="yellow"/>
    <n v="1"/>
    <n v="1252"/>
    <s v="ak"/>
    <n v="0"/>
    <n v="0"/>
    <n v="0"/>
    <s v="mww"/>
    <n v="35"/>
    <n v="55.315399999999997"/>
    <n v="-157.82900000000001"/>
    <s v="Perryville, Alaska"/>
    <x v="3"/>
    <x v="38"/>
    <n v="4"/>
    <n v="8.1999999999999993"/>
    <n v="0"/>
    <n v="0"/>
    <n v="0"/>
    <n v="35"/>
    <n v="8"/>
    <n v="7"/>
    <n v="1"/>
    <n v="1252"/>
  </r>
  <r>
    <x v="411"/>
    <n v="7.8"/>
    <s v="22-07-2020 06:12"/>
    <n v="9"/>
    <n v="7"/>
    <s v="green"/>
    <n v="1"/>
    <n v="1111"/>
    <s v="us"/>
    <n v="0"/>
    <n v="0.621"/>
    <n v="60"/>
    <s v="mww"/>
    <n v="28"/>
    <n v="55.107900000000001"/>
    <n v="-158.477"/>
    <s v="Perryville, Alaska"/>
    <x v="3"/>
    <x v="38"/>
    <n v="4"/>
    <n v="7.8"/>
    <n v="0"/>
    <n v="0.621"/>
    <n v="60"/>
    <n v="28"/>
    <n v="9"/>
    <n v="7"/>
    <n v="1"/>
    <n v="1111"/>
  </r>
  <r>
    <x v="412"/>
    <n v="6.9"/>
    <s v="14-08-2021 11:57"/>
    <n v="5"/>
    <n v="4"/>
    <s v="green"/>
    <n v="1"/>
    <n v="738"/>
    <s v="ak"/>
    <n v="0"/>
    <n v="0"/>
    <n v="0"/>
    <s v="mww"/>
    <n v="33.299999999999997"/>
    <n v="55.236400000000003"/>
    <n v="-157.70699999999999"/>
    <s v="Perryville, Alaska"/>
    <x v="3"/>
    <x v="38"/>
    <n v="4"/>
    <n v="6.9"/>
    <n v="0"/>
    <n v="0"/>
    <n v="0"/>
    <n v="33.299999999999997"/>
    <n v="5"/>
    <n v="4"/>
    <n v="1"/>
    <n v="738"/>
  </r>
  <r>
    <x v="413"/>
    <n v="6.9"/>
    <s v="14-08-2021 11:57"/>
    <n v="5"/>
    <n v="4"/>
    <s v="green"/>
    <n v="1"/>
    <n v="738"/>
    <s v="us"/>
    <n v="0"/>
    <n v="1.173"/>
    <n v="36"/>
    <s v="mww"/>
    <n v="20.74"/>
    <n v="55.265700000000002"/>
    <n v="-157.68"/>
    <s v="Perryville, Alaska"/>
    <x v="3"/>
    <x v="38"/>
    <n v="4"/>
    <n v="6.9"/>
    <n v="0"/>
    <n v="1.173"/>
    <n v="36"/>
    <n v="20.74"/>
    <n v="5"/>
    <n v="4"/>
    <n v="1"/>
    <n v="738"/>
  </r>
  <r>
    <x v="414"/>
    <n v="7.1"/>
    <s v="30-11-2018 17:29"/>
    <n v="8"/>
    <n v="8"/>
    <s v="orange"/>
    <n v="1"/>
    <n v="1790"/>
    <s v="ak"/>
    <n v="0"/>
    <n v="0"/>
    <n v="0"/>
    <s v="mw"/>
    <n v="46.7"/>
    <n v="61.346400000000003"/>
    <n v="-149.95500000000001"/>
    <s v="Point MacKenzie, Alaska"/>
    <x v="3"/>
    <x v="38"/>
    <n v="4"/>
    <n v="7.1"/>
    <n v="0"/>
    <n v="0"/>
    <n v="0"/>
    <n v="46.7"/>
    <n v="8"/>
    <n v="8"/>
    <n v="1"/>
    <n v="1790"/>
  </r>
  <r>
    <x v="415"/>
    <n v="6.7"/>
    <s v="15-10-2006 17:07"/>
    <n v="8"/>
    <n v="9"/>
    <m/>
    <n v="0"/>
    <n v="1481"/>
    <s v="hv"/>
    <n v="43"/>
    <n v="0"/>
    <n v="124"/>
    <s v="md"/>
    <n v="38.182000000000002"/>
    <n v="19.876999999999999"/>
    <n v="-155.935"/>
    <s v="Puako, Hawaii"/>
    <x v="3"/>
    <x v="38"/>
    <n v="4"/>
    <n v="6.7"/>
    <n v="43"/>
    <n v="0"/>
    <n v="124"/>
    <n v="38.182000000000002"/>
    <n v="8"/>
    <n v="9"/>
    <n v="0"/>
    <n v="1481"/>
  </r>
  <r>
    <x v="416"/>
    <n v="7.9"/>
    <s v="23-06-2014 20:53"/>
    <n v="6"/>
    <n v="8"/>
    <s v="green"/>
    <n v="1"/>
    <n v="963"/>
    <s v="us"/>
    <n v="0"/>
    <n v="0.13300000000000001"/>
    <n v="22"/>
    <s v="mww"/>
    <n v="109"/>
    <n v="51.848599999999998"/>
    <n v="178.73500000000001"/>
    <s v="Rat Islands, Aleutian Islands, Alaska"/>
    <x v="3"/>
    <x v="38"/>
    <n v="4"/>
    <n v="7.9"/>
    <n v="0"/>
    <n v="0.13300000000000001"/>
    <n v="22"/>
    <n v="109"/>
    <n v="6"/>
    <n v="8"/>
    <n v="1"/>
    <n v="963"/>
  </r>
  <r>
    <x v="417"/>
    <n v="6.5"/>
    <s v="22-12-2003 19:15"/>
    <n v="7"/>
    <n v="9"/>
    <m/>
    <n v="0"/>
    <n v="1390"/>
    <s v="nc"/>
    <n v="65"/>
    <n v="4.6850000000000003E-2"/>
    <n v="71"/>
    <s v="mw"/>
    <n v="8.3819999999999997"/>
    <n v="35.700499999999998"/>
    <n v="-121.101"/>
    <s v="San Simeon, California"/>
    <x v="3"/>
    <x v="38"/>
    <n v="4"/>
    <n v="6.5"/>
    <n v="65"/>
    <n v="4.6850000000000003E-2"/>
    <n v="71"/>
    <n v="8.3819999999999997"/>
    <n v="7"/>
    <n v="9"/>
    <n v="0"/>
    <n v="1390"/>
  </r>
  <r>
    <x v="418"/>
    <n v="7.6"/>
    <s v="19-10-2020 20:54"/>
    <n v="9"/>
    <n v="7"/>
    <s v="yellow"/>
    <n v="1"/>
    <n v="1165"/>
    <s v="us"/>
    <n v="0"/>
    <n v="0.23"/>
    <n v="36"/>
    <s v="mww"/>
    <n v="28.37"/>
    <n v="54.661999999999999"/>
    <n v="-159.67500000000001"/>
    <s v="Sand Point, Alaska"/>
    <x v="3"/>
    <x v="38"/>
    <n v="4"/>
    <n v="7.6"/>
    <n v="0"/>
    <n v="0.23"/>
    <n v="36"/>
    <n v="28.37"/>
    <n v="9"/>
    <n v="7"/>
    <n v="1"/>
    <n v="1165"/>
  </r>
  <r>
    <x v="419"/>
    <n v="7.1"/>
    <d v="2019-06-07T03:19:00"/>
    <n v="9"/>
    <n v="9"/>
    <s v="yellow"/>
    <n v="0"/>
    <n v="1646"/>
    <s v="ci"/>
    <n v="77"/>
    <n v="4.616E-2"/>
    <n v="43"/>
    <s v="mw"/>
    <n v="8"/>
    <n v="35.769500000000001"/>
    <n v="-117.599"/>
    <s v="Searles Valley, CA"/>
    <x v="3"/>
    <x v="38"/>
    <n v="4"/>
    <n v="7.1"/>
    <n v="77"/>
    <n v="4.616E-2"/>
    <n v="43"/>
    <n v="8"/>
    <n v="9"/>
    <n v="9"/>
    <n v="0"/>
    <n v="1646"/>
  </r>
  <r>
    <x v="420"/>
    <n v="6.5"/>
    <s v="31-03-2020 23:52"/>
    <n v="8"/>
    <n v="8"/>
    <s v="green"/>
    <n v="0"/>
    <n v="1410"/>
    <s v="us"/>
    <n v="0"/>
    <n v="0.88500000000000001"/>
    <n v="31"/>
    <s v="mww"/>
    <n v="12.06"/>
    <n v="44.464599999999997"/>
    <n v="-115.11799999999999"/>
    <s v="Stanley, Idaho"/>
    <x v="3"/>
    <x v="38"/>
    <n v="4"/>
    <n v="6.5"/>
    <n v="0"/>
    <n v="0.88500000000000001"/>
    <n v="31"/>
    <n v="12.06"/>
    <n v="8"/>
    <n v="8"/>
    <n v="0"/>
    <n v="1410"/>
  </r>
  <r>
    <x v="421"/>
    <n v="6.8"/>
    <s v="29-05-2015 07:00"/>
    <n v="5"/>
    <n v="6"/>
    <s v="green"/>
    <n v="1"/>
    <n v="762"/>
    <s v="ak"/>
    <n v="0"/>
    <n v="0"/>
    <n v="0"/>
    <s v="mw"/>
    <n v="72.599999999999994"/>
    <n v="56.594000000000001"/>
    <n v="-156.43"/>
    <s v="Ugashik, Alaska"/>
    <x v="3"/>
    <x v="38"/>
    <n v="4"/>
    <n v="6.8"/>
    <n v="0"/>
    <n v="0"/>
    <n v="0"/>
    <n v="72.599999999999994"/>
    <n v="5"/>
    <n v="6"/>
    <n v="1"/>
    <n v="762"/>
  </r>
  <r>
    <x v="422"/>
    <n v="6.8"/>
    <s v="14-12-2004 23:20"/>
    <n v="5"/>
    <n v="6"/>
    <m/>
    <n v="0"/>
    <n v="858"/>
    <s v="us"/>
    <n v="639"/>
    <n v="0"/>
    <n v="21.8"/>
    <s v="mwb"/>
    <n v="10"/>
    <n v="18.957999999999998"/>
    <n v="-81.409000000000006"/>
    <s v="George Town, Cayman Islands"/>
    <x v="3"/>
    <x v="22"/>
    <n v="4"/>
    <n v="6.8"/>
    <n v="639"/>
    <n v="0"/>
    <n v="21.8"/>
    <n v="10"/>
    <n v="5"/>
    <n v="6"/>
    <n v="0"/>
    <n v="858"/>
  </r>
  <r>
    <x v="423"/>
    <n v="6.7"/>
    <s v="22-01-2019 19:01"/>
    <n v="0"/>
    <n v="3"/>
    <s v="green"/>
    <n v="0"/>
    <n v="691"/>
    <s v="us"/>
    <n v="0"/>
    <n v="7.5270000000000001"/>
    <n v="17"/>
    <s v="mww"/>
    <n v="13"/>
    <n v="-43.121899999999997"/>
    <n v="42.3568"/>
    <s v="Prince Edward Islands region"/>
    <x v="3"/>
    <x v="22"/>
    <n v="4"/>
    <n v="6.7"/>
    <n v="0"/>
    <n v="7.5270000000000001"/>
    <n v="17"/>
    <n v="13"/>
    <n v="0"/>
    <n v="3"/>
    <n v="0"/>
    <n v="691"/>
  </r>
  <r>
    <x v="424"/>
    <n v="6.6"/>
    <s v="14-07-2019 05:39"/>
    <n v="5"/>
    <n v="5"/>
    <s v="green"/>
    <n v="0"/>
    <n v="791"/>
    <s v="us"/>
    <n v="0"/>
    <n v="2.9780000000000002"/>
    <n v="32"/>
    <s v="mww"/>
    <n v="10"/>
    <n v="-18.2242"/>
    <n v="120.358"/>
    <s v="Broome, Australia"/>
    <x v="4"/>
    <x v="39"/>
    <n v="5"/>
    <n v="6.6"/>
    <n v="0"/>
    <n v="2.9780000000000002"/>
    <n v="32"/>
    <n v="10"/>
    <n v="5"/>
    <n v="5"/>
    <n v="0"/>
    <n v="791"/>
  </r>
  <r>
    <x v="425"/>
    <n v="7.3"/>
    <d v="2009-09-11T10:44:00"/>
    <n v="0"/>
    <n v="4"/>
    <m/>
    <n v="0"/>
    <n v="820"/>
    <s v="us"/>
    <n v="430"/>
    <n v="0"/>
    <n v="15"/>
    <s v="mwc"/>
    <n v="595"/>
    <n v="-17.239000000000001"/>
    <n v="178.33099999999999"/>
    <s v="Ba, Fiji"/>
    <x v="4"/>
    <x v="40"/>
    <n v="5"/>
    <n v="7.3"/>
    <n v="430"/>
    <n v="0"/>
    <n v="15"/>
    <n v="595"/>
    <n v="0"/>
    <n v="4"/>
    <n v="0"/>
    <n v="820"/>
  </r>
  <r>
    <x v="426"/>
    <n v="6.9"/>
    <s v="24-09-2016 21:28"/>
    <n v="2"/>
    <n v="3"/>
    <s v="green"/>
    <n v="1"/>
    <n v="733"/>
    <s v="us"/>
    <n v="0"/>
    <n v="4.0510000000000002"/>
    <n v="9"/>
    <s v="mww"/>
    <n v="596.4"/>
    <n v="-19.7819"/>
    <n v="-178.244"/>
    <s v="Fiji region"/>
    <x v="4"/>
    <x v="40"/>
    <n v="5"/>
    <n v="6.9"/>
    <n v="0"/>
    <n v="4.0510000000000002"/>
    <n v="9"/>
    <n v="596.4"/>
    <n v="2"/>
    <n v="3"/>
    <n v="1"/>
    <n v="733"/>
  </r>
  <r>
    <x v="426"/>
    <n v="6.9"/>
    <s v="21-07-2014 14:54"/>
    <n v="0"/>
    <n v="6"/>
    <s v="green"/>
    <n v="1"/>
    <n v="732"/>
    <s v="us"/>
    <n v="0"/>
    <n v="3.9340000000000002"/>
    <n v="15"/>
    <s v="mww"/>
    <n v="615.41999999999996"/>
    <n v="-19.801500000000001"/>
    <n v="-178.4"/>
    <s v="Fiji region"/>
    <x v="4"/>
    <x v="40"/>
    <n v="5"/>
    <n v="6.9"/>
    <n v="0"/>
    <n v="3.9340000000000002"/>
    <n v="15"/>
    <n v="615.41999999999996"/>
    <n v="0"/>
    <n v="6"/>
    <n v="1"/>
    <n v="732"/>
  </r>
  <r>
    <x v="427"/>
    <n v="7.1"/>
    <d v="2014-01-11T18:57:00"/>
    <n v="3"/>
    <n v="6"/>
    <s v="green"/>
    <n v="1"/>
    <n v="776"/>
    <s v="us"/>
    <n v="0"/>
    <n v="4.415"/>
    <n v="13"/>
    <s v="mww"/>
    <n v="434"/>
    <n v="-19.690300000000001"/>
    <n v="-177.75899999999999"/>
    <s v="Fiji region"/>
    <x v="4"/>
    <x v="40"/>
    <n v="5"/>
    <n v="7.1"/>
    <n v="0"/>
    <n v="4.415"/>
    <n v="13"/>
    <n v="434"/>
    <n v="3"/>
    <n v="6"/>
    <n v="1"/>
    <n v="776"/>
  </r>
  <r>
    <x v="428"/>
    <n v="6.5"/>
    <s v="23-11-2013 07:48"/>
    <n v="3"/>
    <n v="4"/>
    <s v="green"/>
    <n v="0"/>
    <n v="651"/>
    <s v="us"/>
    <n v="0"/>
    <n v="5.194"/>
    <n v="22"/>
    <s v="mww"/>
    <n v="371"/>
    <n v="-17.117100000000001"/>
    <n v="-176.54499999999999"/>
    <s v="Fiji region"/>
    <x v="4"/>
    <x v="40"/>
    <n v="5"/>
    <n v="6.5"/>
    <n v="0"/>
    <n v="5.194"/>
    <n v="22"/>
    <n v="371"/>
    <n v="3"/>
    <n v="4"/>
    <n v="0"/>
    <n v="651"/>
  </r>
  <r>
    <x v="429"/>
    <n v="6.5"/>
    <d v="2006-07-04T08:30:00"/>
    <n v="3"/>
    <n v="5"/>
    <m/>
    <n v="0"/>
    <n v="654"/>
    <s v="us"/>
    <n v="247"/>
    <n v="0"/>
    <n v="25.5"/>
    <s v="mwc"/>
    <n v="14"/>
    <n v="-16.527000000000001"/>
    <n v="176.989"/>
    <s v="Lautoka, Fiji"/>
    <x v="4"/>
    <x v="40"/>
    <n v="5"/>
    <n v="6.5"/>
    <n v="247"/>
    <n v="0"/>
    <n v="25.5"/>
    <n v="14"/>
    <n v="3"/>
    <n v="5"/>
    <n v="0"/>
    <n v="654"/>
  </r>
  <r>
    <x v="430"/>
    <n v="8.1999999999999993"/>
    <s v="19-08-2018 00:19"/>
    <n v="5"/>
    <n v="4"/>
    <s v="green"/>
    <n v="1"/>
    <n v="1050"/>
    <s v="us"/>
    <n v="0"/>
    <n v="3.63"/>
    <n v="13"/>
    <s v="mww"/>
    <n v="600"/>
    <n v="-18.112500000000001"/>
    <n v="-178.15299999999999"/>
    <s v="Levuka, Fiji"/>
    <x v="4"/>
    <x v="40"/>
    <n v="5"/>
    <n v="8.1999999999999993"/>
    <n v="0"/>
    <n v="3.63"/>
    <n v="13"/>
    <n v="600"/>
    <n v="5"/>
    <n v="4"/>
    <n v="1"/>
    <n v="1050"/>
  </r>
  <r>
    <x v="431"/>
    <n v="7.9"/>
    <d v="2018-06-09T15:49:00"/>
    <n v="7"/>
    <n v="4"/>
    <s v="green"/>
    <n v="1"/>
    <n v="979"/>
    <s v="us"/>
    <n v="0"/>
    <n v="1.431"/>
    <n v="12"/>
    <s v="mww"/>
    <n v="670.81"/>
    <n v="-18.474299999999999"/>
    <n v="179.35"/>
    <s v="Levuka, Fiji"/>
    <x v="4"/>
    <x v="40"/>
    <n v="5"/>
    <n v="7.9"/>
    <n v="0"/>
    <n v="1.431"/>
    <n v="12"/>
    <n v="670.81"/>
    <n v="7"/>
    <n v="4"/>
    <n v="1"/>
    <n v="979"/>
  </r>
  <r>
    <x v="432"/>
    <n v="6.8"/>
    <s v="18-11-2018 20:25"/>
    <n v="0"/>
    <n v="3"/>
    <s v="green"/>
    <n v="1"/>
    <n v="711"/>
    <s v="us"/>
    <n v="0"/>
    <n v="2.879"/>
    <n v="39"/>
    <s v="mww"/>
    <n v="540"/>
    <n v="-17.8735"/>
    <n v="-178.92699999999999"/>
    <s v="Levuka, Fiji"/>
    <x v="4"/>
    <x v="40"/>
    <n v="5"/>
    <n v="6.8"/>
    <n v="0"/>
    <n v="2.879"/>
    <n v="39"/>
    <n v="540"/>
    <n v="0"/>
    <n v="3"/>
    <n v="1"/>
    <n v="711"/>
  </r>
  <r>
    <x v="433"/>
    <n v="6.7"/>
    <s v="30-09-2018 10:52"/>
    <n v="2"/>
    <n v="3"/>
    <s v="green"/>
    <n v="1"/>
    <n v="691"/>
    <s v="us"/>
    <n v="0"/>
    <n v="3.7450000000000001"/>
    <n v="23"/>
    <s v="mww"/>
    <n v="550"/>
    <n v="-18.360399999999998"/>
    <n v="-178.06299999999999"/>
    <s v="Levuka, Fiji"/>
    <x v="4"/>
    <x v="40"/>
    <n v="5"/>
    <n v="6.7"/>
    <n v="0"/>
    <n v="3.7450000000000001"/>
    <n v="23"/>
    <n v="550"/>
    <n v="2"/>
    <n v="3"/>
    <n v="1"/>
    <n v="691"/>
  </r>
  <r>
    <x v="434"/>
    <n v="6.9"/>
    <d v="2017-03-01T21:52:00"/>
    <n v="6"/>
    <n v="4"/>
    <s v="green"/>
    <n v="1"/>
    <n v="742"/>
    <s v="us"/>
    <n v="0"/>
    <n v="2.4950000000000001"/>
    <n v="13"/>
    <s v="mww"/>
    <n v="12"/>
    <n v="-19.3733"/>
    <n v="176.05199999999999"/>
    <s v="Nadi, Fiji"/>
    <x v="4"/>
    <x v="40"/>
    <n v="5"/>
    <n v="6.9"/>
    <n v="0"/>
    <n v="2.4950000000000001"/>
    <n v="13"/>
    <n v="12"/>
    <n v="6"/>
    <n v="4"/>
    <n v="1"/>
    <n v="742"/>
  </r>
  <r>
    <x v="435"/>
    <n v="6.6"/>
    <d v="2019-01-09T15:54:00"/>
    <n v="2"/>
    <n v="3"/>
    <m/>
    <n v="1"/>
    <n v="671"/>
    <s v="us"/>
    <n v="0"/>
    <n v="4.1210000000000004"/>
    <n v="19"/>
    <s v="mww"/>
    <n v="591"/>
    <n v="-20.364100000000001"/>
    <n v="-178.57"/>
    <s v="Ndoi Island, Fiji"/>
    <x v="4"/>
    <x v="40"/>
    <n v="5"/>
    <n v="6.6"/>
    <n v="0"/>
    <n v="4.1210000000000004"/>
    <n v="19"/>
    <n v="591"/>
    <n v="2"/>
    <n v="3"/>
    <n v="1"/>
    <n v="671"/>
  </r>
  <r>
    <x v="436"/>
    <n v="6.5"/>
    <d v="2019-08-11T10:44:00"/>
    <n v="0"/>
    <n v="2"/>
    <s v="green"/>
    <n v="0"/>
    <n v="650"/>
    <s v="us"/>
    <n v="0"/>
    <n v="4.7649999999999997"/>
    <n v="25"/>
    <s v="mww"/>
    <n v="577"/>
    <n v="-21.944900000000001"/>
    <n v="-179.511"/>
    <s v="Ndoi Island, Fiji"/>
    <x v="4"/>
    <x v="40"/>
    <n v="5"/>
    <n v="6.5"/>
    <n v="0"/>
    <n v="4.7649999999999997"/>
    <n v="25"/>
    <n v="577"/>
    <n v="0"/>
    <n v="2"/>
    <n v="0"/>
    <n v="650"/>
  </r>
  <r>
    <x v="437"/>
    <n v="7"/>
    <d v="2022-09-11T09:51:00"/>
    <n v="4"/>
    <n v="3"/>
    <s v="green"/>
    <n v="1"/>
    <n v="755"/>
    <s v="us"/>
    <n v="142"/>
    <n v="4.5780000000000003"/>
    <n v="26"/>
    <s v="mwb"/>
    <n v="660"/>
    <n v="-26.0442"/>
    <n v="178.381"/>
    <s v="the Fiji Islands"/>
    <x v="4"/>
    <x v="40"/>
    <n v="5"/>
    <n v="7"/>
    <n v="142"/>
    <n v="4.5780000000000003"/>
    <n v="26"/>
    <n v="660"/>
    <n v="4"/>
    <n v="3"/>
    <n v="1"/>
    <n v="755"/>
  </r>
  <r>
    <x v="438"/>
    <n v="6.9"/>
    <s v="24-02-2017 17:28"/>
    <n v="2"/>
    <n v="3"/>
    <s v="green"/>
    <n v="1"/>
    <n v="733"/>
    <s v="us"/>
    <n v="0"/>
    <n v="6.0119999999999996"/>
    <n v="19"/>
    <s v="mww"/>
    <n v="414.5"/>
    <n v="-23.2593"/>
    <n v="-178.804"/>
    <s v="the Fiji Islands"/>
    <x v="4"/>
    <x v="40"/>
    <n v="5"/>
    <n v="6.9"/>
    <n v="0"/>
    <n v="6.0119999999999996"/>
    <n v="19"/>
    <n v="414.5"/>
    <n v="2"/>
    <n v="3"/>
    <n v="1"/>
    <n v="733"/>
  </r>
  <r>
    <x v="439"/>
    <n v="6.8"/>
    <d v="2022-09-11T09:38:00"/>
    <n v="1"/>
    <n v="3"/>
    <s v="green"/>
    <n v="1"/>
    <n v="711"/>
    <s v="us"/>
    <n v="136"/>
    <n v="4.6779999999999999"/>
    <n v="22"/>
    <s v="mww"/>
    <n v="630.37900000000002"/>
    <n v="-25.9678"/>
    <n v="178.363"/>
    <s v="the Fiji Islands"/>
    <x v="4"/>
    <x v="40"/>
    <n v="5"/>
    <n v="6.8"/>
    <n v="136"/>
    <n v="4.6779999999999999"/>
    <n v="22"/>
    <n v="630.37900000000002"/>
    <n v="1"/>
    <n v="3"/>
    <n v="1"/>
    <n v="711"/>
  </r>
  <r>
    <x v="439"/>
    <n v="6.8"/>
    <s v="16-02-2022 20:21"/>
    <n v="2"/>
    <n v="3"/>
    <s v="green"/>
    <n v="1"/>
    <n v="712"/>
    <s v="us"/>
    <n v="0"/>
    <n v="5.78"/>
    <n v="12"/>
    <s v="mww"/>
    <n v="535"/>
    <n v="-23.7852"/>
    <n v="-179.96799999999999"/>
    <s v="the Fiji Islands"/>
    <x v="4"/>
    <x v="40"/>
    <n v="5"/>
    <n v="6.8"/>
    <n v="0"/>
    <n v="5.78"/>
    <n v="12"/>
    <n v="535"/>
    <n v="2"/>
    <n v="3"/>
    <n v="1"/>
    <n v="712"/>
  </r>
  <r>
    <x v="440"/>
    <n v="6.5"/>
    <s v="16-09-2018 21:11"/>
    <n v="4"/>
    <n v="1"/>
    <s v="green"/>
    <n v="0"/>
    <n v="651"/>
    <s v="us"/>
    <n v="0"/>
    <n v="5.1390000000000002"/>
    <n v="18"/>
    <s v="mww"/>
    <n v="576"/>
    <n v="-25.414999999999999"/>
    <n v="178.19900000000001"/>
    <s v="the Fiji Islands"/>
    <x v="4"/>
    <x v="40"/>
    <n v="5"/>
    <n v="6.5"/>
    <n v="0"/>
    <n v="5.1390000000000002"/>
    <n v="18"/>
    <n v="576"/>
    <n v="4"/>
    <n v="1"/>
    <n v="0"/>
    <n v="651"/>
  </r>
  <r>
    <x v="441"/>
    <n v="7"/>
    <d v="2022-12-11T07:09:00"/>
    <n v="3"/>
    <n v="3"/>
    <s v="green"/>
    <n v="1"/>
    <n v="755"/>
    <s v="us"/>
    <n v="147"/>
    <n v="3.125"/>
    <n v="18"/>
    <s v="mww"/>
    <n v="579"/>
    <n v="-20.050799999999999"/>
    <n v="-178.346"/>
    <m/>
    <x v="4"/>
    <x v="40"/>
    <n v="5"/>
    <n v="7"/>
    <n v="147"/>
    <n v="3.125"/>
    <n v="18"/>
    <n v="579"/>
    <n v="3"/>
    <n v="3"/>
    <n v="1"/>
    <n v="755"/>
  </r>
  <r>
    <x v="442"/>
    <n v="7.5"/>
    <d v="2018-05-12T04:18:00"/>
    <n v="3"/>
    <n v="6"/>
    <s v="green"/>
    <n v="1"/>
    <n v="871"/>
    <s v="us"/>
    <n v="0"/>
    <n v="2.4049999999999998"/>
    <n v="18"/>
    <s v="mww"/>
    <n v="10"/>
    <n v="-21.9496"/>
    <n v="169.42699999999999"/>
    <s v="Tadine, New Caledonia"/>
    <x v="4"/>
    <x v="41"/>
    <n v="5"/>
    <n v="7.5"/>
    <n v="0"/>
    <n v="2.4049999999999998"/>
    <n v="18"/>
    <n v="10"/>
    <n v="3"/>
    <n v="6"/>
    <n v="1"/>
    <n v="871"/>
  </r>
  <r>
    <x v="443"/>
    <n v="7.3"/>
    <s v="27-12-2003 16:00"/>
    <n v="0"/>
    <n v="4"/>
    <m/>
    <n v="0"/>
    <n v="820"/>
    <s v="us"/>
    <n v="235"/>
    <n v="0"/>
    <n v="46.6"/>
    <s v="mwc"/>
    <n v="10"/>
    <n v="-22.015000000000001"/>
    <n v="169.76599999999999"/>
    <s v="Tadine, New Caledonia"/>
    <x v="4"/>
    <x v="41"/>
    <n v="5"/>
    <n v="7.3"/>
    <n v="235"/>
    <n v="0"/>
    <n v="46.6"/>
    <n v="10"/>
    <n v="0"/>
    <n v="4"/>
    <n v="0"/>
    <n v="820"/>
  </r>
  <r>
    <x v="444"/>
    <n v="7.1"/>
    <s v="29-08-2018 03:51"/>
    <n v="2"/>
    <n v="5"/>
    <s v="green"/>
    <n v="1"/>
    <n v="776"/>
    <s v="us"/>
    <n v="0"/>
    <n v="2.548"/>
    <n v="23"/>
    <s v="mww"/>
    <n v="21.43"/>
    <n v="-22.029499999999999"/>
    <n v="170.126"/>
    <s v="Tadine, New Caledonia"/>
    <x v="4"/>
    <x v="41"/>
    <n v="5"/>
    <n v="7.1"/>
    <n v="0"/>
    <n v="2.548"/>
    <n v="23"/>
    <n v="21.43"/>
    <n v="2"/>
    <n v="5"/>
    <n v="1"/>
    <n v="776"/>
  </r>
  <r>
    <x v="445"/>
    <n v="7"/>
    <s v="19-11-2017 22:43"/>
    <n v="4"/>
    <n v="6"/>
    <s v="green"/>
    <n v="1"/>
    <n v="771"/>
    <s v="us"/>
    <n v="0"/>
    <n v="0.61699999999999999"/>
    <n v="14"/>
    <s v="mww"/>
    <n v="10"/>
    <n v="-21.3246"/>
    <n v="168.67099999999999"/>
    <s v="Tadine, New Caledonia"/>
    <x v="4"/>
    <x v="41"/>
    <n v="5"/>
    <n v="7"/>
    <n v="0"/>
    <n v="0.61699999999999999"/>
    <n v="14"/>
    <n v="10"/>
    <n v="4"/>
    <n v="6"/>
    <n v="1"/>
    <n v="771"/>
  </r>
  <r>
    <x v="446"/>
    <n v="7"/>
    <s v="13-01-2011 16:16"/>
    <n v="2"/>
    <n v="5"/>
    <m/>
    <n v="0"/>
    <n v="755"/>
    <s v="us"/>
    <n v="578"/>
    <n v="0"/>
    <n v="13.3"/>
    <s v="mww"/>
    <n v="9"/>
    <n v="-20.628"/>
    <n v="168.471"/>
    <s v="Tadine, New Caledonia"/>
    <x v="4"/>
    <x v="41"/>
    <n v="5"/>
    <n v="7"/>
    <n v="578"/>
    <n v="0"/>
    <n v="13.3"/>
    <n v="9"/>
    <n v="2"/>
    <n v="5"/>
    <n v="0"/>
    <n v="755"/>
  </r>
  <r>
    <x v="447"/>
    <n v="6.9"/>
    <s v="30-03-2022 20:56"/>
    <n v="6"/>
    <n v="4"/>
    <s v="green"/>
    <n v="1"/>
    <n v="738"/>
    <s v="us"/>
    <n v="0"/>
    <n v="2.6970000000000001"/>
    <n v="42"/>
    <s v="mww"/>
    <n v="10"/>
    <n v="-22.72"/>
    <n v="170.27699999999999"/>
    <s v="Tadine, New Caledonia"/>
    <x v="4"/>
    <x v="41"/>
    <n v="5"/>
    <n v="6.9"/>
    <n v="0"/>
    <n v="2.6970000000000001"/>
    <n v="42"/>
    <n v="10"/>
    <n v="6"/>
    <n v="4"/>
    <n v="1"/>
    <n v="738"/>
  </r>
  <r>
    <x v="448"/>
    <n v="6.7"/>
    <s v="31-10-2017 00:42"/>
    <n v="3"/>
    <n v="4"/>
    <s v="green"/>
    <n v="1"/>
    <n v="691"/>
    <s v="us"/>
    <n v="0"/>
    <n v="1.0620000000000001"/>
    <n v="55"/>
    <s v="mww"/>
    <n v="24"/>
    <n v="-21.697099999999999"/>
    <n v="169.148"/>
    <s v="Tadine, New Caledonia"/>
    <x v="4"/>
    <x v="41"/>
    <n v="5"/>
    <n v="6.7"/>
    <n v="0"/>
    <n v="1.0620000000000001"/>
    <n v="55"/>
    <n v="24"/>
    <n v="3"/>
    <n v="4"/>
    <n v="1"/>
    <n v="691"/>
  </r>
  <r>
    <x v="449"/>
    <n v="6.6"/>
    <d v="2018-05-12T06:43:00"/>
    <n v="0"/>
    <n v="4"/>
    <s v="green"/>
    <n v="1"/>
    <n v="670"/>
    <s v="us"/>
    <n v="0"/>
    <n v="2.6789999999999998"/>
    <n v="31"/>
    <s v="mww"/>
    <n v="10"/>
    <n v="-22.062899999999999"/>
    <n v="169.733"/>
    <s v="Tadine, New Caledonia"/>
    <x v="4"/>
    <x v="41"/>
    <n v="5"/>
    <n v="6.6"/>
    <n v="0"/>
    <n v="2.6789999999999998"/>
    <n v="31"/>
    <n v="10"/>
    <n v="0"/>
    <n v="4"/>
    <n v="1"/>
    <n v="670"/>
  </r>
  <r>
    <x v="450"/>
    <n v="6.6"/>
    <s v="19-11-2017 15:09"/>
    <n v="4"/>
    <n v="5"/>
    <s v="green"/>
    <n v="1"/>
    <n v="676"/>
    <s v="us"/>
    <n v="0"/>
    <n v="0.52900000000000003"/>
    <n v="21"/>
    <s v="mww"/>
    <n v="13"/>
    <n v="-21.502700000000001"/>
    <n v="168.59800000000001"/>
    <s v="Tadine, New Caledonia"/>
    <x v="4"/>
    <x v="41"/>
    <n v="5"/>
    <n v="6.6"/>
    <n v="0"/>
    <n v="0.52900000000000003"/>
    <n v="21"/>
    <n v="13"/>
    <n v="4"/>
    <n v="5"/>
    <n v="1"/>
    <n v="676"/>
  </r>
  <r>
    <x v="451"/>
    <n v="6.6"/>
    <d v="2017-01-11T02:23:00"/>
    <n v="3"/>
    <n v="5"/>
    <s v="green"/>
    <n v="1"/>
    <n v="674"/>
    <s v="us"/>
    <n v="0"/>
    <n v="0.78800000000000003"/>
    <n v="29"/>
    <s v="mww"/>
    <n v="22"/>
    <n v="-21.648399999999999"/>
    <n v="168.85900000000001"/>
    <s v="Tadine, New Caledonia"/>
    <x v="4"/>
    <x v="41"/>
    <n v="5"/>
    <n v="6.6"/>
    <n v="0"/>
    <n v="0.78800000000000003"/>
    <n v="29"/>
    <n v="22"/>
    <n v="3"/>
    <n v="5"/>
    <n v="1"/>
    <n v="674"/>
  </r>
  <r>
    <x v="452"/>
    <n v="6.5"/>
    <s v="16-10-2018 01:03"/>
    <n v="0"/>
    <n v="4"/>
    <s v="green"/>
    <n v="1"/>
    <n v="650"/>
    <s v="us"/>
    <n v="0"/>
    <n v="2.109"/>
    <n v="22"/>
    <s v="mww"/>
    <n v="17"/>
    <n v="-21.742699999999999"/>
    <n v="169.52199999999999"/>
    <s v="Tadine, New Caledonia"/>
    <x v="4"/>
    <x v="41"/>
    <n v="5"/>
    <n v="6.5"/>
    <n v="0"/>
    <n v="2.109"/>
    <n v="22"/>
    <n v="17"/>
    <n v="0"/>
    <n v="4"/>
    <n v="1"/>
    <n v="650"/>
  </r>
  <r>
    <x v="453"/>
    <n v="7.8"/>
    <s v="13-11-2016 11:02"/>
    <n v="9"/>
    <n v="9"/>
    <s v="orange"/>
    <n v="1"/>
    <n v="1545"/>
    <s v="us"/>
    <n v="0"/>
    <n v="0.48099999999999998"/>
    <n v="21"/>
    <s v="mww"/>
    <n v="15.11"/>
    <n v="-42.737299999999998"/>
    <n v="173.054"/>
    <s v="Amberley, New Zealand"/>
    <x v="4"/>
    <x v="42"/>
    <n v="5"/>
    <n v="7.8"/>
    <n v="0"/>
    <n v="0.48099999999999998"/>
    <n v="21"/>
    <n v="15.11"/>
    <n v="9"/>
    <n v="9"/>
    <n v="1"/>
    <n v="1545"/>
  </r>
  <r>
    <x v="454"/>
    <n v="6.5"/>
    <s v="14-11-2016 00:34"/>
    <n v="7"/>
    <n v="7"/>
    <s v="yellow"/>
    <n v="1"/>
    <n v="664"/>
    <s v="us"/>
    <n v="0"/>
    <n v="0.28299999999999997"/>
    <n v="56"/>
    <s v="mww"/>
    <n v="9"/>
    <n v="-42.605800000000002"/>
    <n v="173.25399999999999"/>
    <s v="Amberley, New Zealand"/>
    <x v="4"/>
    <x v="42"/>
    <n v="5"/>
    <n v="6.5"/>
    <n v="0"/>
    <n v="0.28299999999999997"/>
    <n v="56"/>
    <n v="9"/>
    <n v="7"/>
    <n v="7"/>
    <n v="1"/>
    <n v="664"/>
  </r>
  <r>
    <x v="455"/>
    <n v="6.6"/>
    <d v="2017-11-07T07:00:00"/>
    <n v="5"/>
    <n v="4"/>
    <s v="green"/>
    <n v="1"/>
    <n v="704"/>
    <s v="us"/>
    <n v="0"/>
    <n v="3.7730000000000001"/>
    <n v="37"/>
    <s v="mww"/>
    <n v="10"/>
    <n v="-49.483699999999999"/>
    <n v="164.01599999999999"/>
    <s v="Auckland Islands, New Zealand region"/>
    <x v="4"/>
    <x v="42"/>
    <n v="5"/>
    <n v="6.6"/>
    <n v="0"/>
    <n v="3.7730000000000001"/>
    <n v="37"/>
    <n v="10"/>
    <n v="5"/>
    <n v="4"/>
    <n v="1"/>
    <n v="704"/>
  </r>
  <r>
    <x v="456"/>
    <n v="6.5"/>
    <s v="13-11-2016 11:32"/>
    <n v="6"/>
    <n v="7"/>
    <s v="yellow"/>
    <n v="1"/>
    <n v="656"/>
    <s v="us"/>
    <n v="0"/>
    <n v="0.13500000000000001"/>
    <n v="58"/>
    <s v="mww"/>
    <n v="10"/>
    <n v="-42.320500000000003"/>
    <n v="173.66900000000001"/>
    <s v="Blenheim, New Zealand"/>
    <x v="4"/>
    <x v="42"/>
    <n v="5"/>
    <n v="6.5"/>
    <n v="0"/>
    <n v="0.13500000000000001"/>
    <n v="58"/>
    <n v="10"/>
    <n v="6"/>
    <n v="7"/>
    <n v="1"/>
    <n v="656"/>
  </r>
  <r>
    <x v="457"/>
    <n v="6.5"/>
    <s v="16-08-2013 02:31"/>
    <n v="9"/>
    <n v="7"/>
    <s v="yellow"/>
    <n v="1"/>
    <n v="690"/>
    <s v="us"/>
    <n v="0"/>
    <n v="0"/>
    <n v="0"/>
    <s v="mww"/>
    <n v="8.1999999999999993"/>
    <n v="-41.734000000000002"/>
    <n v="174.15199999999999"/>
    <s v="Blenheim, New Zealand"/>
    <x v="4"/>
    <x v="42"/>
    <n v="5"/>
    <n v="6.5"/>
    <n v="0"/>
    <n v="0"/>
    <n v="0"/>
    <n v="8.1999999999999993"/>
    <n v="9"/>
    <n v="7"/>
    <n v="1"/>
    <n v="690"/>
  </r>
  <r>
    <x v="458"/>
    <n v="6.5"/>
    <s v="21-07-2013 05:09"/>
    <n v="6"/>
    <n v="7"/>
    <s v="yellow"/>
    <n v="1"/>
    <n v="693"/>
    <s v="us"/>
    <n v="229"/>
    <n v="0"/>
    <n v="20"/>
    <s v="mww"/>
    <n v="17"/>
    <n v="-41.704000000000001"/>
    <n v="174.33699999999999"/>
    <s v="Blenheim, New Zealand"/>
    <x v="4"/>
    <x v="42"/>
    <n v="5"/>
    <n v="6.5"/>
    <n v="229"/>
    <n v="0"/>
    <n v="20"/>
    <n v="17"/>
    <n v="6"/>
    <n v="7"/>
    <n v="1"/>
    <n v="693"/>
  </r>
  <r>
    <x v="459"/>
    <n v="7.3"/>
    <d v="2021-04-03T13:27:00"/>
    <n v="7"/>
    <n v="6"/>
    <s v="green"/>
    <n v="1"/>
    <n v="932"/>
    <s v="us"/>
    <n v="0"/>
    <n v="0.91800000000000004"/>
    <n v="24"/>
    <s v="mww"/>
    <n v="10"/>
    <n v="-37.595999999999997"/>
    <n v="179.54400000000001"/>
    <s v="Gisborne, New Zealand"/>
    <x v="4"/>
    <x v="42"/>
    <n v="5"/>
    <n v="7.3"/>
    <n v="0"/>
    <n v="0.91800000000000004"/>
    <n v="24"/>
    <n v="10"/>
    <n v="7"/>
    <n v="6"/>
    <n v="1"/>
    <n v="932"/>
  </r>
  <r>
    <x v="460"/>
    <n v="7"/>
    <d v="2016-01-09T16:37:00"/>
    <n v="5"/>
    <n v="6"/>
    <s v="green"/>
    <n v="1"/>
    <n v="897"/>
    <s v="us"/>
    <n v="0"/>
    <n v="0.69799999999999995"/>
    <n v="21"/>
    <s v="mww"/>
    <n v="19"/>
    <n v="-37.358600000000003"/>
    <n v="179.14599999999999"/>
    <s v="Gisborne, New Zealand"/>
    <x v="4"/>
    <x v="42"/>
    <n v="5"/>
    <n v="7"/>
    <n v="0"/>
    <n v="0.69799999999999995"/>
    <n v="21"/>
    <n v="19"/>
    <n v="5"/>
    <n v="6"/>
    <n v="1"/>
    <n v="897"/>
  </r>
  <r>
    <x v="461"/>
    <n v="6.7"/>
    <s v="16-11-2014 22:33"/>
    <n v="7"/>
    <n v="4"/>
    <s v="green"/>
    <n v="1"/>
    <n v="698"/>
    <s v="us"/>
    <n v="0"/>
    <n v="1.079"/>
    <n v="25"/>
    <s v="mww"/>
    <n v="22"/>
    <n v="-37.647799999999997"/>
    <n v="179.66200000000001"/>
    <s v="Gisborne, New Zealand"/>
    <x v="4"/>
    <x v="42"/>
    <n v="5"/>
    <n v="6.7"/>
    <n v="0"/>
    <n v="1.079"/>
    <n v="25"/>
    <n v="22"/>
    <n v="7"/>
    <n v="4"/>
    <n v="1"/>
    <n v="698"/>
  </r>
  <r>
    <x v="462"/>
    <n v="6.6"/>
    <s v="20-12-2007 07:55"/>
    <n v="7"/>
    <n v="6"/>
    <m/>
    <n v="0"/>
    <n v="808"/>
    <s v="us"/>
    <n v="461"/>
    <n v="0"/>
    <n v="18.8"/>
    <s v="mwc"/>
    <n v="20"/>
    <n v="-39.011000000000003"/>
    <n v="178.291"/>
    <s v="Gisborne, New Zealand"/>
    <x v="4"/>
    <x v="42"/>
    <n v="5"/>
    <n v="6.6"/>
    <n v="461"/>
    <n v="0"/>
    <n v="18.8"/>
    <n v="20"/>
    <n v="7"/>
    <n v="6"/>
    <n v="0"/>
    <n v="808"/>
  </r>
  <r>
    <x v="463"/>
    <n v="7.6"/>
    <d v="2011-06-07T19:03:00"/>
    <n v="3"/>
    <n v="7"/>
    <m/>
    <n v="0"/>
    <n v="893"/>
    <s v="us"/>
    <n v="567"/>
    <n v="0"/>
    <n v="33.5"/>
    <s v="mww"/>
    <n v="17"/>
    <n v="-29.539000000000001"/>
    <n v="-176.34"/>
    <s v="Kermadec Islands region"/>
    <x v="4"/>
    <x v="42"/>
    <n v="5"/>
    <n v="7.6"/>
    <n v="567"/>
    <n v="0"/>
    <n v="33.5"/>
    <n v="17"/>
    <n v="3"/>
    <n v="7"/>
    <n v="0"/>
    <n v="893"/>
  </r>
  <r>
    <x v="464"/>
    <n v="6.9"/>
    <d v="2018-10-09T04:19:00"/>
    <n v="3"/>
    <n v="4"/>
    <s v="green"/>
    <n v="0"/>
    <n v="735"/>
    <s v="us"/>
    <n v="0"/>
    <n v="2.7850000000000001"/>
    <n v="18"/>
    <s v="mww"/>
    <n v="115"/>
    <n v="-31.744700000000002"/>
    <n v="-179.37299999999999"/>
    <s v="Kermadec Islands region"/>
    <x v="4"/>
    <x v="42"/>
    <n v="5"/>
    <n v="6.9"/>
    <n v="0"/>
    <n v="2.7850000000000001"/>
    <n v="18"/>
    <n v="115"/>
    <n v="3"/>
    <n v="4"/>
    <n v="0"/>
    <n v="735"/>
  </r>
  <r>
    <x v="465"/>
    <n v="6.5"/>
    <s v="29-01-2022 02:46"/>
    <n v="7"/>
    <n v="4"/>
    <s v="green"/>
    <n v="1"/>
    <n v="651"/>
    <s v="us"/>
    <n v="0"/>
    <n v="1.0880000000000001"/>
    <n v="57"/>
    <s v="mww"/>
    <n v="8"/>
    <n v="-29.535"/>
    <n v="-176.72900000000001"/>
    <s v="Kermadec Islands region"/>
    <x v="4"/>
    <x v="42"/>
    <n v="5"/>
    <n v="6.5"/>
    <n v="0"/>
    <n v="1.0880000000000001"/>
    <n v="57"/>
    <n v="8"/>
    <n v="7"/>
    <n v="4"/>
    <n v="1"/>
    <n v="651"/>
  </r>
  <r>
    <x v="465"/>
    <n v="6.5"/>
    <d v="2021-04-03T23:12:00"/>
    <n v="0"/>
    <n v="4"/>
    <s v="green"/>
    <n v="0"/>
    <n v="650"/>
    <s v="us"/>
    <n v="0"/>
    <n v="11.763999999999999"/>
    <n v="25"/>
    <s v="mwb"/>
    <n v="24"/>
    <n v="-28.479199999999999"/>
    <n v="-176.619"/>
    <s v="Kermadec Islands region"/>
    <x v="4"/>
    <x v="42"/>
    <n v="5"/>
    <n v="6.5"/>
    <n v="0"/>
    <n v="11.763999999999999"/>
    <n v="25"/>
    <n v="24"/>
    <n v="0"/>
    <n v="4"/>
    <n v="0"/>
    <n v="650"/>
  </r>
  <r>
    <x v="466"/>
    <n v="8.1"/>
    <d v="2021-04-03T19:28:00"/>
    <n v="9"/>
    <n v="8"/>
    <s v="green"/>
    <n v="1"/>
    <n v="1021"/>
    <s v="us"/>
    <n v="0"/>
    <n v="0.73899999999999999"/>
    <n v="21"/>
    <s v="mww"/>
    <n v="28.93"/>
    <n v="-29.746600000000001"/>
    <n v="-177.22399999999999"/>
    <s v="Kermadec Islands, New Zealand"/>
    <x v="4"/>
    <x v="42"/>
    <n v="5"/>
    <n v="8.1"/>
    <n v="0"/>
    <n v="0.73899999999999999"/>
    <n v="21"/>
    <n v="28.93"/>
    <n v="9"/>
    <n v="8"/>
    <n v="1"/>
    <n v="1021"/>
  </r>
  <r>
    <x v="467"/>
    <n v="7.4"/>
    <d v="2021-04-03T17:41:00"/>
    <n v="3"/>
    <n v="7"/>
    <s v="green"/>
    <n v="1"/>
    <n v="843"/>
    <s v="us"/>
    <n v="0"/>
    <n v="0.437"/>
    <n v="30"/>
    <s v="mww"/>
    <n v="43"/>
    <n v="-29.613099999999999"/>
    <n v="-177.84200000000001"/>
    <s v="Kermadec Islands, New Zealand"/>
    <x v="4"/>
    <x v="42"/>
    <n v="5"/>
    <n v="7.4"/>
    <n v="0"/>
    <n v="0.437"/>
    <n v="30"/>
    <n v="43"/>
    <n v="3"/>
    <n v="7"/>
    <n v="1"/>
    <n v="843"/>
  </r>
  <r>
    <x v="468"/>
    <n v="6.9"/>
    <s v="23-06-2014 19:19"/>
    <n v="0"/>
    <n v="5"/>
    <s v="green"/>
    <n v="1"/>
    <n v="732"/>
    <s v="us"/>
    <n v="0"/>
    <n v="0.751"/>
    <n v="35"/>
    <s v="mww"/>
    <n v="20"/>
    <n v="-29.9772"/>
    <n v="-177.72499999999999"/>
    <s v="Kermadec Islands, New Zealand"/>
    <x v="4"/>
    <x v="42"/>
    <n v="5"/>
    <n v="6.9"/>
    <n v="0"/>
    <n v="0.751"/>
    <n v="35"/>
    <n v="20"/>
    <n v="0"/>
    <n v="5"/>
    <n v="1"/>
    <n v="732"/>
  </r>
  <r>
    <x v="469"/>
    <n v="6.7"/>
    <s v="23-06-2014 20:06"/>
    <n v="0"/>
    <n v="5"/>
    <s v="green"/>
    <n v="0"/>
    <n v="691"/>
    <s v="us"/>
    <n v="0"/>
    <n v="0.748"/>
    <n v="43"/>
    <s v="mwc"/>
    <n v="26.59"/>
    <n v="-29.941400000000002"/>
    <n v="-177.607"/>
    <s v="Kermadec Islands, New Zealand"/>
    <x v="4"/>
    <x v="42"/>
    <n v="5"/>
    <n v="6.7"/>
    <n v="0"/>
    <n v="0.748"/>
    <n v="43"/>
    <n v="26.59"/>
    <n v="0"/>
    <n v="5"/>
    <n v="0"/>
    <n v="691"/>
  </r>
  <r>
    <x v="470"/>
    <n v="6.6"/>
    <d v="2022-02-03T12:52:00"/>
    <n v="2"/>
    <n v="7"/>
    <s v="green"/>
    <n v="1"/>
    <n v="670"/>
    <s v="us"/>
    <n v="0"/>
    <n v="0.82699999999999996"/>
    <n v="46"/>
    <s v="mww"/>
    <n v="24"/>
    <n v="-30.052800000000001"/>
    <n v="-177.74"/>
    <s v="Kermadec Islands, New Zealand"/>
    <x v="4"/>
    <x v="42"/>
    <n v="5"/>
    <n v="6.6"/>
    <n v="0"/>
    <n v="0.82699999999999996"/>
    <n v="46"/>
    <n v="24"/>
    <n v="2"/>
    <n v="7"/>
    <n v="1"/>
    <n v="670"/>
  </r>
  <r>
    <x v="471"/>
    <n v="6.5"/>
    <s v="20-06-2021 17:05"/>
    <n v="0"/>
    <n v="4"/>
    <s v="green"/>
    <n v="1"/>
    <n v="650"/>
    <s v="us"/>
    <n v="0"/>
    <n v="7.9939999999999998"/>
    <n v="24"/>
    <s v="mww"/>
    <n v="25"/>
    <n v="-30.214400000000001"/>
    <n v="-177.773"/>
    <s v="Kermadec Islands, New Zealand"/>
    <x v="4"/>
    <x v="42"/>
    <n v="5"/>
    <n v="6.5"/>
    <n v="0"/>
    <n v="7.9939999999999998"/>
    <n v="24"/>
    <n v="25"/>
    <n v="0"/>
    <n v="4"/>
    <n v="1"/>
    <n v="650"/>
  </r>
  <r>
    <x v="471"/>
    <n v="6.5"/>
    <s v="23-06-2014 19:21"/>
    <n v="0"/>
    <n v="5"/>
    <s v="green"/>
    <n v="0"/>
    <n v="650"/>
    <s v="us"/>
    <n v="0"/>
    <n v="0.77800000000000002"/>
    <n v="30"/>
    <s v="mwc"/>
    <n v="10"/>
    <n v="-29.937899999999999"/>
    <n v="-177.51599999999999"/>
    <s v="Kermadec Islands, New Zealand"/>
    <x v="4"/>
    <x v="42"/>
    <n v="5"/>
    <n v="6.5"/>
    <n v="0"/>
    <n v="0.77800000000000002"/>
    <n v="30"/>
    <n v="10"/>
    <n v="0"/>
    <n v="5"/>
    <n v="0"/>
    <n v="650"/>
  </r>
  <r>
    <x v="471"/>
    <n v="6.5"/>
    <s v="30-09-2013 05:55"/>
    <n v="0"/>
    <n v="4"/>
    <s v="green"/>
    <n v="1"/>
    <n v="650"/>
    <s v="us"/>
    <n v="0"/>
    <n v="1.7090000000000001"/>
    <n v="21"/>
    <s v="mww"/>
    <n v="41.54"/>
    <n v="-30.9255"/>
    <n v="-178.32300000000001"/>
    <s v="Kermadec Islands, New Zealand"/>
    <x v="4"/>
    <x v="42"/>
    <n v="5"/>
    <n v="6.5"/>
    <n v="0"/>
    <n v="1.7090000000000001"/>
    <n v="21"/>
    <n v="41.54"/>
    <n v="0"/>
    <n v="4"/>
    <n v="1"/>
    <n v="650"/>
  </r>
  <r>
    <x v="472"/>
    <n v="7.3"/>
    <s v="15-06-2019 22:55"/>
    <n v="8"/>
    <n v="6"/>
    <s v="green"/>
    <n v="1"/>
    <n v="830"/>
    <s v="us"/>
    <n v="0"/>
    <n v="1.4019999999999999"/>
    <n v="11"/>
    <s v="mww"/>
    <n v="46"/>
    <n v="-30.644100000000002"/>
    <n v="-178.1"/>
    <s v="L'Esperance Rock, New Zealand"/>
    <x v="4"/>
    <x v="42"/>
    <n v="5"/>
    <n v="7.3"/>
    <n v="0"/>
    <n v="1.4019999999999999"/>
    <n v="11"/>
    <n v="46"/>
    <n v="8"/>
    <n v="6"/>
    <n v="1"/>
    <n v="830"/>
  </r>
  <r>
    <x v="473"/>
    <n v="7"/>
    <d v="2010-03-09T16:35:00"/>
    <n v="8"/>
    <n v="8"/>
    <m/>
    <n v="0"/>
    <n v="1245"/>
    <s v="us"/>
    <n v="365"/>
    <n v="0"/>
    <n v="15.8"/>
    <s v="mwc"/>
    <n v="12"/>
    <n v="-43.521999999999998"/>
    <n v="171.83"/>
    <s v="Methven, New Zealand"/>
    <x v="4"/>
    <x v="42"/>
    <n v="5"/>
    <n v="7"/>
    <n v="365"/>
    <n v="0"/>
    <n v="15.8"/>
    <n v="12"/>
    <n v="8"/>
    <n v="8"/>
    <n v="0"/>
    <n v="1245"/>
  </r>
  <r>
    <x v="474"/>
    <n v="7.8"/>
    <s v="15-07-2009 09:22"/>
    <n v="6"/>
    <n v="8"/>
    <m/>
    <n v="0"/>
    <n v="1165"/>
    <s v="us"/>
    <n v="434"/>
    <n v="0"/>
    <n v="16.8"/>
    <s v="mwc"/>
    <n v="12"/>
    <n v="-45.762"/>
    <n v="166.56200000000001"/>
    <s v="Te Anau, New Zealand"/>
    <x v="4"/>
    <x v="42"/>
    <n v="5"/>
    <n v="7.8"/>
    <n v="434"/>
    <n v="0"/>
    <n v="16.8"/>
    <n v="12"/>
    <n v="6"/>
    <n v="8"/>
    <n v="0"/>
    <n v="1165"/>
  </r>
  <r>
    <x v="475"/>
    <n v="7.2"/>
    <s v="21-08-2003 12:12"/>
    <n v="0"/>
    <n v="7"/>
    <m/>
    <n v="0"/>
    <n v="798"/>
    <s v="us"/>
    <n v="428"/>
    <n v="0"/>
    <n v="17.5"/>
    <s v="mwc"/>
    <n v="28"/>
    <n v="-45.103999999999999"/>
    <n v="167.14400000000001"/>
    <s v="Te Anau, New Zealand"/>
    <x v="4"/>
    <x v="42"/>
    <n v="5"/>
    <n v="7.2"/>
    <n v="428"/>
    <n v="0"/>
    <n v="17.5"/>
    <n v="28"/>
    <n v="0"/>
    <n v="7"/>
    <n v="0"/>
    <n v="798"/>
  </r>
  <r>
    <x v="476"/>
    <n v="6.8"/>
    <s v="15-10-2007 12:29"/>
    <n v="4"/>
    <n v="7"/>
    <m/>
    <n v="0"/>
    <n v="744"/>
    <s v="us"/>
    <n v="338"/>
    <n v="0"/>
    <n v="19"/>
    <s v="mwc"/>
    <n v="18"/>
    <n v="-44.795999999999999"/>
    <n v="167.553"/>
    <s v="Te Anau, New Zealand"/>
    <x v="4"/>
    <x v="42"/>
    <n v="5"/>
    <n v="6.8"/>
    <n v="338"/>
    <n v="0"/>
    <n v="19"/>
    <n v="18"/>
    <n v="4"/>
    <n v="7"/>
    <n v="0"/>
    <n v="744"/>
  </r>
  <r>
    <x v="477"/>
    <n v="7.1"/>
    <s v="22-11-2004 20:26"/>
    <n v="5"/>
    <n v="5"/>
    <m/>
    <n v="0"/>
    <n v="782"/>
    <s v="us"/>
    <n v="585"/>
    <n v="0"/>
    <n v="14.7"/>
    <s v="mwc"/>
    <n v="10"/>
    <n v="-46.676000000000002"/>
    <n v="164.721"/>
    <s v="Riverton, New Zealand"/>
    <x v="4"/>
    <x v="42"/>
    <n v="5"/>
    <n v="7.1"/>
    <n v="585"/>
    <n v="0"/>
    <n v="14.7"/>
    <n v="10"/>
    <n v="5"/>
    <n v="5"/>
    <n v="0"/>
    <n v="782"/>
  </r>
  <r>
    <x v="478"/>
    <n v="7.5"/>
    <s v="19-04-2014 13:28"/>
    <n v="0"/>
    <n v="6"/>
    <s v="green"/>
    <n v="1"/>
    <n v="865"/>
    <s v="us"/>
    <n v="0"/>
    <n v="3.82"/>
    <n v="16"/>
    <s v="mww"/>
    <n v="43.37"/>
    <n v="-6.7546999999999997"/>
    <n v="155.024"/>
    <s v="Panguna, Papua New Guinea"/>
    <x v="4"/>
    <x v="43"/>
    <n v="5"/>
    <n v="7.5"/>
    <n v="0"/>
    <n v="3.82"/>
    <n v="16"/>
    <n v="43.37"/>
    <n v="0"/>
    <n v="6"/>
    <n v="1"/>
    <n v="865"/>
  </r>
  <r>
    <x v="479"/>
    <n v="7.6"/>
    <d v="2002-08-09T18:44:00"/>
    <n v="0"/>
    <n v="7"/>
    <m/>
    <n v="0"/>
    <n v="889"/>
    <s v="us"/>
    <n v="428"/>
    <n v="0"/>
    <n v="0"/>
    <s v="mwc"/>
    <n v="13"/>
    <n v="-3.302"/>
    <n v="142.94499999999999"/>
    <s v="Aitape, Papua New Guinea"/>
    <x v="4"/>
    <x v="44"/>
    <n v="5"/>
    <n v="7.6"/>
    <n v="428"/>
    <n v="0"/>
    <n v="0"/>
    <n v="13"/>
    <n v="0"/>
    <n v="7"/>
    <n v="0"/>
    <n v="889"/>
  </r>
  <r>
    <x v="480"/>
    <n v="6.7"/>
    <d v="2002-10-01T11:14:00"/>
    <n v="0"/>
    <n v="8"/>
    <m/>
    <n v="0"/>
    <n v="691"/>
    <s v="us"/>
    <n v="333"/>
    <n v="0"/>
    <n v="0"/>
    <s v="mwc"/>
    <n v="11"/>
    <n v="-3.2120000000000002"/>
    <n v="142.42699999999999"/>
    <s v="Aitape, Papua New Guinea"/>
    <x v="4"/>
    <x v="44"/>
    <n v="5"/>
    <n v="6.7"/>
    <n v="333"/>
    <n v="0"/>
    <n v="0"/>
    <n v="11"/>
    <n v="0"/>
    <n v="8"/>
    <n v="0"/>
    <n v="691"/>
  </r>
  <r>
    <x v="481"/>
    <n v="6.6"/>
    <s v="16-04-2013 22:55"/>
    <n v="7"/>
    <n v="7"/>
    <s v="green"/>
    <n v="1"/>
    <n v="672"/>
    <s v="us"/>
    <n v="445"/>
    <n v="0"/>
    <n v="11"/>
    <s v="mww"/>
    <n v="13"/>
    <n v="-3.214"/>
    <n v="142.542"/>
    <s v="Aitape, Papua New Guinea"/>
    <x v="4"/>
    <x v="44"/>
    <n v="5"/>
    <n v="6.6"/>
    <n v="445"/>
    <n v="0"/>
    <n v="11"/>
    <n v="13"/>
    <n v="7"/>
    <n v="7"/>
    <n v="1"/>
    <n v="672"/>
  </r>
  <r>
    <x v="482"/>
    <n v="6.6"/>
    <s v="31-07-2011 23:38"/>
    <n v="3"/>
    <n v="6"/>
    <m/>
    <n v="0"/>
    <n v="674"/>
    <s v="us"/>
    <n v="229"/>
    <n v="0"/>
    <n v="16.600000000000001"/>
    <s v="mww"/>
    <n v="10"/>
    <n v="-3.5179999999999998"/>
    <n v="144.828"/>
    <s v="Angoram, Papua New Guinea"/>
    <x v="4"/>
    <x v="44"/>
    <n v="5"/>
    <n v="6.6"/>
    <n v="229"/>
    <n v="0"/>
    <n v="16.600000000000001"/>
    <n v="10"/>
    <n v="3"/>
    <n v="6"/>
    <n v="0"/>
    <n v="674"/>
  </r>
  <r>
    <x v="483"/>
    <n v="6.5"/>
    <d v="2017-07-11T21:26:00"/>
    <n v="6"/>
    <n v="5"/>
    <s v="green"/>
    <n v="1"/>
    <n v="661"/>
    <s v="us"/>
    <n v="0"/>
    <n v="4.4489999999999998"/>
    <n v="10"/>
    <s v="mww"/>
    <n v="110.57"/>
    <n v="-4.2432999999999996"/>
    <n v="143.48500000000001"/>
    <s v="Angoram, Papua New Guinea"/>
    <x v="4"/>
    <x v="44"/>
    <n v="5"/>
    <n v="6.5"/>
    <n v="0"/>
    <n v="4.4489999999999998"/>
    <n v="10"/>
    <n v="110.57"/>
    <n v="6"/>
    <n v="5"/>
    <n v="1"/>
    <n v="661"/>
  </r>
  <r>
    <x v="484"/>
    <n v="7.1"/>
    <d v="2019-06-05T21:19:00"/>
    <n v="7"/>
    <n v="6"/>
    <s v="yellow"/>
    <n v="1"/>
    <n v="826"/>
    <s v="us"/>
    <n v="0"/>
    <n v="2.5139999999999998"/>
    <n v="16"/>
    <s v="mww"/>
    <n v="146"/>
    <n v="-6.9745999999999997"/>
    <n v="146.44900000000001"/>
    <s v="Bulolo, Papua New Guinea"/>
    <x v="4"/>
    <x v="44"/>
    <n v="5"/>
    <n v="7.1"/>
    <n v="0"/>
    <n v="2.5139999999999998"/>
    <n v="16"/>
    <n v="146"/>
    <n v="7"/>
    <n v="6"/>
    <n v="1"/>
    <n v="826"/>
  </r>
  <r>
    <x v="485"/>
    <n v="6.6"/>
    <d v="2014-07-11T03:33:00"/>
    <n v="2"/>
    <n v="6"/>
    <s v="green"/>
    <n v="1"/>
    <n v="671"/>
    <s v="us"/>
    <n v="0"/>
    <n v="3.5569999999999999"/>
    <n v="13"/>
    <s v="mww"/>
    <n v="53.19"/>
    <n v="-5.9873000000000003"/>
    <n v="148.232"/>
    <s v="Finschhafen, Papua New Guinea"/>
    <x v="4"/>
    <x v="44"/>
    <n v="5"/>
    <n v="6.6"/>
    <n v="0"/>
    <n v="3.5569999999999999"/>
    <n v="13"/>
    <n v="53.19"/>
    <n v="2"/>
    <n v="6"/>
    <n v="1"/>
    <n v="671"/>
  </r>
  <r>
    <x v="486"/>
    <n v="6.5"/>
    <d v="2013-10-03T22:51:00"/>
    <n v="0"/>
    <n v="6"/>
    <s v="green"/>
    <n v="1"/>
    <n v="650"/>
    <s v="us"/>
    <n v="317"/>
    <n v="0"/>
    <n v="14.2"/>
    <s v="mww"/>
    <n v="28"/>
    <n v="-6.5979999999999999"/>
    <n v="148.17400000000001"/>
    <s v="Finschhafen, Papua New Guinea"/>
    <x v="4"/>
    <x v="44"/>
    <n v="5"/>
    <n v="6.5"/>
    <n v="317"/>
    <n v="0"/>
    <n v="14.2"/>
    <n v="28"/>
    <n v="0"/>
    <n v="6"/>
    <n v="1"/>
    <n v="650"/>
  </r>
  <r>
    <x v="487"/>
    <n v="6.5"/>
    <s v="14-10-2011 03:35"/>
    <n v="3"/>
    <n v="6"/>
    <m/>
    <n v="0"/>
    <n v="655"/>
    <s v="us"/>
    <n v="423"/>
    <n v="0"/>
    <n v="12.6"/>
    <s v="mww"/>
    <n v="37"/>
    <n v="-6.57"/>
    <n v="147.881"/>
    <s v="Finschhafen, Papua New Guinea"/>
    <x v="4"/>
    <x v="44"/>
    <n v="5"/>
    <n v="6.5"/>
    <n v="423"/>
    <n v="0"/>
    <n v="12.6"/>
    <n v="37"/>
    <n v="3"/>
    <n v="6"/>
    <n v="0"/>
    <n v="655"/>
  </r>
  <r>
    <x v="488"/>
    <n v="7.6"/>
    <d v="2022-10-09T23:47:00"/>
    <n v="8"/>
    <n v="8"/>
    <s v="yellow"/>
    <n v="1"/>
    <n v="965"/>
    <s v="us"/>
    <n v="272"/>
    <n v="3.1579999999999999"/>
    <n v="12"/>
    <s v="mww"/>
    <n v="116"/>
    <n v="-6.2237"/>
    <n v="146.471"/>
    <s v="Kainantu, Papua New Guinea"/>
    <x v="4"/>
    <x v="44"/>
    <n v="5"/>
    <n v="7.6"/>
    <n v="272"/>
    <n v="3.1579999999999999"/>
    <n v="12"/>
    <n v="116"/>
    <n v="8"/>
    <n v="8"/>
    <n v="1"/>
    <n v="965"/>
  </r>
  <r>
    <x v="489"/>
    <n v="6.6"/>
    <s v="21-03-2012 22:15"/>
    <n v="6"/>
    <n v="6"/>
    <m/>
    <n v="0"/>
    <n v="709"/>
    <s v="us"/>
    <n v="640"/>
    <n v="0"/>
    <n v="10.1"/>
    <s v="mww"/>
    <n v="118"/>
    <n v="-6.242"/>
    <n v="145.95500000000001"/>
    <s v="Kainantu, Papua New Guinea"/>
    <x v="4"/>
    <x v="44"/>
    <n v="5"/>
    <n v="6.6"/>
    <n v="640"/>
    <n v="0"/>
    <n v="10.1"/>
    <n v="118"/>
    <n v="6"/>
    <n v="6"/>
    <n v="0"/>
    <n v="709"/>
  </r>
  <r>
    <x v="490"/>
    <n v="6.8"/>
    <s v="17-10-2016 06:14"/>
    <n v="3"/>
    <n v="6"/>
    <s v="green"/>
    <n v="1"/>
    <n v="716"/>
    <s v="us"/>
    <n v="0"/>
    <n v="3.7269999999999999"/>
    <n v="11"/>
    <s v="mww"/>
    <n v="42"/>
    <n v="-6.0033000000000003"/>
    <n v="148.887"/>
    <s v="Kandrian, Papua New Guinea"/>
    <x v="4"/>
    <x v="44"/>
    <n v="5"/>
    <n v="6.8"/>
    <n v="0"/>
    <n v="3.7269999999999999"/>
    <n v="11"/>
    <n v="42"/>
    <n v="3"/>
    <n v="6"/>
    <n v="1"/>
    <n v="716"/>
  </r>
  <r>
    <x v="491"/>
    <n v="6.6"/>
    <d v="2013-07-07T20:30:00"/>
    <n v="4"/>
    <n v="6"/>
    <s v="green"/>
    <n v="0"/>
    <n v="674"/>
    <s v="us"/>
    <n v="139"/>
    <n v="0"/>
    <n v="14"/>
    <s v="mww"/>
    <n v="56"/>
    <n v="-6.0289999999999999"/>
    <n v="149.70599999999999"/>
    <s v="Kandrian, Papua New Guinea"/>
    <x v="4"/>
    <x v="44"/>
    <n v="5"/>
    <n v="6.6"/>
    <n v="139"/>
    <n v="0"/>
    <n v="14"/>
    <n v="56"/>
    <n v="4"/>
    <n v="6"/>
    <n v="0"/>
    <n v="674"/>
  </r>
  <r>
    <x v="492"/>
    <n v="6.6"/>
    <d v="2010-02-12T03:12:00"/>
    <n v="0"/>
    <n v="6"/>
    <m/>
    <n v="0"/>
    <n v="670"/>
    <s v="us"/>
    <n v="306"/>
    <n v="0"/>
    <n v="18.5"/>
    <s v="mwb"/>
    <n v="33"/>
    <n v="-6.0010000000000003"/>
    <n v="149.977"/>
    <s v="Kandrian, Papua New Guinea"/>
    <x v="4"/>
    <x v="44"/>
    <n v="5"/>
    <n v="6.6"/>
    <n v="306"/>
    <n v="0"/>
    <n v="18.5"/>
    <n v="33"/>
    <n v="0"/>
    <n v="6"/>
    <n v="0"/>
    <n v="670"/>
  </r>
  <r>
    <x v="493"/>
    <n v="7"/>
    <d v="2018-10-10T20:48:00"/>
    <n v="6"/>
    <n v="6"/>
    <s v="green"/>
    <n v="1"/>
    <n v="758"/>
    <s v="us"/>
    <n v="0"/>
    <n v="1.778"/>
    <n v="18"/>
    <s v="mww"/>
    <n v="39"/>
    <n v="-5.7012"/>
    <n v="151.20500000000001"/>
    <s v="Kimbe, Papua New Guinea"/>
    <x v="4"/>
    <x v="44"/>
    <n v="5"/>
    <n v="7"/>
    <n v="0"/>
    <n v="1.778"/>
    <n v="18"/>
    <n v="39"/>
    <n v="6"/>
    <n v="6"/>
    <n v="1"/>
    <n v="758"/>
  </r>
  <r>
    <x v="494"/>
    <n v="7"/>
    <d v="2010-04-08T22:01:00"/>
    <n v="4"/>
    <n v="6"/>
    <m/>
    <n v="0"/>
    <n v="757"/>
    <s v="us"/>
    <n v="396"/>
    <n v="0"/>
    <n v="12.7"/>
    <s v="mww"/>
    <n v="44"/>
    <n v="-5.7460000000000004"/>
    <n v="150.76499999999999"/>
    <s v="Kimbe, Papua New Guinea"/>
    <x v="4"/>
    <x v="44"/>
    <n v="5"/>
    <n v="7"/>
    <n v="396"/>
    <n v="0"/>
    <n v="12.7"/>
    <n v="44"/>
    <n v="4"/>
    <n v="6"/>
    <n v="0"/>
    <n v="757"/>
  </r>
  <r>
    <x v="495"/>
    <n v="7"/>
    <s v="31-10-2001 09:10"/>
    <n v="0"/>
    <n v="7"/>
    <m/>
    <n v="0"/>
    <n v="754"/>
    <s v="us"/>
    <n v="254"/>
    <n v="0"/>
    <n v="0"/>
    <s v="mwc"/>
    <n v="33"/>
    <n v="-5.9119999999999999"/>
    <n v="150.196"/>
    <s v="Kimbe, Papua New Guinea"/>
    <x v="4"/>
    <x v="44"/>
    <n v="5"/>
    <n v="7"/>
    <n v="254"/>
    <n v="0"/>
    <n v="0"/>
    <n v="33"/>
    <n v="0"/>
    <n v="7"/>
    <n v="0"/>
    <n v="754"/>
  </r>
  <r>
    <x v="496"/>
    <n v="6.9"/>
    <s v="29-03-2018 21:25"/>
    <n v="9"/>
    <n v="6"/>
    <s v="green"/>
    <n v="1"/>
    <n v="741"/>
    <s v="us"/>
    <n v="0"/>
    <n v="1.4870000000000001"/>
    <n v="18"/>
    <s v="mww"/>
    <n v="35"/>
    <n v="-5.5320999999999998"/>
    <n v="151.5"/>
    <s v="Kimbe, Papua New Guinea"/>
    <x v="4"/>
    <x v="44"/>
    <n v="5"/>
    <n v="6.9"/>
    <n v="0"/>
    <n v="1.4870000000000001"/>
    <n v="18"/>
    <n v="35"/>
    <n v="9"/>
    <n v="6"/>
    <n v="1"/>
    <n v="741"/>
  </r>
  <r>
    <x v="497"/>
    <n v="6.9"/>
    <s v="18-07-2010 13:04"/>
    <n v="4"/>
    <n v="7"/>
    <m/>
    <n v="0"/>
    <n v="737"/>
    <s v="us"/>
    <n v="456"/>
    <n v="0"/>
    <n v="15.7"/>
    <s v="mwc"/>
    <n v="28"/>
    <n v="-5.9660000000000002"/>
    <n v="150.428"/>
    <s v="Kimbe, Papua New Guinea"/>
    <x v="4"/>
    <x v="44"/>
    <n v="5"/>
    <n v="6.9"/>
    <n v="456"/>
    <n v="0"/>
    <n v="15.7"/>
    <n v="28"/>
    <n v="4"/>
    <n v="7"/>
    <n v="0"/>
    <n v="737"/>
  </r>
  <r>
    <x v="498"/>
    <n v="6.7"/>
    <s v="26-03-2018 09:51"/>
    <n v="5"/>
    <n v="6"/>
    <s v="green"/>
    <n v="1"/>
    <n v="696"/>
    <s v="us"/>
    <n v="0"/>
    <n v="1.5069999999999999"/>
    <n v="15"/>
    <s v="mww"/>
    <n v="40"/>
    <n v="-5.5023999999999997"/>
    <n v="151.40199999999999"/>
    <s v="Kimbe, Papua New Guinea"/>
    <x v="4"/>
    <x v="44"/>
    <n v="5"/>
    <n v="6.7"/>
    <n v="0"/>
    <n v="1.5069999999999999"/>
    <n v="15"/>
    <n v="40"/>
    <n v="5"/>
    <n v="6"/>
    <n v="1"/>
    <n v="696"/>
  </r>
  <r>
    <x v="499"/>
    <n v="6.7"/>
    <s v="17-10-2006 01:25"/>
    <n v="5"/>
    <n v="6"/>
    <m/>
    <n v="0"/>
    <n v="692"/>
    <s v="us"/>
    <n v="533"/>
    <n v="0"/>
    <n v="15.6"/>
    <s v="mwc"/>
    <n v="32"/>
    <n v="-5.8810000000000002"/>
    <n v="150.982"/>
    <s v="Kimbe, Papua New Guinea"/>
    <x v="4"/>
    <x v="44"/>
    <n v="5"/>
    <n v="6.7"/>
    <n v="533"/>
    <n v="0"/>
    <n v="15.6"/>
    <n v="32"/>
    <n v="5"/>
    <n v="6"/>
    <n v="0"/>
    <n v="692"/>
  </r>
  <r>
    <x v="500"/>
    <n v="6.6"/>
    <s v="25-11-2003 20:19"/>
    <n v="0"/>
    <n v="6"/>
    <m/>
    <n v="0"/>
    <n v="670"/>
    <s v="us"/>
    <n v="384"/>
    <n v="0"/>
    <n v="25.1"/>
    <s v="mwb"/>
    <n v="35"/>
    <n v="-5.5810000000000004"/>
    <n v="150.88"/>
    <s v="Kimbe, Papua New Guinea"/>
    <x v="4"/>
    <x v="44"/>
    <n v="5"/>
    <n v="6.6"/>
    <n v="384"/>
    <n v="0"/>
    <n v="25.1"/>
    <n v="35"/>
    <n v="0"/>
    <n v="6"/>
    <n v="0"/>
    <n v="670"/>
  </r>
  <r>
    <x v="501"/>
    <n v="6.6"/>
    <d v="2002-05-02T13:27:00"/>
    <n v="0"/>
    <n v="6"/>
    <m/>
    <n v="0"/>
    <n v="670"/>
    <s v="us"/>
    <n v="444"/>
    <n v="0"/>
    <n v="0"/>
    <s v="mwc"/>
    <n v="39"/>
    <n v="-5.3449999999999998"/>
    <n v="151.24799999999999"/>
    <s v="Kimbe, Papua New Guinea"/>
    <x v="4"/>
    <x v="44"/>
    <n v="5"/>
    <n v="6.6"/>
    <n v="444"/>
    <n v="0"/>
    <n v="0"/>
    <n v="39"/>
    <n v="0"/>
    <n v="6"/>
    <n v="0"/>
    <n v="670"/>
  </r>
  <r>
    <x v="502"/>
    <n v="6.5"/>
    <s v="28-05-2006 03:12"/>
    <n v="0"/>
    <n v="6"/>
    <m/>
    <n v="0"/>
    <n v="650"/>
    <s v="us"/>
    <n v="477"/>
    <n v="0"/>
    <n v="20.3"/>
    <s v="mwc"/>
    <n v="34"/>
    <n v="-5.7240000000000002"/>
    <n v="151.13300000000001"/>
    <s v="Kimbe, Papua New Guinea"/>
    <x v="4"/>
    <x v="44"/>
    <n v="5"/>
    <n v="6.5"/>
    <n v="477"/>
    <n v="0"/>
    <n v="20.3"/>
    <n v="34"/>
    <n v="0"/>
    <n v="6"/>
    <n v="0"/>
    <n v="650"/>
  </r>
  <r>
    <x v="503"/>
    <n v="6.6"/>
    <d v="2006-07-11T17:38:00"/>
    <n v="0"/>
    <n v="6"/>
    <m/>
    <n v="0"/>
    <n v="670"/>
    <s v="us"/>
    <n v="352"/>
    <n v="0"/>
    <n v="18.600000000000001"/>
    <s v="mwc"/>
    <n v="11"/>
    <n v="-6.4820000000000002"/>
    <n v="151.19499999999999"/>
    <s v="Kimbe, Papua New Guinea"/>
    <x v="4"/>
    <x v="44"/>
    <n v="5"/>
    <n v="6.6"/>
    <n v="352"/>
    <n v="0"/>
    <n v="18.600000000000001"/>
    <n v="11"/>
    <n v="0"/>
    <n v="6"/>
    <n v="0"/>
    <n v="670"/>
  </r>
  <r>
    <x v="504"/>
    <n v="7.9"/>
    <s v="17-12-2016 10:51"/>
    <n v="9"/>
    <n v="7"/>
    <s v="yellow"/>
    <n v="1"/>
    <n v="972"/>
    <s v="us"/>
    <n v="0"/>
    <n v="1.389"/>
    <n v="13"/>
    <s v="mww"/>
    <n v="94.54"/>
    <n v="-4.5049000000000001"/>
    <n v="153.52199999999999"/>
    <s v="Kokopo, Papua New Guinea"/>
    <x v="4"/>
    <x v="44"/>
    <n v="5"/>
    <n v="7.9"/>
    <n v="0"/>
    <n v="1.389"/>
    <n v="13"/>
    <n v="94.54"/>
    <n v="9"/>
    <n v="7"/>
    <n v="1"/>
    <n v="972"/>
  </r>
  <r>
    <x v="505"/>
    <n v="7.6"/>
    <d v="2005-09-09T07:26:00"/>
    <n v="5"/>
    <n v="7"/>
    <m/>
    <n v="0"/>
    <n v="891"/>
    <s v="us"/>
    <n v="502"/>
    <n v="0"/>
    <n v="20"/>
    <s v="mwc"/>
    <n v="90"/>
    <n v="-4.5389999999999997"/>
    <n v="153.47399999999999"/>
    <s v="Kokopo, Papua New Guinea"/>
    <x v="4"/>
    <x v="44"/>
    <n v="5"/>
    <n v="7.6"/>
    <n v="502"/>
    <n v="0"/>
    <n v="20"/>
    <n v="90"/>
    <n v="5"/>
    <n v="7"/>
    <n v="0"/>
    <n v="891"/>
  </r>
  <r>
    <x v="506"/>
    <n v="7.5"/>
    <d v="2015-05-05T01:44:00"/>
    <n v="7"/>
    <n v="8"/>
    <s v="green"/>
    <n v="1"/>
    <n v="869"/>
    <s v="us"/>
    <n v="0"/>
    <n v="1.2949999999999999"/>
    <n v="22"/>
    <s v="mww"/>
    <n v="55"/>
    <n v="-5.4623999999999997"/>
    <n v="151.875"/>
    <s v="Kokopo, Papua New Guinea"/>
    <x v="4"/>
    <x v="44"/>
    <n v="5"/>
    <n v="7.5"/>
    <n v="0"/>
    <n v="1.2949999999999999"/>
    <n v="22"/>
    <n v="55"/>
    <n v="7"/>
    <n v="8"/>
    <n v="1"/>
    <n v="869"/>
  </r>
  <r>
    <x v="507"/>
    <n v="7.5"/>
    <s v="29-03-2015 23:48"/>
    <n v="6"/>
    <n v="7"/>
    <s v="green"/>
    <n v="1"/>
    <n v="872"/>
    <s v="us"/>
    <n v="0"/>
    <n v="0.66600000000000004"/>
    <n v="19"/>
    <s v="mww"/>
    <n v="41"/>
    <n v="-4.7294"/>
    <n v="152.56200000000001"/>
    <s v="Kokopo, Papua New Guinea"/>
    <x v="4"/>
    <x v="44"/>
    <n v="5"/>
    <n v="7.5"/>
    <n v="0"/>
    <n v="0.66600000000000004"/>
    <n v="19"/>
    <n v="41"/>
    <n v="6"/>
    <n v="7"/>
    <n v="1"/>
    <n v="872"/>
  </r>
  <r>
    <x v="508"/>
    <n v="7.3"/>
    <d v="2013-07-07T18:35:00"/>
    <n v="0"/>
    <n v="4"/>
    <s v="green"/>
    <n v="1"/>
    <n v="820"/>
    <s v="us"/>
    <n v="117"/>
    <n v="0"/>
    <n v="24"/>
    <s v="mww"/>
    <n v="385.5"/>
    <n v="-3.9169999999999998"/>
    <n v="153.92699999999999"/>
    <s v="Kokopo, Papua New Guinea"/>
    <x v="4"/>
    <x v="44"/>
    <n v="5"/>
    <n v="7.3"/>
    <n v="117"/>
    <n v="0"/>
    <n v="24"/>
    <n v="385.5"/>
    <n v="0"/>
    <n v="4"/>
    <n v="1"/>
    <n v="820"/>
  </r>
  <r>
    <x v="509"/>
    <n v="6.8"/>
    <d v="2018-08-03T17:39:00"/>
    <n v="6"/>
    <n v="6"/>
    <s v="green"/>
    <n v="1"/>
    <n v="719"/>
    <s v="us"/>
    <n v="0"/>
    <n v="1.0489999999999999"/>
    <n v="16"/>
    <s v="mww"/>
    <n v="22.86"/>
    <n v="-4.3761999999999999"/>
    <n v="153.19999999999999"/>
    <s v="Kokopo, Papua New Guinea"/>
    <x v="4"/>
    <x v="44"/>
    <n v="5"/>
    <n v="6.8"/>
    <n v="0"/>
    <n v="1.0489999999999999"/>
    <n v="16"/>
    <n v="22.86"/>
    <n v="6"/>
    <n v="6"/>
    <n v="1"/>
    <n v="719"/>
  </r>
  <r>
    <x v="510"/>
    <n v="6.8"/>
    <d v="2015-01-05T08:06:00"/>
    <n v="5"/>
    <n v="6"/>
    <s v="green"/>
    <n v="1"/>
    <n v="714"/>
    <s v="us"/>
    <n v="0"/>
    <n v="1.0740000000000001"/>
    <n v="23"/>
    <s v="mww"/>
    <n v="44"/>
    <n v="-5.2004999999999999"/>
    <n v="151.77699999999999"/>
    <s v="Kokopo, Papua New Guinea"/>
    <x v="4"/>
    <x v="44"/>
    <n v="5"/>
    <n v="6.8"/>
    <n v="0"/>
    <n v="1.0740000000000001"/>
    <n v="23"/>
    <n v="44"/>
    <n v="5"/>
    <n v="6"/>
    <n v="1"/>
    <n v="714"/>
  </r>
  <r>
    <x v="511"/>
    <n v="6.8"/>
    <s v="26-09-2007 12:36"/>
    <n v="4"/>
    <n v="5"/>
    <m/>
    <n v="0"/>
    <n v="713"/>
    <s v="us"/>
    <n v="348"/>
    <n v="0"/>
    <n v="15.5"/>
    <s v="mwc"/>
    <n v="40"/>
    <n v="-4.99"/>
    <n v="153.5"/>
    <s v="Kokopo, Papua New Guinea"/>
    <x v="4"/>
    <x v="44"/>
    <n v="5"/>
    <n v="6.8"/>
    <n v="348"/>
    <n v="0"/>
    <n v="15.5"/>
    <n v="40"/>
    <n v="4"/>
    <n v="5"/>
    <n v="0"/>
    <n v="713"/>
  </r>
  <r>
    <x v="512"/>
    <n v="6.8"/>
    <d v="2003-11-03T07:27:00"/>
    <n v="0"/>
    <n v="7"/>
    <m/>
    <n v="0"/>
    <n v="711"/>
    <s v="us"/>
    <n v="431"/>
    <n v="0"/>
    <n v="38.4"/>
    <s v="mwc"/>
    <n v="40.200000000000003"/>
    <n v="-4.694"/>
    <n v="153.238"/>
    <s v="Kokopo, Papua New Guinea"/>
    <x v="4"/>
    <x v="44"/>
    <n v="5"/>
    <n v="6.8"/>
    <n v="431"/>
    <n v="0"/>
    <n v="38.4"/>
    <n v="40.200000000000003"/>
    <n v="0"/>
    <n v="7"/>
    <n v="0"/>
    <n v="711"/>
  </r>
  <r>
    <x v="513"/>
    <n v="6.7"/>
    <s v="30-04-2015 10:45"/>
    <n v="5"/>
    <n v="6"/>
    <s v="green"/>
    <n v="1"/>
    <n v="692"/>
    <s v="us"/>
    <n v="0"/>
    <n v="1.2390000000000001"/>
    <n v="12"/>
    <s v="mww"/>
    <n v="31"/>
    <n v="-5.375"/>
    <n v="151.77099999999999"/>
    <s v="Kokopo, Papua New Guinea"/>
    <x v="4"/>
    <x v="44"/>
    <n v="5"/>
    <n v="6.7"/>
    <n v="0"/>
    <n v="1.2390000000000001"/>
    <n v="12"/>
    <n v="31"/>
    <n v="5"/>
    <n v="6"/>
    <n v="1"/>
    <n v="692"/>
  </r>
  <r>
    <x v="514"/>
    <n v="6.7"/>
    <s v="23-06-2009 14:19"/>
    <n v="5"/>
    <n v="5"/>
    <m/>
    <n v="0"/>
    <n v="693"/>
    <s v="us"/>
    <n v="269"/>
    <n v="0"/>
    <n v="13.8"/>
    <s v="mwc"/>
    <n v="64"/>
    <n v="-5.157"/>
    <n v="153.78200000000001"/>
    <s v="Kokopo, Papua New Guinea"/>
    <x v="4"/>
    <x v="44"/>
    <n v="5"/>
    <n v="6.7"/>
    <n v="269"/>
    <n v="0"/>
    <n v="13.8"/>
    <n v="64"/>
    <n v="5"/>
    <n v="5"/>
    <n v="0"/>
    <n v="693"/>
  </r>
  <r>
    <x v="515"/>
    <n v="6.6"/>
    <s v="29-09-2005 15:50"/>
    <n v="0"/>
    <n v="6"/>
    <m/>
    <n v="0"/>
    <n v="670"/>
    <s v="us"/>
    <n v="402"/>
    <n v="0"/>
    <n v="17.7"/>
    <s v="mwc"/>
    <n v="25"/>
    <n v="-5.4370000000000003"/>
    <n v="151.84"/>
    <s v="Kokopo, Papua New Guinea"/>
    <x v="4"/>
    <x v="44"/>
    <n v="5"/>
    <n v="6.6"/>
    <n v="402"/>
    <n v="0"/>
    <n v="17.7"/>
    <n v="25"/>
    <n v="0"/>
    <n v="6"/>
    <n v="0"/>
    <n v="670"/>
  </r>
  <r>
    <x v="516"/>
    <n v="6.6"/>
    <d v="2003-07-06T00:32:00"/>
    <n v="0"/>
    <n v="6"/>
    <m/>
    <n v="0"/>
    <n v="670"/>
    <s v="us"/>
    <n v="419"/>
    <n v="0"/>
    <n v="27.8"/>
    <s v="mwc"/>
    <n v="33"/>
    <n v="-5.0949999999999998"/>
    <n v="152.50200000000001"/>
    <s v="Kokopo, Papua New Guinea"/>
    <x v="4"/>
    <x v="44"/>
    <n v="5"/>
    <n v="6.6"/>
    <n v="419"/>
    <n v="0"/>
    <n v="27.8"/>
    <n v="33"/>
    <n v="0"/>
    <n v="6"/>
    <n v="0"/>
    <n v="670"/>
  </r>
  <r>
    <x v="517"/>
    <n v="6.5"/>
    <s v="28-07-2012 20:03"/>
    <n v="5"/>
    <n v="6"/>
    <m/>
    <n v="0"/>
    <n v="653"/>
    <s v="us"/>
    <n v="576"/>
    <n v="0"/>
    <n v="11.7"/>
    <s v="mww"/>
    <n v="41"/>
    <n v="-4.6509999999999998"/>
    <n v="153.173"/>
    <s v="Kokopo, Papua New Guinea"/>
    <x v="4"/>
    <x v="44"/>
    <n v="5"/>
    <n v="6.5"/>
    <n v="576"/>
    <n v="0"/>
    <n v="11.7"/>
    <n v="41"/>
    <n v="5"/>
    <n v="6"/>
    <n v="0"/>
    <n v="653"/>
  </r>
  <r>
    <x v="518"/>
    <n v="6.7"/>
    <d v="2003-10-01T13:11:00"/>
    <n v="0"/>
    <n v="5"/>
    <m/>
    <n v="0"/>
    <n v="691"/>
    <s v="us"/>
    <n v="323"/>
    <n v="0"/>
    <n v="0"/>
    <s v="mwb"/>
    <n v="71.900000000000006"/>
    <n v="-5.3109999999999999"/>
    <n v="153.70099999999999"/>
    <s v="Kokopo, Papua New Guinea"/>
    <x v="4"/>
    <x v="44"/>
    <n v="5"/>
    <n v="6.7"/>
    <n v="323"/>
    <n v="0"/>
    <n v="0"/>
    <n v="71.900000000000006"/>
    <n v="0"/>
    <n v="5"/>
    <n v="0"/>
    <n v="691"/>
  </r>
  <r>
    <x v="519"/>
    <n v="6.5"/>
    <d v="2014-04-07T15:00:00"/>
    <n v="0"/>
    <n v="4"/>
    <s v="green"/>
    <n v="1"/>
    <n v="650"/>
    <s v="us"/>
    <n v="0"/>
    <n v="2.1240000000000001"/>
    <n v="15"/>
    <s v="mww"/>
    <n v="20"/>
    <n v="-6.2304000000000004"/>
    <n v="152.80699999999999"/>
    <s v="Kokopo, Papua New Guinea"/>
    <x v="4"/>
    <x v="44"/>
    <n v="5"/>
    <n v="6.5"/>
    <n v="0"/>
    <n v="2.1240000000000001"/>
    <n v="15"/>
    <n v="20"/>
    <n v="0"/>
    <n v="4"/>
    <n v="1"/>
    <n v="650"/>
  </r>
  <r>
    <x v="520"/>
    <n v="6.8"/>
    <s v="17-04-2012 07:13"/>
    <n v="6"/>
    <n v="5"/>
    <m/>
    <n v="0"/>
    <n v="732"/>
    <s v="us"/>
    <n v="597"/>
    <n v="0"/>
    <n v="12.6"/>
    <s v="mww"/>
    <n v="198"/>
    <n v="-5.4619999999999997"/>
    <n v="147.11699999999999"/>
    <s v="Lae, Papua New Guinea"/>
    <x v="4"/>
    <x v="44"/>
    <n v="5"/>
    <n v="6.8"/>
    <n v="597"/>
    <n v="0"/>
    <n v="12.6"/>
    <n v="198"/>
    <n v="6"/>
    <n v="5"/>
    <n v="0"/>
    <n v="732"/>
  </r>
  <r>
    <x v="521"/>
    <n v="6.8"/>
    <s v="22-11-2007 08:48"/>
    <n v="6"/>
    <n v="6"/>
    <m/>
    <n v="0"/>
    <n v="722"/>
    <s v="us"/>
    <n v="341"/>
    <n v="0"/>
    <n v="15.9"/>
    <s v="mwc"/>
    <n v="53"/>
    <n v="-5.7569999999999997"/>
    <n v="147.09800000000001"/>
    <s v="Lae, Papua New Guinea"/>
    <x v="4"/>
    <x v="44"/>
    <n v="5"/>
    <n v="6.8"/>
    <n v="341"/>
    <n v="0"/>
    <n v="15.9"/>
    <n v="53"/>
    <n v="6"/>
    <n v="6"/>
    <n v="0"/>
    <n v="722"/>
  </r>
  <r>
    <x v="522"/>
    <n v="6.5"/>
    <d v="2010-04-08T07:15:00"/>
    <n v="5"/>
    <n v="4"/>
    <m/>
    <n v="0"/>
    <n v="659"/>
    <s v="us"/>
    <n v="403"/>
    <n v="0"/>
    <n v="11.1"/>
    <s v="mwc"/>
    <n v="220"/>
    <n v="-5.4859999999999998"/>
    <n v="146.822"/>
    <s v="Madang, Papua New Guinea"/>
    <x v="4"/>
    <x v="44"/>
    <n v="5"/>
    <n v="6.5"/>
    <n v="403"/>
    <n v="0"/>
    <n v="11.1"/>
    <n v="220"/>
    <n v="5"/>
    <n v="4"/>
    <n v="0"/>
    <n v="659"/>
  </r>
  <r>
    <x v="523"/>
    <n v="7.6"/>
    <s v="14-05-2019 12:58"/>
    <n v="7"/>
    <n v="7"/>
    <s v="green"/>
    <n v="1"/>
    <n v="929"/>
    <s v="us"/>
    <n v="0"/>
    <n v="0.45300000000000001"/>
    <n v="16"/>
    <s v="mww"/>
    <n v="10"/>
    <n v="-4.0510000000000002"/>
    <n v="152.59700000000001"/>
    <s v="Namatanai, Papua New Guinea"/>
    <x v="4"/>
    <x v="44"/>
    <n v="5"/>
    <n v="7.6"/>
    <n v="0"/>
    <n v="0.45300000000000001"/>
    <n v="16"/>
    <n v="10"/>
    <n v="7"/>
    <n v="7"/>
    <n v="1"/>
    <n v="929"/>
  </r>
  <r>
    <x v="524"/>
    <n v="7.3"/>
    <s v="18-07-2010 13:34"/>
    <n v="8"/>
    <n v="7"/>
    <m/>
    <n v="0"/>
    <n v="831"/>
    <s v="us"/>
    <n v="397"/>
    <n v="0"/>
    <n v="18.2"/>
    <s v="mwc"/>
    <n v="35"/>
    <n v="-5.931"/>
    <n v="150.59"/>
    <s v="New Britain region, Papua New Guinea"/>
    <x v="4"/>
    <x v="44"/>
    <n v="5"/>
    <n v="7.3"/>
    <n v="397"/>
    <n v="0"/>
    <n v="18.2"/>
    <n v="35"/>
    <n v="8"/>
    <n v="7"/>
    <n v="0"/>
    <n v="831"/>
  </r>
  <r>
    <x v="525"/>
    <n v="6.7"/>
    <d v="2002-12-12T08:30:00"/>
    <n v="0"/>
    <n v="6"/>
    <m/>
    <n v="0"/>
    <n v="691"/>
    <s v="us"/>
    <n v="453"/>
    <n v="0"/>
    <n v="0"/>
    <s v="mwb"/>
    <n v="34"/>
    <n v="-4.7859999999999996"/>
    <n v="153.27500000000001"/>
    <s v="New Ireland region, Papua New Guinea"/>
    <x v="4"/>
    <x v="44"/>
    <n v="5"/>
    <n v="6.7"/>
    <n v="453"/>
    <n v="0"/>
    <n v="0"/>
    <n v="34"/>
    <n v="0"/>
    <n v="6"/>
    <n v="0"/>
    <n v="691"/>
  </r>
  <r>
    <x v="526"/>
    <n v="7.9"/>
    <s v="22-01-2017 04:30"/>
    <n v="9"/>
    <n v="7"/>
    <s v="yellow"/>
    <n v="1"/>
    <n v="987"/>
    <s v="us"/>
    <n v="0"/>
    <n v="3.625"/>
    <n v="9"/>
    <s v="mww"/>
    <n v="135"/>
    <n v="-6.2464000000000004"/>
    <n v="155.172"/>
    <s v="Panguna, Papua New Guinea"/>
    <x v="4"/>
    <x v="44"/>
    <n v="5"/>
    <n v="7.9"/>
    <n v="0"/>
    <n v="3.625"/>
    <n v="9"/>
    <n v="135"/>
    <n v="9"/>
    <n v="7"/>
    <n v="1"/>
    <n v="987"/>
  </r>
  <r>
    <x v="527"/>
    <n v="7.1"/>
    <d v="2014-11-04T07:07:00"/>
    <n v="0"/>
    <n v="7"/>
    <s v="green"/>
    <n v="1"/>
    <n v="776"/>
    <s v="us"/>
    <n v="0"/>
    <n v="3.7290000000000001"/>
    <n v="21"/>
    <s v="mww"/>
    <n v="60.53"/>
    <n v="-6.5857999999999999"/>
    <n v="155.048"/>
    <s v="Panguna, Papua New Guinea"/>
    <x v="4"/>
    <x v="44"/>
    <n v="5"/>
    <n v="7.1"/>
    <n v="0"/>
    <n v="3.7290000000000001"/>
    <n v="21"/>
    <n v="60.53"/>
    <n v="0"/>
    <n v="7"/>
    <n v="1"/>
    <n v="776"/>
  </r>
  <r>
    <x v="528"/>
    <n v="6.8"/>
    <s v="16-10-2013 10:30"/>
    <n v="0"/>
    <n v="6"/>
    <s v="green"/>
    <n v="1"/>
    <n v="711"/>
    <s v="us"/>
    <n v="0"/>
    <n v="5.79"/>
    <n v="9"/>
    <s v="mww"/>
    <n v="35"/>
    <n v="-6.4455999999999998"/>
    <n v="154.93100000000001"/>
    <s v="Panguna, Papua New Guinea"/>
    <x v="4"/>
    <x v="44"/>
    <n v="5"/>
    <n v="6.8"/>
    <n v="0"/>
    <n v="5.79"/>
    <n v="9"/>
    <n v="35"/>
    <n v="0"/>
    <n v="6"/>
    <n v="1"/>
    <n v="711"/>
  </r>
  <r>
    <x v="529"/>
    <n v="6.8"/>
    <d v="2006-01-09T10:18:00"/>
    <n v="0"/>
    <n v="6"/>
    <m/>
    <n v="0"/>
    <n v="711"/>
    <s v="us"/>
    <n v="459"/>
    <n v="0"/>
    <n v="28.4"/>
    <s v="mwb"/>
    <n v="38"/>
    <n v="-6.7590000000000003"/>
    <n v="155.512"/>
    <s v="Panguna, Papua New Guinea"/>
    <x v="4"/>
    <x v="44"/>
    <n v="5"/>
    <n v="6.8"/>
    <n v="459"/>
    <n v="0"/>
    <n v="28.4"/>
    <n v="38"/>
    <n v="0"/>
    <n v="6"/>
    <n v="0"/>
    <n v="711"/>
  </r>
  <r>
    <x v="530"/>
    <n v="6.6"/>
    <s v="19-04-2014 01:04"/>
    <n v="0"/>
    <n v="6"/>
    <s v="green"/>
    <n v="1"/>
    <n v="670"/>
    <s v="us"/>
    <n v="0"/>
    <n v="3.8029999999999999"/>
    <n v="11"/>
    <s v="mww"/>
    <n v="29"/>
    <n v="-6.6558000000000002"/>
    <n v="155.08699999999999"/>
    <s v="Panguna, Papua New Guinea"/>
    <x v="4"/>
    <x v="44"/>
    <n v="5"/>
    <n v="6.6"/>
    <n v="0"/>
    <n v="3.8029999999999999"/>
    <n v="11"/>
    <n v="29"/>
    <n v="0"/>
    <n v="6"/>
    <n v="1"/>
    <n v="670"/>
  </r>
  <r>
    <x v="531"/>
    <n v="6.9"/>
    <d v="2007-01-04T21:11:00"/>
    <n v="0"/>
    <n v="7"/>
    <m/>
    <n v="0"/>
    <n v="732"/>
    <s v="us"/>
    <n v="305"/>
    <n v="0"/>
    <n v="15.3"/>
    <s v="mwc"/>
    <n v="10"/>
    <n v="-7.306"/>
    <n v="155.74100000000001"/>
    <s v="Panguna, Papua New Guinea"/>
    <x v="4"/>
    <x v="44"/>
    <n v="5"/>
    <n v="6.9"/>
    <n v="305"/>
    <n v="0"/>
    <n v="15.3"/>
    <n v="10"/>
    <n v="0"/>
    <n v="7"/>
    <n v="0"/>
    <n v="732"/>
  </r>
  <r>
    <x v="532"/>
    <n v="6.7"/>
    <s v="19-04-2001 21:43"/>
    <n v="0"/>
    <n v="6"/>
    <m/>
    <n v="0"/>
    <n v="691"/>
    <s v="us"/>
    <n v="282"/>
    <n v="0"/>
    <n v="0"/>
    <s v="mwc"/>
    <n v="17"/>
    <n v="-7.41"/>
    <n v="155.86500000000001"/>
    <s v="Panguna, Papua New Guinea"/>
    <x v="4"/>
    <x v="44"/>
    <n v="5"/>
    <n v="6.7"/>
    <n v="282"/>
    <n v="0"/>
    <n v="0"/>
    <n v="17"/>
    <n v="0"/>
    <n v="6"/>
    <n v="0"/>
    <n v="691"/>
  </r>
  <r>
    <x v="533"/>
    <n v="6.6"/>
    <d v="2007-01-04T20:47:00"/>
    <n v="0"/>
    <n v="7"/>
    <m/>
    <n v="0"/>
    <n v="670"/>
    <s v="us"/>
    <n v="251"/>
    <n v="0"/>
    <n v="16"/>
    <s v="mb"/>
    <n v="10"/>
    <n v="-7.1689999999999996"/>
    <n v="155.77699999999999"/>
    <s v="Panguna, Papua New Guinea"/>
    <x v="4"/>
    <x v="44"/>
    <n v="5"/>
    <n v="6.6"/>
    <n v="251"/>
    <n v="0"/>
    <n v="16"/>
    <n v="10"/>
    <n v="0"/>
    <n v="7"/>
    <n v="0"/>
    <n v="670"/>
  </r>
  <r>
    <x v="534"/>
    <n v="7.1"/>
    <d v="2015-07-05T07:10:00"/>
    <n v="1"/>
    <n v="6"/>
    <s v="green"/>
    <n v="1"/>
    <n v="776"/>
    <s v="us"/>
    <n v="0"/>
    <n v="3.835"/>
    <n v="11"/>
    <s v="mww"/>
    <n v="10"/>
    <n v="-7.2175000000000002"/>
    <n v="154.55699999999999"/>
    <s v="Panguna, Papua New Guinea"/>
    <x v="4"/>
    <x v="44"/>
    <n v="5"/>
    <n v="7.1"/>
    <n v="0"/>
    <n v="3.835"/>
    <n v="11"/>
    <n v="10"/>
    <n v="1"/>
    <n v="6"/>
    <n v="1"/>
    <n v="776"/>
  </r>
  <r>
    <x v="535"/>
    <n v="6.6"/>
    <d v="2014-07-12T01:22:00"/>
    <n v="1"/>
    <n v="5"/>
    <s v="green"/>
    <n v="1"/>
    <n v="670"/>
    <s v="us"/>
    <n v="0"/>
    <n v="3.246"/>
    <n v="12"/>
    <s v="mww"/>
    <n v="23"/>
    <n v="-6.5107999999999997"/>
    <n v="154.46"/>
    <s v="Panguna, Papua New Guinea"/>
    <x v="4"/>
    <x v="44"/>
    <n v="5"/>
    <n v="6.6"/>
    <n v="0"/>
    <n v="3.246"/>
    <n v="12"/>
    <n v="23"/>
    <n v="1"/>
    <n v="5"/>
    <n v="1"/>
    <n v="670"/>
  </r>
  <r>
    <x v="536"/>
    <n v="6.6"/>
    <s v="14-04-2013 01:32"/>
    <n v="0"/>
    <n v="5"/>
    <s v="green"/>
    <n v="1"/>
    <n v="670"/>
    <s v="us"/>
    <n v="491"/>
    <n v="0"/>
    <n v="11.5"/>
    <s v="mww"/>
    <n v="31"/>
    <n v="-6.4749999999999996"/>
    <n v="154.607"/>
    <s v="Panguna, Papua New Guinea"/>
    <x v="4"/>
    <x v="44"/>
    <n v="5"/>
    <n v="6.6"/>
    <n v="491"/>
    <n v="0"/>
    <n v="11.5"/>
    <n v="31"/>
    <n v="0"/>
    <n v="5"/>
    <n v="1"/>
    <n v="670"/>
  </r>
  <r>
    <x v="537"/>
    <n v="6.5"/>
    <d v="2014-11-04T08:16:00"/>
    <n v="0"/>
    <n v="6"/>
    <s v="green"/>
    <n v="1"/>
    <n v="650"/>
    <s v="us"/>
    <n v="0"/>
    <n v="3.7869999999999999"/>
    <n v="16"/>
    <s v="mww"/>
    <n v="20"/>
    <n v="-6.7877999999999998"/>
    <n v="154.94999999999999"/>
    <s v="Panguna, Papua New Guinea"/>
    <x v="4"/>
    <x v="44"/>
    <n v="5"/>
    <n v="6.5"/>
    <n v="0"/>
    <n v="3.7869999999999999"/>
    <n v="16"/>
    <n v="20"/>
    <n v="0"/>
    <n v="6"/>
    <n v="1"/>
    <n v="650"/>
  </r>
  <r>
    <x v="538"/>
    <n v="7"/>
    <s v="17-07-2020 02:50"/>
    <n v="6"/>
    <n v="7"/>
    <s v="green"/>
    <n v="1"/>
    <n v="820"/>
    <s v="us"/>
    <n v="0"/>
    <n v="1.671"/>
    <n v="18"/>
    <s v="mww"/>
    <n v="73"/>
    <n v="-7.8470000000000004"/>
    <n v="147.755"/>
    <s v="Popondetta, Papua New Guinea"/>
    <x v="4"/>
    <x v="44"/>
    <n v="5"/>
    <n v="7"/>
    <n v="0"/>
    <n v="1.671"/>
    <n v="18"/>
    <n v="73"/>
    <n v="6"/>
    <n v="7"/>
    <n v="1"/>
    <n v="820"/>
  </r>
  <r>
    <x v="539"/>
    <n v="6.8"/>
    <s v="31-08-2016 03:11"/>
    <n v="4"/>
    <n v="3"/>
    <s v="green"/>
    <n v="1"/>
    <n v="713"/>
    <s v="us"/>
    <n v="0"/>
    <n v="0.80300000000000005"/>
    <n v="12"/>
    <s v="mww"/>
    <n v="476"/>
    <n v="-3.6848999999999998"/>
    <n v="152.792"/>
    <s v="Rabaul, Papua New Guinea"/>
    <x v="4"/>
    <x v="44"/>
    <n v="5"/>
    <n v="6.8"/>
    <n v="0"/>
    <n v="0.80300000000000005"/>
    <n v="12"/>
    <n v="476"/>
    <n v="4"/>
    <n v="3"/>
    <n v="1"/>
    <n v="713"/>
  </r>
  <r>
    <x v="540"/>
    <n v="6.5"/>
    <s v="23-04-2013 23:14"/>
    <n v="0"/>
    <n v="6"/>
    <s v="green"/>
    <n v="1"/>
    <n v="650"/>
    <s v="us"/>
    <n v="264"/>
    <n v="0"/>
    <n v="16.600000000000001"/>
    <s v="mww"/>
    <n v="10"/>
    <n v="-3.8980000000000001"/>
    <n v="152.12700000000001"/>
    <s v="Rabaul, Papua New Guinea"/>
    <x v="4"/>
    <x v="44"/>
    <n v="5"/>
    <n v="6.5"/>
    <n v="264"/>
    <n v="0"/>
    <n v="16.600000000000001"/>
    <n v="10"/>
    <n v="0"/>
    <n v="6"/>
    <n v="1"/>
    <n v="650"/>
  </r>
  <r>
    <x v="541"/>
    <n v="6.5"/>
    <s v="15-07-2003 18:46"/>
    <n v="0"/>
    <n v="6"/>
    <m/>
    <n v="0"/>
    <n v="650"/>
    <s v="us"/>
    <n v="156"/>
    <n v="0"/>
    <n v="31.4"/>
    <s v="mwb"/>
    <n v="33"/>
    <n v="-3.8279999999999998"/>
    <n v="152.17400000000001"/>
    <s v="Rabaul, Papua New Guinea"/>
    <x v="4"/>
    <x v="44"/>
    <n v="5"/>
    <n v="6.5"/>
    <n v="156"/>
    <n v="0"/>
    <n v="31.4"/>
    <n v="33"/>
    <n v="0"/>
    <n v="6"/>
    <n v="0"/>
    <n v="650"/>
  </r>
  <r>
    <x v="542"/>
    <n v="7.5"/>
    <s v="25-02-2018 17:44"/>
    <n v="9"/>
    <n v="8"/>
    <s v="yellow"/>
    <n v="1"/>
    <n v="943"/>
    <s v="us"/>
    <n v="0"/>
    <n v="5.48"/>
    <n v="17"/>
    <s v="mww"/>
    <n v="25.21"/>
    <n v="-6.0698999999999996"/>
    <n v="142.75399999999999"/>
    <s v="Tari, Papua New Guinea"/>
    <x v="4"/>
    <x v="44"/>
    <n v="5"/>
    <n v="7.5"/>
    <n v="0"/>
    <n v="5.48"/>
    <n v="17"/>
    <n v="25.21"/>
    <n v="9"/>
    <n v="8"/>
    <n v="1"/>
    <n v="943"/>
  </r>
  <r>
    <x v="543"/>
    <n v="6.7"/>
    <d v="2018-06-03T14:13:00"/>
    <n v="8"/>
    <n v="7"/>
    <s v="green"/>
    <n v="1"/>
    <n v="697"/>
    <s v="us"/>
    <n v="0"/>
    <n v="5.4569999999999999"/>
    <n v="19"/>
    <s v="mww"/>
    <n v="20.49"/>
    <n v="-6.3042999999999996"/>
    <n v="142.61199999999999"/>
    <s v="Tari, Papua New Guinea"/>
    <x v="4"/>
    <x v="44"/>
    <n v="5"/>
    <n v="6.7"/>
    <n v="0"/>
    <n v="5.4569999999999999"/>
    <n v="19"/>
    <n v="20.49"/>
    <n v="8"/>
    <n v="7"/>
    <n v="1"/>
    <n v="697"/>
  </r>
  <r>
    <x v="544"/>
    <n v="7.1"/>
    <s v="14-12-2011 05:04"/>
    <n v="6"/>
    <n v="6"/>
    <m/>
    <n v="0"/>
    <n v="834"/>
    <s v="us"/>
    <n v="485"/>
    <n v="0"/>
    <n v="10.6"/>
    <s v="mww"/>
    <n v="135"/>
    <n v="-7.5510000000000002"/>
    <n v="146.809"/>
    <s v="Wau, Papua New Guinea"/>
    <x v="4"/>
    <x v="44"/>
    <n v="5"/>
    <n v="7.1"/>
    <n v="485"/>
    <n v="0"/>
    <n v="10.6"/>
    <n v="135"/>
    <n v="6"/>
    <n v="6"/>
    <n v="0"/>
    <n v="834"/>
  </r>
  <r>
    <x v="545"/>
    <n v="6.8"/>
    <s v="18-11-2015 18:31"/>
    <n v="5"/>
    <n v="6"/>
    <s v="green"/>
    <n v="1"/>
    <n v="715"/>
    <s v="us"/>
    <n v="0"/>
    <n v="1.599"/>
    <n v="19"/>
    <s v="mww"/>
    <n v="12.59"/>
    <n v="-8.8994"/>
    <n v="158.422"/>
    <s v="Buala, Solomon Islands"/>
    <x v="4"/>
    <x v="45"/>
    <n v="5"/>
    <n v="6.8"/>
    <n v="0"/>
    <n v="1.599"/>
    <n v="19"/>
    <n v="12.59"/>
    <n v="5"/>
    <n v="6"/>
    <n v="1"/>
    <n v="715"/>
  </r>
  <r>
    <x v="546"/>
    <n v="8.1"/>
    <d v="2007-01-04T20:39:00"/>
    <n v="9"/>
    <n v="8"/>
    <m/>
    <n v="0"/>
    <n v="1025"/>
    <s v="us"/>
    <n v="439"/>
    <n v="0"/>
    <n v="14.7"/>
    <s v="mwc"/>
    <n v="24"/>
    <n v="-8.4659999999999993"/>
    <n v="157.04300000000001"/>
    <s v="Gizo, Solomon Islands"/>
    <x v="4"/>
    <x v="45"/>
    <n v="5"/>
    <n v="8.1"/>
    <n v="439"/>
    <n v="0"/>
    <n v="14.7"/>
    <n v="24"/>
    <n v="9"/>
    <n v="8"/>
    <n v="0"/>
    <n v="1025"/>
  </r>
  <r>
    <x v="547"/>
    <n v="7.1"/>
    <d v="2010-03-01T22:36:00"/>
    <n v="5"/>
    <n v="7"/>
    <m/>
    <n v="0"/>
    <n v="780"/>
    <s v="us"/>
    <n v="377"/>
    <n v="0"/>
    <n v="15"/>
    <s v="mwc"/>
    <n v="10"/>
    <n v="-8.7829999999999995"/>
    <n v="157.35400000000001"/>
    <s v="Gizo, Solomon Islands"/>
    <x v="4"/>
    <x v="45"/>
    <n v="5"/>
    <n v="7.1"/>
    <n v="377"/>
    <n v="0"/>
    <n v="15"/>
    <n v="10"/>
    <n v="5"/>
    <n v="7"/>
    <n v="0"/>
    <n v="780"/>
  </r>
  <r>
    <x v="548"/>
    <n v="6.6"/>
    <d v="2010-03-01T21:48:00"/>
    <n v="5"/>
    <n v="7"/>
    <m/>
    <n v="0"/>
    <n v="672"/>
    <s v="us"/>
    <n v="282"/>
    <n v="0"/>
    <n v="16.600000000000001"/>
    <s v="mwc"/>
    <n v="10"/>
    <n v="-8.7260000000000009"/>
    <n v="157.48699999999999"/>
    <s v="Gizo, Solomon Islands"/>
    <x v="4"/>
    <x v="45"/>
    <n v="5"/>
    <n v="6.6"/>
    <n v="282"/>
    <n v="0"/>
    <n v="16.600000000000001"/>
    <n v="10"/>
    <n v="5"/>
    <n v="7"/>
    <n v="0"/>
    <n v="672"/>
  </r>
  <r>
    <x v="549"/>
    <n v="6.8"/>
    <d v="2010-05-01T12:15:00"/>
    <n v="3"/>
    <n v="6"/>
    <m/>
    <n v="0"/>
    <n v="713"/>
    <s v="us"/>
    <n v="338"/>
    <n v="0"/>
    <n v="15"/>
    <s v="mwc"/>
    <n v="15.4"/>
    <n v="-9.0190000000000001"/>
    <n v="157.55099999999999"/>
    <s v="Gizo, Solomon Islands"/>
    <x v="4"/>
    <x v="45"/>
    <n v="5"/>
    <n v="6.8"/>
    <n v="338"/>
    <n v="0"/>
    <n v="15"/>
    <n v="15.4"/>
    <n v="3"/>
    <n v="6"/>
    <n v="0"/>
    <n v="713"/>
  </r>
  <r>
    <x v="550"/>
    <n v="6.5"/>
    <d v="2015-12-08T18:49:00"/>
    <n v="0"/>
    <n v="5"/>
    <s v="green"/>
    <n v="1"/>
    <n v="650"/>
    <s v="us"/>
    <n v="0"/>
    <n v="2.0449999999999999"/>
    <n v="16"/>
    <s v="mww"/>
    <n v="6.43"/>
    <n v="-9.3292999999999999"/>
    <n v="157.87700000000001"/>
    <s v="Gizo, Solomon Islands"/>
    <x v="4"/>
    <x v="45"/>
    <n v="5"/>
    <n v="6.5"/>
    <n v="0"/>
    <n v="2.0449999999999999"/>
    <n v="16"/>
    <n v="6.43"/>
    <n v="0"/>
    <n v="5"/>
    <n v="1"/>
    <n v="650"/>
  </r>
  <r>
    <x v="551"/>
    <n v="7.8"/>
    <d v="2016-08-12T17:38:00"/>
    <n v="9"/>
    <n v="8"/>
    <s v="green"/>
    <n v="1"/>
    <n v="961"/>
    <s v="us"/>
    <n v="0"/>
    <n v="1.8360000000000001"/>
    <n v="13"/>
    <s v="mww"/>
    <n v="40"/>
    <n v="-10.6812"/>
    <n v="161.327"/>
    <s v="Kirakira, Solomon Islands"/>
    <x v="4"/>
    <x v="45"/>
    <n v="5"/>
    <n v="7.8"/>
    <n v="0"/>
    <n v="1.8360000000000001"/>
    <n v="13"/>
    <n v="40"/>
    <n v="9"/>
    <n v="8"/>
    <n v="1"/>
    <n v="961"/>
  </r>
  <r>
    <x v="552"/>
    <n v="6.8"/>
    <s v="23-04-2011 04:16"/>
    <n v="5"/>
    <n v="6"/>
    <m/>
    <n v="0"/>
    <n v="719"/>
    <s v="us"/>
    <n v="445"/>
    <n v="0"/>
    <n v="13"/>
    <s v="mww"/>
    <n v="79"/>
    <n v="-10.375"/>
    <n v="161.19999999999999"/>
    <s v="Kirakira, Solomon Islands"/>
    <x v="4"/>
    <x v="45"/>
    <n v="5"/>
    <n v="6.8"/>
    <n v="445"/>
    <n v="0"/>
    <n v="13"/>
    <n v="79"/>
    <n v="5"/>
    <n v="6"/>
    <n v="0"/>
    <n v="719"/>
  </r>
  <r>
    <x v="553"/>
    <n v="6.8"/>
    <d v="2004-08-10T08:27:00"/>
    <n v="0"/>
    <n v="6"/>
    <m/>
    <n v="0"/>
    <n v="711"/>
    <s v="us"/>
    <n v="545"/>
    <n v="0"/>
    <n v="15.7"/>
    <s v="mwb"/>
    <n v="36"/>
    <n v="-10.951000000000001"/>
    <n v="162.161"/>
    <s v="Kirakira, Solomon Islands"/>
    <x v="4"/>
    <x v="45"/>
    <n v="5"/>
    <n v="6.8"/>
    <n v="545"/>
    <n v="0"/>
    <n v="15.7"/>
    <n v="36"/>
    <n v="0"/>
    <n v="6"/>
    <n v="0"/>
    <n v="711"/>
  </r>
  <r>
    <x v="554"/>
    <n v="6.7"/>
    <s v="26-06-2010 05:30"/>
    <n v="5"/>
    <n v="6"/>
    <m/>
    <n v="0"/>
    <n v="696"/>
    <s v="us"/>
    <n v="392"/>
    <n v="0"/>
    <n v="18.7"/>
    <s v="mwc"/>
    <n v="35"/>
    <n v="-10.627000000000001"/>
    <n v="161.447"/>
    <s v="Kirakira, Solomon Islands"/>
    <x v="4"/>
    <x v="45"/>
    <n v="5"/>
    <n v="6.7"/>
    <n v="392"/>
    <n v="0"/>
    <n v="18.7"/>
    <n v="35"/>
    <n v="5"/>
    <n v="6"/>
    <n v="0"/>
    <n v="696"/>
  </r>
  <r>
    <x v="555"/>
    <n v="6.6"/>
    <s v="27-11-2007 11:49"/>
    <n v="3"/>
    <n v="6"/>
    <m/>
    <n v="0"/>
    <n v="672"/>
    <s v="us"/>
    <n v="280"/>
    <n v="0"/>
    <n v="26.9"/>
    <s v="mwc"/>
    <n v="16"/>
    <n v="-10.95"/>
    <n v="162.149"/>
    <s v="Kirakira, Solomon Islands"/>
    <x v="4"/>
    <x v="45"/>
    <n v="5"/>
    <n v="6.6"/>
    <n v="280"/>
    <n v="0"/>
    <n v="26.9"/>
    <n v="16"/>
    <n v="3"/>
    <n v="6"/>
    <n v="0"/>
    <n v="672"/>
  </r>
  <r>
    <x v="556"/>
    <n v="6.5"/>
    <d v="2018-09-09T19:31:00"/>
    <n v="3"/>
    <n v="6"/>
    <s v="green"/>
    <n v="1"/>
    <n v="651"/>
    <s v="us"/>
    <n v="0"/>
    <n v="1.6379999999999999"/>
    <n v="25"/>
    <s v="mww"/>
    <n v="68"/>
    <n v="-10.0207"/>
    <n v="161.50299999999999"/>
    <s v="Kirakira, Solomon Islands"/>
    <x v="4"/>
    <x v="45"/>
    <n v="5"/>
    <n v="6.5"/>
    <n v="0"/>
    <n v="1.6379999999999999"/>
    <n v="25"/>
    <n v="68"/>
    <n v="3"/>
    <n v="6"/>
    <n v="1"/>
    <n v="651"/>
  </r>
  <r>
    <x v="557"/>
    <n v="6.5"/>
    <s v="19-01-2017 23:04"/>
    <n v="6"/>
    <n v="6"/>
    <s v="green"/>
    <n v="1"/>
    <n v="654"/>
    <s v="us"/>
    <n v="0"/>
    <n v="1.64"/>
    <n v="21"/>
    <s v="mww"/>
    <n v="36"/>
    <n v="-10.3506"/>
    <n v="161.33500000000001"/>
    <s v="Kirakira, Solomon Islands"/>
    <x v="4"/>
    <x v="45"/>
    <n v="5"/>
    <n v="6.5"/>
    <n v="0"/>
    <n v="1.64"/>
    <n v="21"/>
    <n v="36"/>
    <n v="6"/>
    <n v="6"/>
    <n v="1"/>
    <n v="654"/>
  </r>
  <r>
    <x v="558"/>
    <n v="7.6"/>
    <d v="2014-12-04T20:14:00"/>
    <n v="0"/>
    <n v="7"/>
    <s v="green"/>
    <n v="1"/>
    <n v="889"/>
    <s v="us"/>
    <n v="0"/>
    <n v="2.8279999999999998"/>
    <n v="13"/>
    <s v="mww"/>
    <n v="22.56"/>
    <n v="-11.270099999999999"/>
    <n v="162.148"/>
    <s v="Kirakira, Solomon Islands"/>
    <x v="4"/>
    <x v="45"/>
    <n v="5"/>
    <n v="7.6"/>
    <n v="0"/>
    <n v="2.8279999999999998"/>
    <n v="13"/>
    <n v="22.56"/>
    <n v="0"/>
    <n v="7"/>
    <n v="1"/>
    <n v="889"/>
  </r>
  <r>
    <x v="559"/>
    <n v="7.4"/>
    <s v="13-04-2014 12:36"/>
    <n v="0"/>
    <n v="6"/>
    <s v="green"/>
    <n v="1"/>
    <n v="842"/>
    <s v="us"/>
    <n v="0"/>
    <n v="2.8849999999999998"/>
    <n v="17"/>
    <s v="mww"/>
    <n v="39"/>
    <n v="-11.4633"/>
    <n v="162.05099999999999"/>
    <s v="Kirakira, Solomon Islands"/>
    <x v="4"/>
    <x v="45"/>
    <n v="5"/>
    <n v="7.4"/>
    <n v="0"/>
    <n v="2.8849999999999998"/>
    <n v="17"/>
    <n v="39"/>
    <n v="0"/>
    <n v="6"/>
    <n v="1"/>
    <n v="842"/>
  </r>
  <r>
    <x v="560"/>
    <n v="7.3"/>
    <s v="20-01-2003 08:43"/>
    <n v="0"/>
    <n v="6"/>
    <m/>
    <n v="0"/>
    <n v="820"/>
    <s v="us"/>
    <n v="457"/>
    <n v="0"/>
    <n v="0"/>
    <s v="mwc"/>
    <n v="33"/>
    <n v="-10.491"/>
    <n v="160.77000000000001"/>
    <s v="Kirakira, Solomon Islands"/>
    <x v="4"/>
    <x v="45"/>
    <n v="5"/>
    <n v="7.3"/>
    <n v="457"/>
    <n v="0"/>
    <n v="0"/>
    <n v="33"/>
    <n v="0"/>
    <n v="6"/>
    <n v="0"/>
    <n v="820"/>
  </r>
  <r>
    <x v="561"/>
    <n v="6.9"/>
    <d v="2016-09-12T19:10:00"/>
    <n v="8"/>
    <n v="6"/>
    <s v="green"/>
    <n v="1"/>
    <n v="737"/>
    <s v="us"/>
    <n v="0"/>
    <n v="1.7470000000000001"/>
    <n v="26"/>
    <s v="mww"/>
    <n v="19.73"/>
    <n v="-10.749000000000001"/>
    <n v="161.13200000000001"/>
    <s v="Kirakira, Solomon Islands"/>
    <x v="4"/>
    <x v="45"/>
    <n v="5"/>
    <n v="6.9"/>
    <n v="0"/>
    <n v="1.7470000000000001"/>
    <n v="26"/>
    <n v="19.73"/>
    <n v="8"/>
    <n v="6"/>
    <n v="1"/>
    <n v="737"/>
  </r>
  <r>
    <x v="562"/>
    <n v="6.9"/>
    <s v="22-05-2015 21:45"/>
    <n v="1"/>
    <n v="4"/>
    <s v="green"/>
    <n v="1"/>
    <n v="732"/>
    <s v="us"/>
    <n v="0"/>
    <n v="4.024"/>
    <n v="22"/>
    <s v="mww"/>
    <n v="11.19"/>
    <n v="-11.055899999999999"/>
    <n v="163.696"/>
    <s v="Kirakira, Solomon Islands"/>
    <x v="4"/>
    <x v="45"/>
    <n v="5"/>
    <n v="6.9"/>
    <n v="0"/>
    <n v="4.024"/>
    <n v="22"/>
    <n v="11.19"/>
    <n v="1"/>
    <n v="4"/>
    <n v="1"/>
    <n v="732"/>
  </r>
  <r>
    <x v="563"/>
    <n v="6.9"/>
    <d v="2010-11-04T09:40:00"/>
    <n v="4"/>
    <n v="5"/>
    <m/>
    <n v="0"/>
    <n v="740"/>
    <s v="us"/>
    <n v="399"/>
    <n v="0"/>
    <n v="12.1"/>
    <s v="mwc"/>
    <n v="21"/>
    <n v="-10.878"/>
    <n v="161.11600000000001"/>
    <s v="Kirakira, Solomon Islands"/>
    <x v="4"/>
    <x v="45"/>
    <n v="5"/>
    <n v="6.9"/>
    <n v="399"/>
    <n v="0"/>
    <n v="12.1"/>
    <n v="21"/>
    <n v="4"/>
    <n v="5"/>
    <n v="0"/>
    <n v="740"/>
  </r>
  <r>
    <x v="564"/>
    <n v="6.8"/>
    <s v="22-05-2015 23:59"/>
    <n v="1"/>
    <n v="5"/>
    <s v="green"/>
    <n v="1"/>
    <n v="711"/>
    <s v="us"/>
    <n v="0"/>
    <n v="3.6190000000000002"/>
    <n v="18"/>
    <s v="mww"/>
    <n v="10"/>
    <n v="-11.109299999999999"/>
    <n v="163.215"/>
    <s v="Kirakira, Solomon Islands"/>
    <x v="4"/>
    <x v="45"/>
    <n v="5"/>
    <n v="6.8"/>
    <n v="0"/>
    <n v="3.6190000000000002"/>
    <n v="18"/>
    <n v="10"/>
    <n v="1"/>
    <n v="5"/>
    <n v="1"/>
    <n v="711"/>
  </r>
  <r>
    <x v="565"/>
    <n v="6.7"/>
    <d v="2004-11-11T17:34:00"/>
    <n v="0"/>
    <n v="6"/>
    <m/>
    <n v="0"/>
    <n v="691"/>
    <s v="us"/>
    <n v="233"/>
    <n v="0"/>
    <n v="21.5"/>
    <s v="mwb"/>
    <n v="10"/>
    <n v="-11.128"/>
    <n v="162.208"/>
    <s v="Kirakira, Solomon Islands"/>
    <x v="4"/>
    <x v="45"/>
    <n v="5"/>
    <n v="6.7"/>
    <n v="233"/>
    <n v="0"/>
    <n v="21.5"/>
    <n v="10"/>
    <n v="0"/>
    <n v="6"/>
    <n v="0"/>
    <n v="691"/>
  </r>
  <r>
    <x v="566"/>
    <n v="6.6"/>
    <s v="13-04-2014 13:24"/>
    <n v="0"/>
    <n v="6"/>
    <s v="green"/>
    <n v="0"/>
    <n v="670"/>
    <s v="us"/>
    <n v="0"/>
    <n v="2.6659999999999999"/>
    <n v="22"/>
    <s v="mww"/>
    <n v="10"/>
    <n v="-11.128399999999999"/>
    <n v="162.05199999999999"/>
    <s v="Kirakira, Solomon Islands"/>
    <x v="4"/>
    <x v="45"/>
    <n v="5"/>
    <n v="6.6"/>
    <n v="0"/>
    <n v="2.6659999999999999"/>
    <n v="22"/>
    <n v="10"/>
    <n v="0"/>
    <n v="6"/>
    <n v="0"/>
    <n v="670"/>
  </r>
  <r>
    <x v="567"/>
    <n v="6.5"/>
    <d v="2016-08-12T21:56:00"/>
    <n v="0"/>
    <n v="5"/>
    <s v="green"/>
    <n v="0"/>
    <n v="650"/>
    <s v="us"/>
    <n v="0"/>
    <n v="1.9370000000000001"/>
    <n v="18"/>
    <s v="mww"/>
    <n v="12.26"/>
    <n v="-10.8416"/>
    <n v="161.31399999999999"/>
    <s v="Kirakira, Solomon Islands"/>
    <x v="4"/>
    <x v="45"/>
    <n v="5"/>
    <n v="6.5"/>
    <n v="0"/>
    <n v="1.9370000000000001"/>
    <n v="18"/>
    <n v="12.26"/>
    <n v="0"/>
    <n v="5"/>
    <n v="0"/>
    <n v="650"/>
  </r>
  <r>
    <x v="568"/>
    <n v="7.1"/>
    <d v="2013-08-02T15:26:00"/>
    <n v="9"/>
    <n v="6"/>
    <s v="green"/>
    <n v="1"/>
    <n v="780"/>
    <s v="us"/>
    <n v="334"/>
    <n v="0"/>
    <n v="16.5"/>
    <s v="mww"/>
    <n v="21"/>
    <n v="-10.928000000000001"/>
    <n v="166.018"/>
    <s v="Lata, Solomon Islands"/>
    <x v="4"/>
    <x v="45"/>
    <n v="5"/>
    <n v="7.1"/>
    <n v="334"/>
    <n v="0"/>
    <n v="16.5"/>
    <n v="21"/>
    <n v="9"/>
    <n v="6"/>
    <n v="1"/>
    <n v="780"/>
  </r>
  <r>
    <x v="569"/>
    <n v="7"/>
    <d v="2013-06-02T01:54:00"/>
    <n v="0"/>
    <n v="6"/>
    <s v="green"/>
    <n v="0"/>
    <n v="754"/>
    <s v="us"/>
    <n v="445"/>
    <n v="0"/>
    <n v="17.5"/>
    <s v="mww"/>
    <n v="8.8000000000000007"/>
    <n v="-10.499000000000001"/>
    <n v="165.58799999999999"/>
    <s v="Lata, Solomon Islands"/>
    <x v="4"/>
    <x v="45"/>
    <n v="5"/>
    <n v="7"/>
    <n v="445"/>
    <n v="0"/>
    <n v="17.5"/>
    <n v="8.8000000000000007"/>
    <n v="0"/>
    <n v="6"/>
    <n v="0"/>
    <n v="754"/>
  </r>
  <r>
    <x v="570"/>
    <n v="6.8"/>
    <d v="2013-08-02T11:12:00"/>
    <n v="0"/>
    <n v="7"/>
    <s v="green"/>
    <n v="1"/>
    <n v="711"/>
    <s v="us"/>
    <n v="400"/>
    <n v="0"/>
    <n v="17.5"/>
    <s v="mww"/>
    <n v="12"/>
    <n v="-10.837999999999999"/>
    <n v="165.96899999999999"/>
    <s v="Lata, Solomon Islands"/>
    <x v="4"/>
    <x v="45"/>
    <n v="5"/>
    <n v="6.8"/>
    <n v="400"/>
    <n v="0"/>
    <n v="17.5"/>
    <n v="12"/>
    <n v="0"/>
    <n v="7"/>
    <n v="1"/>
    <n v="711"/>
  </r>
  <r>
    <x v="571"/>
    <n v="6.7"/>
    <d v="2013-07-02T18:59:00"/>
    <n v="0"/>
    <n v="6"/>
    <s v="green"/>
    <n v="1"/>
    <n v="691"/>
    <s v="us"/>
    <n v="387"/>
    <n v="0"/>
    <n v="26.5"/>
    <s v="mww"/>
    <n v="11"/>
    <n v="-10.997"/>
    <n v="165.655"/>
    <s v="Lata, Solomon Islands"/>
    <x v="4"/>
    <x v="45"/>
    <n v="5"/>
    <n v="6.7"/>
    <n v="387"/>
    <n v="0"/>
    <n v="26.5"/>
    <n v="11"/>
    <n v="0"/>
    <n v="6"/>
    <n v="1"/>
    <n v="691"/>
  </r>
  <r>
    <x v="572"/>
    <n v="6.6"/>
    <d v="2013-09-02T21:02:00"/>
    <n v="0"/>
    <n v="6"/>
    <s v="green"/>
    <n v="1"/>
    <n v="670"/>
    <s v="us"/>
    <n v="421"/>
    <n v="0"/>
    <n v="16.600000000000001"/>
    <s v="mww"/>
    <n v="18"/>
    <n v="-10.994"/>
    <n v="165.74100000000001"/>
    <s v="Lata, Solomon Islands"/>
    <x v="4"/>
    <x v="45"/>
    <n v="5"/>
    <n v="6.6"/>
    <n v="421"/>
    <n v="0"/>
    <n v="16.600000000000001"/>
    <n v="18"/>
    <n v="0"/>
    <n v="6"/>
    <n v="1"/>
    <n v="670"/>
  </r>
  <r>
    <x v="573"/>
    <n v="8"/>
    <d v="2013-06-02T01:12:00"/>
    <n v="8"/>
    <n v="7"/>
    <s v="green"/>
    <n v="1"/>
    <n v="993"/>
    <s v="us"/>
    <n v="460"/>
    <n v="0"/>
    <n v="20.9"/>
    <s v="mww"/>
    <n v="24"/>
    <n v="-10.798999999999999"/>
    <n v="165.114"/>
    <s v="Lata, Solomon Islands"/>
    <x v="4"/>
    <x v="45"/>
    <n v="5"/>
    <n v="8"/>
    <n v="460"/>
    <n v="0"/>
    <n v="20.9"/>
    <n v="24"/>
    <n v="8"/>
    <n v="7"/>
    <n v="1"/>
    <n v="993"/>
  </r>
  <r>
    <x v="574"/>
    <n v="7.2"/>
    <d v="2007-02-09T01:05:00"/>
    <n v="0"/>
    <n v="5"/>
    <m/>
    <n v="0"/>
    <n v="798"/>
    <s v="us"/>
    <n v="312"/>
    <n v="0"/>
    <n v="21.3"/>
    <s v="mwc"/>
    <n v="35"/>
    <n v="-11.61"/>
    <n v="165.762"/>
    <s v="Lata, Solomon Islands"/>
    <x v="4"/>
    <x v="45"/>
    <n v="5"/>
    <n v="7.2"/>
    <n v="312"/>
    <n v="0"/>
    <n v="21.3"/>
    <n v="35"/>
    <n v="0"/>
    <n v="5"/>
    <n v="0"/>
    <n v="798"/>
  </r>
  <r>
    <x v="575"/>
    <n v="7.1"/>
    <d v="2013-06-02T01:23:00"/>
    <n v="0"/>
    <n v="5"/>
    <s v="green"/>
    <n v="0"/>
    <n v="776"/>
    <s v="us"/>
    <n v="550"/>
    <n v="0"/>
    <n v="18.399999999999999"/>
    <s v="mww"/>
    <n v="10"/>
    <n v="-11.183"/>
    <n v="164.88200000000001"/>
    <s v="Lata, Solomon Islands"/>
    <x v="4"/>
    <x v="45"/>
    <n v="5"/>
    <n v="7.1"/>
    <n v="550"/>
    <n v="0"/>
    <n v="18.399999999999999"/>
    <n v="10"/>
    <n v="0"/>
    <n v="5"/>
    <n v="0"/>
    <n v="776"/>
  </r>
  <r>
    <x v="576"/>
    <n v="7"/>
    <s v="18-07-2015 02:27"/>
    <n v="8"/>
    <n v="6"/>
    <s v="green"/>
    <n v="1"/>
    <n v="759"/>
    <s v="us"/>
    <n v="0"/>
    <n v="5.2050000000000001"/>
    <n v="22"/>
    <s v="mww"/>
    <n v="11"/>
    <n v="-10.401199999999999"/>
    <n v="165.14099999999999"/>
    <s v="Lata, Solomon Islands"/>
    <x v="4"/>
    <x v="45"/>
    <n v="5"/>
    <n v="7"/>
    <n v="0"/>
    <n v="5.2050000000000001"/>
    <n v="22"/>
    <n v="11"/>
    <n v="8"/>
    <n v="6"/>
    <n v="1"/>
    <n v="759"/>
  </r>
  <r>
    <x v="577"/>
    <n v="6.8"/>
    <s v="20-05-2015 22:48"/>
    <n v="1"/>
    <n v="4"/>
    <s v="green"/>
    <n v="1"/>
    <n v="711"/>
    <s v="us"/>
    <n v="0"/>
    <n v="4.3949999999999996"/>
    <n v="15"/>
    <s v="mww"/>
    <n v="11"/>
    <n v="-10.8759"/>
    <n v="164.16900000000001"/>
    <s v="Lata, Solomon Islands"/>
    <x v="4"/>
    <x v="45"/>
    <n v="5"/>
    <n v="6.8"/>
    <n v="0"/>
    <n v="4.3949999999999996"/>
    <n v="15"/>
    <n v="11"/>
    <n v="1"/>
    <n v="4"/>
    <n v="1"/>
    <n v="711"/>
  </r>
  <r>
    <x v="578"/>
    <n v="6.6"/>
    <d v="2020-12-05T22:41:00"/>
    <n v="4"/>
    <n v="6"/>
    <s v="green"/>
    <n v="1"/>
    <n v="671"/>
    <s v="us"/>
    <n v="0"/>
    <n v="3.403"/>
    <n v="12"/>
    <s v="mww"/>
    <n v="107"/>
    <n v="-12.0662"/>
    <n v="166.648"/>
    <s v="Lata, Solomon Islands"/>
    <x v="4"/>
    <x v="45"/>
    <n v="5"/>
    <n v="6.6"/>
    <n v="0"/>
    <n v="3.403"/>
    <n v="12"/>
    <n v="107"/>
    <n v="4"/>
    <n v="6"/>
    <n v="1"/>
    <n v="671"/>
  </r>
  <r>
    <x v="579"/>
    <n v="7"/>
    <s v="22-11-2022 02:03"/>
    <n v="8"/>
    <n v="7"/>
    <s v="green"/>
    <n v="1"/>
    <n v="768"/>
    <s v="us"/>
    <n v="117"/>
    <n v="0.50900000000000001"/>
    <n v="17"/>
    <s v="mww"/>
    <n v="14"/>
    <n v="-9.7963000000000005"/>
    <n v="159.596"/>
    <s v="Malango, Solomon Islands"/>
    <x v="4"/>
    <x v="45"/>
    <n v="5"/>
    <n v="7"/>
    <n v="117"/>
    <n v="0.50900000000000001"/>
    <n v="17"/>
    <n v="14"/>
    <n v="8"/>
    <n v="7"/>
    <n v="1"/>
    <n v="768"/>
  </r>
  <r>
    <x v="580"/>
    <n v="6.8"/>
    <s v="23-12-2001 22:52"/>
    <n v="0"/>
    <n v="7"/>
    <m/>
    <n v="0"/>
    <n v="711"/>
    <s v="us"/>
    <n v="385"/>
    <n v="0"/>
    <n v="0"/>
    <s v="mwc"/>
    <n v="16"/>
    <n v="-9.6129999999999995"/>
    <n v="159.53"/>
    <s v="Malango, Solomon Islands"/>
    <x v="4"/>
    <x v="45"/>
    <n v="5"/>
    <n v="6.8"/>
    <n v="385"/>
    <n v="0"/>
    <n v="0"/>
    <n v="16"/>
    <n v="0"/>
    <n v="7"/>
    <n v="0"/>
    <n v="711"/>
  </r>
  <r>
    <x v="581"/>
    <n v="6.7"/>
    <d v="2015-10-07T04:12:00"/>
    <n v="4"/>
    <n v="5"/>
    <s v="green"/>
    <n v="1"/>
    <n v="691"/>
    <s v="us"/>
    <n v="0"/>
    <n v="1.5289999999999999"/>
    <n v="11"/>
    <s v="mww"/>
    <n v="12"/>
    <n v="-9.3070000000000004"/>
    <n v="158.40299999999999"/>
    <s v="Malango, Solomon Islands"/>
    <x v="4"/>
    <x v="45"/>
    <n v="5"/>
    <n v="6.7"/>
    <n v="0"/>
    <n v="1.5289999999999999"/>
    <n v="11"/>
    <n v="12"/>
    <n v="4"/>
    <n v="5"/>
    <n v="1"/>
    <n v="691"/>
  </r>
  <r>
    <x v="582"/>
    <n v="6.6"/>
    <d v="2015-10-08T04:12:00"/>
    <n v="3"/>
    <n v="5"/>
    <s v="green"/>
    <n v="1"/>
    <n v="671"/>
    <s v="us"/>
    <n v="0"/>
    <n v="1.8720000000000001"/>
    <n v="20"/>
    <s v="mww"/>
    <n v="22"/>
    <n v="-9.3437999999999999"/>
    <n v="158.053"/>
    <s v="Malango, Solomon Islands"/>
    <x v="4"/>
    <x v="45"/>
    <n v="5"/>
    <n v="6.6"/>
    <n v="0"/>
    <n v="1.8720000000000001"/>
    <n v="20"/>
    <n v="22"/>
    <n v="3"/>
    <n v="5"/>
    <n v="1"/>
    <n v="671"/>
  </r>
  <r>
    <x v="583"/>
    <n v="6.5"/>
    <s v="16-08-2007 08:39"/>
    <n v="5"/>
    <n v="6"/>
    <m/>
    <n v="0"/>
    <n v="675"/>
    <s v="us"/>
    <n v="382"/>
    <n v="0"/>
    <n v="12.8"/>
    <s v="mwc"/>
    <n v="15"/>
    <n v="-9.8339999999999996"/>
    <n v="159.465"/>
    <s v="Malango, Solomon Islands"/>
    <x v="4"/>
    <x v="45"/>
    <n v="5"/>
    <n v="6.5"/>
    <n v="382"/>
    <n v="0"/>
    <n v="12.8"/>
    <n v="15"/>
    <n v="5"/>
    <n v="6"/>
    <n v="0"/>
    <n v="675"/>
  </r>
  <r>
    <x v="584"/>
    <n v="7.6"/>
    <s v="19-03-2009 18:17"/>
    <n v="7"/>
    <n v="5"/>
    <m/>
    <n v="0"/>
    <n v="916"/>
    <s v="us"/>
    <n v="504"/>
    <n v="0"/>
    <n v="14"/>
    <s v="mwc"/>
    <n v="31"/>
    <n v="-23.042999999999999"/>
    <n v="-174.66"/>
    <s v="‚ÄòOhonua, Tonga"/>
    <x v="4"/>
    <x v="46"/>
    <n v="5"/>
    <n v="7.6"/>
    <n v="504"/>
    <n v="0"/>
    <n v="14"/>
    <n v="31"/>
    <n v="7"/>
    <n v="5"/>
    <n v="0"/>
    <n v="916"/>
  </r>
  <r>
    <x v="585"/>
    <n v="6.5"/>
    <s v="25-04-2021 22:28"/>
    <n v="4"/>
    <n v="4"/>
    <s v="green"/>
    <n v="0"/>
    <n v="651"/>
    <s v="us"/>
    <n v="0"/>
    <n v="5.931"/>
    <n v="20"/>
    <s v="mww"/>
    <n v="246"/>
    <n v="-21.685700000000001"/>
    <n v="-177.06399999999999"/>
    <s v="Haveluloto, Tonga"/>
    <x v="4"/>
    <x v="46"/>
    <n v="5"/>
    <n v="6.5"/>
    <n v="0"/>
    <n v="5.931"/>
    <n v="20"/>
    <n v="246"/>
    <n v="4"/>
    <n v="4"/>
    <n v="0"/>
    <n v="651"/>
  </r>
  <r>
    <x v="586"/>
    <n v="6.9"/>
    <s v="28-09-2006 06:22"/>
    <n v="3"/>
    <n v="3"/>
    <m/>
    <n v="0"/>
    <n v="737"/>
    <s v="us"/>
    <n v="702"/>
    <n v="0"/>
    <n v="20.9"/>
    <s v="mwc"/>
    <n v="28"/>
    <n v="-16.591999999999999"/>
    <n v="-172.03299999999999"/>
    <s v="Hihifo, Tonga"/>
    <x v="4"/>
    <x v="46"/>
    <n v="5"/>
    <n v="6.9"/>
    <n v="702"/>
    <n v="0"/>
    <n v="20.9"/>
    <n v="28"/>
    <n v="3"/>
    <n v="3"/>
    <n v="0"/>
    <n v="737"/>
  </r>
  <r>
    <x v="587"/>
    <n v="6.8"/>
    <d v="2017-04-11T09:00:00"/>
    <n v="5"/>
    <n v="5"/>
    <s v="green"/>
    <n v="1"/>
    <n v="727"/>
    <s v="us"/>
    <n v="0"/>
    <n v="4.8520000000000003"/>
    <n v="21"/>
    <s v="mww"/>
    <n v="10"/>
    <n v="-15.319699999999999"/>
    <n v="-173.16800000000001"/>
    <s v="Hihifo, Tonga"/>
    <x v="4"/>
    <x v="46"/>
    <n v="5"/>
    <n v="6.8"/>
    <n v="0"/>
    <n v="4.8520000000000003"/>
    <n v="21"/>
    <n v="10"/>
    <n v="5"/>
    <n v="5"/>
    <n v="1"/>
    <n v="727"/>
  </r>
  <r>
    <x v="588"/>
    <n v="6.5"/>
    <s v="30-03-2015 08:48"/>
    <n v="2"/>
    <n v="5"/>
    <s v="green"/>
    <n v="1"/>
    <n v="650"/>
    <s v="us"/>
    <n v="0"/>
    <n v="4.6289999999999996"/>
    <n v="36"/>
    <s v="mww"/>
    <n v="11"/>
    <n v="-15.4994"/>
    <n v="-173.029"/>
    <s v="Hihifo, Tonga"/>
    <x v="4"/>
    <x v="46"/>
    <n v="5"/>
    <n v="6.5"/>
    <n v="0"/>
    <n v="4.6289999999999996"/>
    <n v="36"/>
    <n v="11"/>
    <n v="2"/>
    <n v="5"/>
    <n v="1"/>
    <n v="650"/>
  </r>
  <r>
    <x v="589"/>
    <n v="6.6"/>
    <s v="28-04-2012 10:08"/>
    <n v="4"/>
    <n v="5"/>
    <m/>
    <n v="0"/>
    <n v="675"/>
    <s v="us"/>
    <n v="529"/>
    <n v="0"/>
    <n v="15.7"/>
    <s v="mww"/>
    <n v="134.69999999999999"/>
    <n v="-18.684999999999999"/>
    <n v="-174.70500000000001"/>
    <s v="Neiafu, Tonga"/>
    <x v="4"/>
    <x v="46"/>
    <n v="5"/>
    <n v="6.6"/>
    <n v="529"/>
    <n v="0"/>
    <n v="15.7"/>
    <n v="134.69999999999999"/>
    <n v="4"/>
    <n v="5"/>
    <n v="0"/>
    <n v="675"/>
  </r>
  <r>
    <x v="590"/>
    <n v="7.3"/>
    <d v="2022-11-11T10:48:00"/>
    <n v="5"/>
    <n v="5"/>
    <s v="green"/>
    <n v="1"/>
    <n v="833"/>
    <s v="us"/>
    <n v="149"/>
    <n v="1.865"/>
    <n v="21"/>
    <s v="mww"/>
    <n v="37"/>
    <n v="-19.291799999999999"/>
    <n v="-172.12899999999999"/>
    <s v="Neiafu, Tonga"/>
    <x v="4"/>
    <x v="46"/>
    <n v="5"/>
    <n v="7.3"/>
    <n v="149"/>
    <n v="1.865"/>
    <n v="21"/>
    <n v="37"/>
    <n v="5"/>
    <n v="5"/>
    <n v="1"/>
    <n v="833"/>
  </r>
  <r>
    <x v="591"/>
    <n v="6.6"/>
    <d v="2019-04-11T22:43:00"/>
    <n v="4"/>
    <n v="4"/>
    <s v="green"/>
    <n v="1"/>
    <n v="673"/>
    <s v="us"/>
    <n v="0"/>
    <n v="5.0860000000000003"/>
    <n v="48"/>
    <s v="mww"/>
    <n v="10"/>
    <n v="-18.5747"/>
    <n v="-175.27199999999999"/>
    <s v="Neiafu, Tonga"/>
    <x v="4"/>
    <x v="46"/>
    <n v="5"/>
    <n v="6.6"/>
    <n v="0"/>
    <n v="5.0860000000000003"/>
    <n v="48"/>
    <n v="10"/>
    <n v="4"/>
    <n v="4"/>
    <n v="1"/>
    <n v="673"/>
  </r>
  <r>
    <x v="592"/>
    <n v="8"/>
    <d v="2006-03-05T15:26:00"/>
    <n v="7"/>
    <n v="7"/>
    <m/>
    <n v="0"/>
    <n v="1013"/>
    <s v="us"/>
    <n v="626"/>
    <n v="0"/>
    <n v="20.7"/>
    <s v="mwc"/>
    <n v="55"/>
    <n v="-20.187000000000001"/>
    <n v="-174.12299999999999"/>
    <s v="Pangai, Tonga"/>
    <x v="4"/>
    <x v="46"/>
    <n v="5"/>
    <n v="8"/>
    <n v="626"/>
    <n v="0"/>
    <n v="20.7"/>
    <n v="55"/>
    <n v="7"/>
    <n v="7"/>
    <n v="0"/>
    <n v="1013"/>
  </r>
  <r>
    <x v="593"/>
    <n v="8"/>
    <d v="2006-03-05T15:26:00"/>
    <n v="8"/>
    <n v="9"/>
    <m/>
    <n v="0"/>
    <n v="1026"/>
    <s v="duputel"/>
    <n v="0"/>
    <n v="0"/>
    <n v="0"/>
    <s v="mww"/>
    <n v="60.5"/>
    <n v="-19.989999999999998"/>
    <n v="-173.90700000000001"/>
    <s v="Pangai, Tonga"/>
    <x v="4"/>
    <x v="46"/>
    <n v="5"/>
    <n v="8"/>
    <n v="0"/>
    <n v="0"/>
    <n v="0"/>
    <n v="60.5"/>
    <n v="8"/>
    <n v="9"/>
    <n v="0"/>
    <n v="1026"/>
  </r>
  <r>
    <x v="594"/>
    <n v="6.5"/>
    <s v="24-04-2021 00:23"/>
    <n v="6"/>
    <n v="4"/>
    <s v="green"/>
    <n v="0"/>
    <n v="652"/>
    <s v="us"/>
    <n v="0"/>
    <n v="10.404999999999999"/>
    <n v="19"/>
    <s v="mww"/>
    <n v="301"/>
    <n v="-18.920400000000001"/>
    <n v="-176.23500000000001"/>
    <s v="Pangai, Tonga"/>
    <x v="4"/>
    <x v="46"/>
    <n v="5"/>
    <n v="6.5"/>
    <n v="0"/>
    <n v="10.404999999999999"/>
    <n v="19"/>
    <n v="301"/>
    <n v="6"/>
    <n v="4"/>
    <n v="0"/>
    <n v="652"/>
  </r>
  <r>
    <x v="595"/>
    <n v="7.4"/>
    <s v="23-05-2013 17:19"/>
    <n v="0"/>
    <n v="6"/>
    <s v="green"/>
    <n v="1"/>
    <n v="842"/>
    <s v="us"/>
    <n v="626"/>
    <n v="0"/>
    <n v="16"/>
    <s v="mww"/>
    <n v="173.7"/>
    <n v="-23.009"/>
    <n v="-177.232"/>
    <s v="Vaini, Tonga"/>
    <x v="4"/>
    <x v="46"/>
    <n v="5"/>
    <n v="7.4"/>
    <n v="626"/>
    <n v="0"/>
    <n v="16"/>
    <n v="173.7"/>
    <n v="0"/>
    <n v="6"/>
    <n v="1"/>
    <n v="842"/>
  </r>
  <r>
    <x v="596"/>
    <n v="6.6"/>
    <s v="31-07-2019 15:02"/>
    <n v="0"/>
    <n v="4"/>
    <s v="green"/>
    <n v="1"/>
    <n v="670"/>
    <s v="us"/>
    <n v="0"/>
    <n v="6.024"/>
    <n v="30"/>
    <s v="mww"/>
    <n v="181"/>
    <n v="-16.198499999999999"/>
    <n v="167.99799999999999"/>
    <s v="Lakatoro, Vanuatu"/>
    <x v="4"/>
    <x v="47"/>
    <n v="5"/>
    <n v="6.6"/>
    <n v="0"/>
    <n v="6.024"/>
    <n v="30"/>
    <n v="181"/>
    <n v="0"/>
    <n v="4"/>
    <n v="1"/>
    <n v="670"/>
  </r>
  <r>
    <x v="597"/>
    <n v="6.5"/>
    <s v="21-08-2018 22:32"/>
    <n v="6"/>
    <n v="7"/>
    <s v="green"/>
    <n v="1"/>
    <n v="652"/>
    <s v="us"/>
    <n v="0"/>
    <n v="4.7969999999999997"/>
    <n v="10"/>
    <s v="mww"/>
    <n v="9"/>
    <n v="-16.031500000000001"/>
    <n v="168.143"/>
    <s v="Lakatoro, Vanuatu"/>
    <x v="4"/>
    <x v="47"/>
    <n v="5"/>
    <n v="6.5"/>
    <n v="0"/>
    <n v="4.7969999999999997"/>
    <n v="10"/>
    <n v="9"/>
    <n v="6"/>
    <n v="7"/>
    <n v="1"/>
    <n v="652"/>
  </r>
  <r>
    <x v="598"/>
    <n v="7.2"/>
    <d v="2007-01-08T17:08:00"/>
    <n v="7"/>
    <n v="7"/>
    <m/>
    <n v="0"/>
    <n v="803"/>
    <s v="us"/>
    <n v="494"/>
    <n v="0"/>
    <n v="20.399999999999999"/>
    <s v="mwb"/>
    <n v="120"/>
    <n v="-15.595000000000001"/>
    <n v="167.68"/>
    <s v="Luganville, Vanuatu"/>
    <x v="4"/>
    <x v="47"/>
    <n v="5"/>
    <n v="7.2"/>
    <n v="494"/>
    <n v="0"/>
    <n v="20.399999999999999"/>
    <n v="120"/>
    <n v="7"/>
    <n v="7"/>
    <n v="0"/>
    <n v="803"/>
  </r>
  <r>
    <x v="599"/>
    <n v="7"/>
    <s v="28-04-2016 19:33"/>
    <n v="7"/>
    <n v="7"/>
    <s v="green"/>
    <n v="1"/>
    <n v="755"/>
    <s v="us"/>
    <n v="0"/>
    <n v="0.61599999999999999"/>
    <n v="14"/>
    <s v="mww"/>
    <n v="24"/>
    <n v="-16.042899999999999"/>
    <n v="167.37899999999999"/>
    <s v="Norsup, Vanuatu"/>
    <x v="4"/>
    <x v="47"/>
    <n v="5"/>
    <n v="7"/>
    <n v="0"/>
    <n v="0.61599999999999999"/>
    <n v="14"/>
    <n v="24"/>
    <n v="7"/>
    <n v="7"/>
    <n v="1"/>
    <n v="755"/>
  </r>
  <r>
    <x v="600"/>
    <n v="6.8"/>
    <d v="2006-07-08T22:18:00"/>
    <n v="5"/>
    <n v="5"/>
    <m/>
    <n v="0"/>
    <n v="713"/>
    <s v="us"/>
    <n v="551"/>
    <n v="0"/>
    <n v="26.2"/>
    <s v="mwb"/>
    <n v="150"/>
    <n v="-15.798"/>
    <n v="167.78899999999999"/>
    <s v="Norsup, Vanuatu"/>
    <x v="4"/>
    <x v="47"/>
    <n v="5"/>
    <n v="6.8"/>
    <n v="551"/>
    <n v="0"/>
    <n v="26.2"/>
    <n v="150"/>
    <n v="5"/>
    <n v="5"/>
    <n v="0"/>
    <n v="713"/>
  </r>
  <r>
    <x v="601"/>
    <n v="7.1"/>
    <s v="20-10-2015 21:52"/>
    <n v="6"/>
    <n v="6"/>
    <s v="green"/>
    <n v="1"/>
    <n v="780"/>
    <s v="us"/>
    <n v="0"/>
    <n v="0.59199999999999997"/>
    <n v="11"/>
    <s v="mww"/>
    <n v="135"/>
    <n v="-14.859500000000001"/>
    <n v="167.303"/>
    <s v="Port-Olry, Vanuatu"/>
    <x v="4"/>
    <x v="47"/>
    <n v="5"/>
    <n v="7.1"/>
    <n v="0"/>
    <n v="0.59199999999999997"/>
    <n v="11"/>
    <n v="135"/>
    <n v="6"/>
    <n v="6"/>
    <n v="1"/>
    <n v="780"/>
  </r>
  <r>
    <x v="602"/>
    <n v="7.1"/>
    <d v="2001-09-01T16:49:00"/>
    <n v="0"/>
    <n v="7"/>
    <m/>
    <n v="0"/>
    <n v="776"/>
    <s v="us"/>
    <n v="372"/>
    <n v="0"/>
    <n v="0"/>
    <s v="mwb"/>
    <n v="103"/>
    <n v="-14.928000000000001"/>
    <n v="167.17"/>
    <s v="Port-Olry, Vanuatu"/>
    <x v="4"/>
    <x v="47"/>
    <n v="5"/>
    <n v="7.1"/>
    <n v="372"/>
    <n v="0"/>
    <n v="0"/>
    <n v="103"/>
    <n v="0"/>
    <n v="7"/>
    <n v="0"/>
    <n v="776"/>
  </r>
  <r>
    <x v="603"/>
    <n v="6.9"/>
    <s v="18-08-2021 10:10"/>
    <n v="8"/>
    <n v="7"/>
    <s v="green"/>
    <n v="1"/>
    <n v="741"/>
    <s v="us"/>
    <n v="0"/>
    <n v="0.57899999999999996"/>
    <n v="54"/>
    <s v="mww"/>
    <n v="93"/>
    <n v="-14.891999999999999"/>
    <n v="167.08500000000001"/>
    <s v="Port-Olry, Vanuatu"/>
    <x v="4"/>
    <x v="47"/>
    <n v="5"/>
    <n v="6.9"/>
    <n v="0"/>
    <n v="0.57899999999999996"/>
    <n v="54"/>
    <n v="93"/>
    <n v="8"/>
    <n v="7"/>
    <n v="1"/>
    <n v="741"/>
  </r>
  <r>
    <x v="604"/>
    <n v="6.9"/>
    <d v="2016-03-04T08:23:00"/>
    <n v="7"/>
    <n v="6"/>
    <s v="green"/>
    <n v="1"/>
    <n v="734"/>
    <s v="us"/>
    <n v="0"/>
    <n v="1.1659999999999999"/>
    <n v="25"/>
    <s v="mww"/>
    <n v="26"/>
    <n v="-14.323499999999999"/>
    <n v="166.85499999999999"/>
    <s v="Port-Olry, Vanuatu"/>
    <x v="4"/>
    <x v="47"/>
    <n v="5"/>
    <n v="6.9"/>
    <n v="0"/>
    <n v="1.1659999999999999"/>
    <n v="25"/>
    <n v="26"/>
    <n v="7"/>
    <n v="6"/>
    <n v="1"/>
    <n v="734"/>
  </r>
  <r>
    <x v="605"/>
    <n v="6.8"/>
    <d v="2017-09-05T13:52:00"/>
    <n v="6"/>
    <n v="5"/>
    <s v="green"/>
    <n v="1"/>
    <n v="713"/>
    <s v="us"/>
    <n v="0"/>
    <n v="7.4950000000000001"/>
    <n v="19"/>
    <s v="mww"/>
    <n v="169"/>
    <n v="-14.5884"/>
    <n v="167.37700000000001"/>
    <s v="Port-Olry, Vanuatu"/>
    <x v="4"/>
    <x v="47"/>
    <n v="5"/>
    <n v="6.8"/>
    <n v="0"/>
    <n v="7.4950000000000001"/>
    <n v="19"/>
    <n v="169"/>
    <n v="6"/>
    <n v="5"/>
    <n v="1"/>
    <n v="713"/>
  </r>
  <r>
    <x v="606"/>
    <n v="6.5"/>
    <d v="2014-07-02T08:40:00"/>
    <n v="0"/>
    <n v="5"/>
    <s v="green"/>
    <n v="1"/>
    <n v="650"/>
    <s v="us"/>
    <n v="0"/>
    <n v="0.40899999999999997"/>
    <n v="20"/>
    <s v="mww"/>
    <n v="122"/>
    <n v="-15.069100000000001"/>
    <n v="167.37200000000001"/>
    <s v="Port-Olry, Vanuatu"/>
    <x v="4"/>
    <x v="47"/>
    <n v="5"/>
    <n v="6.5"/>
    <n v="0"/>
    <n v="0.40899999999999997"/>
    <n v="20"/>
    <n v="122"/>
    <n v="0"/>
    <n v="5"/>
    <n v="1"/>
    <n v="650"/>
  </r>
  <r>
    <x v="607"/>
    <n v="7.3"/>
    <d v="2010-10-08T05:23:00"/>
    <n v="7"/>
    <n v="7"/>
    <m/>
    <n v="0"/>
    <n v="850"/>
    <s v="us"/>
    <n v="405"/>
    <n v="0"/>
    <n v="20.2"/>
    <s v="mwc"/>
    <n v="25"/>
    <n v="-17.541"/>
    <n v="168.06899999999999"/>
    <s v="Port-Vila, Vanuatu"/>
    <x v="4"/>
    <x v="47"/>
    <n v="5"/>
    <n v="7.3"/>
    <n v="405"/>
    <n v="0"/>
    <n v="20.2"/>
    <n v="25"/>
    <n v="7"/>
    <n v="7"/>
    <n v="0"/>
    <n v="850"/>
  </r>
  <r>
    <x v="608"/>
    <n v="7.2"/>
    <d v="2002-02-01T17:22:00"/>
    <n v="0"/>
    <n v="6"/>
    <m/>
    <n v="0"/>
    <n v="798"/>
    <s v="us"/>
    <n v="427"/>
    <n v="0"/>
    <n v="0"/>
    <s v="mwc"/>
    <n v="21"/>
    <n v="-17.600000000000001"/>
    <n v="167.85599999999999"/>
    <s v="Port-Vila, Vanuatu"/>
    <x v="4"/>
    <x v="47"/>
    <n v="5"/>
    <n v="7.2"/>
    <n v="427"/>
    <n v="0"/>
    <n v="0"/>
    <n v="21"/>
    <n v="0"/>
    <n v="6"/>
    <n v="0"/>
    <n v="798"/>
  </r>
  <r>
    <x v="609"/>
    <n v="6.8"/>
    <s v="23-01-2015 03:47"/>
    <n v="1"/>
    <n v="4"/>
    <s v="green"/>
    <n v="1"/>
    <n v="711"/>
    <s v="us"/>
    <n v="0"/>
    <n v="2.0190000000000001"/>
    <n v="13"/>
    <s v="mww"/>
    <n v="219.96"/>
    <n v="-17.030899999999999"/>
    <n v="168.52"/>
    <s v="Port-Vila, Vanuatu"/>
    <x v="4"/>
    <x v="47"/>
    <n v="5"/>
    <n v="6.8"/>
    <n v="0"/>
    <n v="2.0190000000000001"/>
    <n v="13"/>
    <n v="219.96"/>
    <n v="1"/>
    <n v="4"/>
    <n v="1"/>
    <n v="711"/>
  </r>
  <r>
    <x v="610"/>
    <n v="6.6"/>
    <d v="2002-03-01T10:17:00"/>
    <n v="0"/>
    <n v="6"/>
    <m/>
    <n v="0"/>
    <n v="670"/>
    <s v="us"/>
    <n v="386"/>
    <n v="0"/>
    <n v="0"/>
    <s v="mwc"/>
    <n v="10"/>
    <n v="-17.664000000000001"/>
    <n v="168.00399999999999"/>
    <s v="Port-Vila, Vanuatu"/>
    <x v="4"/>
    <x v="47"/>
    <n v="5"/>
    <n v="6.6"/>
    <n v="386"/>
    <n v="0"/>
    <n v="0"/>
    <n v="10"/>
    <n v="0"/>
    <n v="6"/>
    <n v="0"/>
    <n v="670"/>
  </r>
  <r>
    <x v="611"/>
    <n v="7.2"/>
    <s v="20-08-2011 16:55"/>
    <n v="8"/>
    <n v="6"/>
    <m/>
    <n v="0"/>
    <n v="813"/>
    <s v="us"/>
    <n v="280"/>
    <n v="0"/>
    <n v="18.399999999999999"/>
    <s v="mww"/>
    <n v="32"/>
    <n v="-18.364999999999998"/>
    <n v="168.143"/>
    <s v="Port-Vila, Vanuatu"/>
    <x v="4"/>
    <x v="47"/>
    <n v="5"/>
    <n v="7.2"/>
    <n v="280"/>
    <n v="0"/>
    <n v="18.399999999999999"/>
    <n v="32"/>
    <n v="8"/>
    <n v="6"/>
    <n v="0"/>
    <n v="813"/>
  </r>
  <r>
    <x v="612"/>
    <n v="7.1"/>
    <d v="2012-02-02T13:34:00"/>
    <n v="5"/>
    <n v="5"/>
    <m/>
    <n v="0"/>
    <n v="793"/>
    <s v="us"/>
    <n v="573"/>
    <n v="0"/>
    <n v="12"/>
    <s v="mww"/>
    <n v="23"/>
    <n v="-17.827000000000002"/>
    <n v="167.13300000000001"/>
    <s v="Port-Vila, Vanuatu"/>
    <x v="4"/>
    <x v="47"/>
    <n v="5"/>
    <n v="7.1"/>
    <n v="573"/>
    <n v="0"/>
    <n v="12"/>
    <n v="23"/>
    <n v="5"/>
    <n v="5"/>
    <n v="0"/>
    <n v="793"/>
  </r>
  <r>
    <x v="613"/>
    <n v="7.1"/>
    <s v="20-08-2011 18:19"/>
    <n v="5"/>
    <n v="6"/>
    <m/>
    <n v="0"/>
    <n v="787"/>
    <s v="us"/>
    <n v="564"/>
    <n v="0"/>
    <n v="12.3"/>
    <s v="mww"/>
    <n v="28"/>
    <n v="-18.311"/>
    <n v="168.21799999999999"/>
    <s v="Port-Vila, Vanuatu"/>
    <x v="4"/>
    <x v="47"/>
    <n v="5"/>
    <n v="7.1"/>
    <n v="564"/>
    <n v="0"/>
    <n v="12.3"/>
    <n v="28"/>
    <n v="5"/>
    <n v="6"/>
    <n v="0"/>
    <n v="787"/>
  </r>
  <r>
    <x v="614"/>
    <n v="6.5"/>
    <s v="20-08-2011 17:13"/>
    <n v="0"/>
    <n v="5"/>
    <m/>
    <n v="0"/>
    <n v="650"/>
    <s v="us"/>
    <n v="322"/>
    <n v="0"/>
    <n v="15"/>
    <s v="mwc"/>
    <n v="35"/>
    <n v="-18.308"/>
    <n v="168.15600000000001"/>
    <s v="Port-Vila, Vanuatu"/>
    <x v="4"/>
    <x v="47"/>
    <n v="5"/>
    <n v="6.5"/>
    <n v="322"/>
    <n v="0"/>
    <n v="15"/>
    <n v="35"/>
    <n v="0"/>
    <n v="5"/>
    <n v="0"/>
    <n v="650"/>
  </r>
  <r>
    <x v="615"/>
    <n v="7.7"/>
    <d v="2009-07-10T22:03:00"/>
    <n v="4"/>
    <n v="7"/>
    <m/>
    <n v="0"/>
    <n v="916"/>
    <s v="us"/>
    <n v="283"/>
    <n v="0"/>
    <n v="23.2"/>
    <s v="mww"/>
    <n v="45"/>
    <n v="-13.006"/>
    <n v="166.51"/>
    <s v="Sola, Vanuatu"/>
    <x v="4"/>
    <x v="47"/>
    <n v="5"/>
    <n v="7.7"/>
    <n v="283"/>
    <n v="0"/>
    <n v="23.2"/>
    <n v="45"/>
    <n v="4"/>
    <n v="7"/>
    <n v="0"/>
    <n v="916"/>
  </r>
  <r>
    <x v="616"/>
    <n v="7.4"/>
    <d v="2009-07-10T23:13:00"/>
    <n v="0"/>
    <n v="7"/>
    <m/>
    <n v="0"/>
    <n v="842"/>
    <s v="us"/>
    <n v="314"/>
    <n v="0"/>
    <n v="20.2"/>
    <s v="mwc"/>
    <n v="31.1"/>
    <n v="-13.093"/>
    <n v="166.49700000000001"/>
    <s v="Sola, Vanuatu"/>
    <x v="4"/>
    <x v="47"/>
    <n v="5"/>
    <n v="7.4"/>
    <n v="314"/>
    <n v="0"/>
    <n v="20.2"/>
    <n v="31.1"/>
    <n v="0"/>
    <n v="7"/>
    <n v="0"/>
    <n v="842"/>
  </r>
  <r>
    <x v="617"/>
    <n v="7.2"/>
    <s v="27-05-2010 17:14"/>
    <n v="5"/>
    <n v="6"/>
    <m/>
    <n v="0"/>
    <n v="804"/>
    <s v="us"/>
    <n v="327"/>
    <n v="0"/>
    <n v="11.7"/>
    <s v="mwc"/>
    <n v="31"/>
    <n v="-13.698"/>
    <n v="166.643"/>
    <s v="Sola, Vanuatu"/>
    <x v="4"/>
    <x v="47"/>
    <n v="5"/>
    <n v="7.2"/>
    <n v="327"/>
    <n v="0"/>
    <n v="11.7"/>
    <n v="31"/>
    <n v="5"/>
    <n v="6"/>
    <n v="0"/>
    <n v="804"/>
  </r>
  <r>
    <x v="618"/>
    <n v="6.9"/>
    <d v="2008-08-09T18:52:00"/>
    <n v="0"/>
    <n v="6"/>
    <m/>
    <n v="0"/>
    <n v="732"/>
    <s v="us"/>
    <n v="531"/>
    <n v="0"/>
    <n v="14.9"/>
    <s v="mwc"/>
    <n v="110"/>
    <n v="-13.500999999999999"/>
    <n v="166.96700000000001"/>
    <s v="Sola, Vanuatu"/>
    <x v="4"/>
    <x v="47"/>
    <n v="5"/>
    <n v="6.9"/>
    <n v="531"/>
    <n v="0"/>
    <n v="14.9"/>
    <n v="110"/>
    <n v="0"/>
    <n v="6"/>
    <n v="0"/>
    <n v="732"/>
  </r>
  <r>
    <x v="619"/>
    <n v="6.7"/>
    <d v="2016-07-04T03:32:00"/>
    <n v="7"/>
    <n v="5"/>
    <s v="green"/>
    <n v="1"/>
    <n v="692"/>
    <s v="us"/>
    <n v="0"/>
    <n v="6.7869999999999999"/>
    <n v="25"/>
    <s v="mww"/>
    <n v="27.59"/>
    <n v="-13.980499999999999"/>
    <n v="166.59399999999999"/>
    <s v="Sola, Vanuatu"/>
    <x v="4"/>
    <x v="47"/>
    <n v="5"/>
    <n v="6.7"/>
    <n v="0"/>
    <n v="6.7869999999999999"/>
    <n v="25"/>
    <n v="27.59"/>
    <n v="7"/>
    <n v="5"/>
    <n v="1"/>
    <n v="692"/>
  </r>
  <r>
    <x v="620"/>
    <n v="6.7"/>
    <d v="2016-06-04T06:58:00"/>
    <n v="7"/>
    <n v="6"/>
    <s v="green"/>
    <n v="1"/>
    <n v="691"/>
    <s v="us"/>
    <n v="0"/>
    <n v="6.6970000000000001"/>
    <n v="19"/>
    <s v="mww"/>
    <n v="24"/>
    <n v="-14.068300000000001"/>
    <n v="166.624"/>
    <s v="Sola, Vanuatu"/>
    <x v="4"/>
    <x v="47"/>
    <n v="5"/>
    <n v="6.7"/>
    <n v="0"/>
    <n v="6.6970000000000001"/>
    <n v="19"/>
    <n v="24"/>
    <n v="7"/>
    <n v="6"/>
    <n v="1"/>
    <n v="691"/>
  </r>
  <r>
    <x v="621"/>
    <n v="6.7"/>
    <s v="21-12-2012 22:28"/>
    <n v="0"/>
    <n v="4"/>
    <m/>
    <n v="0"/>
    <n v="691"/>
    <s v="us"/>
    <n v="521"/>
    <n v="0"/>
    <n v="13.7"/>
    <s v="mww"/>
    <n v="200.7"/>
    <n v="-14.343999999999999"/>
    <n v="167.286"/>
    <s v="Sola, Vanuatu"/>
    <x v="4"/>
    <x v="47"/>
    <n v="5"/>
    <n v="6.7"/>
    <n v="521"/>
    <n v="0"/>
    <n v="13.7"/>
    <n v="200.7"/>
    <n v="0"/>
    <n v="4"/>
    <n v="0"/>
    <n v="691"/>
  </r>
  <r>
    <x v="622"/>
    <n v="6.7"/>
    <d v="2005-08-02T14:48:00"/>
    <n v="0"/>
    <n v="4"/>
    <m/>
    <n v="0"/>
    <n v="691"/>
    <s v="us"/>
    <n v="457"/>
    <n v="0"/>
    <n v="30.2"/>
    <s v="mwb"/>
    <n v="206.3"/>
    <n v="-14.252000000000001"/>
    <n v="167.25899999999999"/>
    <s v="Sola, Vanuatu"/>
    <x v="4"/>
    <x v="47"/>
    <n v="5"/>
    <n v="6.7"/>
    <n v="457"/>
    <n v="0"/>
    <n v="30.2"/>
    <n v="206.3"/>
    <n v="0"/>
    <n v="4"/>
    <n v="0"/>
    <n v="691"/>
  </r>
  <r>
    <x v="623"/>
    <n v="6.6"/>
    <s v="15-01-2019 18:06"/>
    <n v="5"/>
    <n v="4"/>
    <s v="green"/>
    <n v="1"/>
    <n v="671"/>
    <s v="us"/>
    <n v="0"/>
    <n v="7.8179999999999996"/>
    <n v="18"/>
    <s v="mww"/>
    <n v="35"/>
    <n v="-13.336"/>
    <n v="166.875"/>
    <s v="Sola, Vanuatu"/>
    <x v="4"/>
    <x v="47"/>
    <n v="5"/>
    <n v="6.6"/>
    <n v="0"/>
    <n v="7.8179999999999996"/>
    <n v="18"/>
    <n v="35"/>
    <n v="5"/>
    <n v="4"/>
    <n v="1"/>
    <n v="671"/>
  </r>
  <r>
    <x v="624"/>
    <n v="6.5"/>
    <d v="2014-01-01T16:03:00"/>
    <n v="0"/>
    <n v="4"/>
    <s v="green"/>
    <n v="1"/>
    <n v="650"/>
    <s v="us"/>
    <n v="0"/>
    <n v="3.9969999999999999"/>
    <n v="14"/>
    <s v="mww"/>
    <n v="187"/>
    <n v="-13.863300000000001"/>
    <n v="167.249"/>
    <s v="Sola, Vanuatu"/>
    <x v="4"/>
    <x v="47"/>
    <n v="5"/>
    <n v="6.5"/>
    <n v="0"/>
    <n v="3.9969999999999999"/>
    <n v="14"/>
    <n v="187"/>
    <n v="0"/>
    <n v="4"/>
    <n v="1"/>
    <n v="650"/>
  </r>
  <r>
    <x v="625"/>
    <n v="6.5"/>
    <d v="2010-04-03T14:02:00"/>
    <n v="0"/>
    <n v="4"/>
    <m/>
    <n v="0"/>
    <n v="650"/>
    <s v="us"/>
    <n v="426"/>
    <n v="0"/>
    <n v="18.7"/>
    <s v="mwb"/>
    <n v="176"/>
    <n v="-13.571"/>
    <n v="167.227"/>
    <s v="Sola, Vanuatu"/>
    <x v="4"/>
    <x v="47"/>
    <n v="5"/>
    <n v="6.5"/>
    <n v="426"/>
    <n v="0"/>
    <n v="18.7"/>
    <n v="176"/>
    <n v="0"/>
    <n v="4"/>
    <n v="0"/>
    <n v="650"/>
  </r>
  <r>
    <x v="626"/>
    <n v="6.5"/>
    <d v="2004-09-04T15:23:00"/>
    <n v="0"/>
    <n v="4"/>
    <m/>
    <n v="0"/>
    <n v="650"/>
    <s v="us"/>
    <n v="424"/>
    <n v="0"/>
    <n v="29.9"/>
    <s v="mwb"/>
    <n v="228.4"/>
    <n v="-13.173999999999999"/>
    <n v="167.19800000000001"/>
    <s v="Sola, Vanuatu"/>
    <x v="4"/>
    <x v="47"/>
    <n v="5"/>
    <n v="6.5"/>
    <n v="424"/>
    <n v="0"/>
    <n v="29.9"/>
    <n v="228.4"/>
    <n v="0"/>
    <n v="4"/>
    <n v="0"/>
    <n v="650"/>
  </r>
  <r>
    <x v="627"/>
    <n v="7.8"/>
    <d v="2009-07-10T22:18:00"/>
    <n v="0"/>
    <n v="6"/>
    <m/>
    <n v="0"/>
    <n v="936"/>
    <s v="us"/>
    <n v="195"/>
    <n v="0"/>
    <n v="20.3"/>
    <s v="mwc"/>
    <n v="35"/>
    <n v="-12.516999999999999"/>
    <n v="166.38200000000001"/>
    <s v="Sola, Vanuatu"/>
    <x v="4"/>
    <x v="47"/>
    <n v="5"/>
    <n v="7.8"/>
    <n v="195"/>
    <n v="0"/>
    <n v="20.3"/>
    <n v="35"/>
    <n v="0"/>
    <n v="6"/>
    <n v="0"/>
    <n v="936"/>
  </r>
  <r>
    <x v="628"/>
    <n v="6.8"/>
    <d v="2009-08-10T08:28:00"/>
    <n v="0"/>
    <n v="5"/>
    <m/>
    <n v="0"/>
    <n v="711"/>
    <s v="us"/>
    <n v="174"/>
    <n v="0"/>
    <n v="30.2"/>
    <s v="mwc"/>
    <n v="35"/>
    <n v="-13.298"/>
    <n v="165.91"/>
    <s v="Sola, Vanuatu"/>
    <x v="4"/>
    <x v="47"/>
    <n v="5"/>
    <n v="6.8"/>
    <n v="174"/>
    <n v="0"/>
    <n v="30.2"/>
    <n v="35"/>
    <n v="0"/>
    <n v="5"/>
    <n v="0"/>
    <n v="711"/>
  </r>
  <r>
    <x v="629"/>
    <n v="6.7"/>
    <s v="17-06-2002 21:26"/>
    <n v="0"/>
    <n v="5"/>
    <m/>
    <n v="0"/>
    <n v="691"/>
    <s v="us"/>
    <n v="272"/>
    <n v="0"/>
    <n v="0"/>
    <s v="mwc"/>
    <n v="33"/>
    <n v="-12.592000000000001"/>
    <n v="166.38300000000001"/>
    <s v="Sola, Vanuatu"/>
    <x v="4"/>
    <x v="47"/>
    <n v="5"/>
    <n v="6.7"/>
    <n v="272"/>
    <n v="0"/>
    <n v="0"/>
    <n v="33"/>
    <n v="0"/>
    <n v="5"/>
    <n v="0"/>
    <n v="691"/>
  </r>
  <r>
    <x v="630"/>
    <n v="7.3"/>
    <s v="25-12-2010 13:16"/>
    <n v="0"/>
    <n v="5"/>
    <m/>
    <n v="0"/>
    <n v="820"/>
    <s v="us"/>
    <n v="409"/>
    <n v="0"/>
    <n v="12"/>
    <s v="mwc"/>
    <n v="16"/>
    <n v="-19.702000000000002"/>
    <n v="167.947"/>
    <s v="Isangel, Vanuatu"/>
    <x v="4"/>
    <x v="47"/>
    <n v="5"/>
    <n v="7.3"/>
    <n v="409"/>
    <n v="0"/>
    <n v="12"/>
    <n v="16"/>
    <n v="0"/>
    <n v="5"/>
    <n v="0"/>
    <n v="820"/>
  </r>
  <r>
    <x v="631"/>
    <n v="7.3"/>
    <d v="2008-09-04T12:46:00"/>
    <n v="0"/>
    <n v="6"/>
    <m/>
    <n v="0"/>
    <n v="820"/>
    <s v="us"/>
    <n v="486"/>
    <n v="0"/>
    <n v="13.4"/>
    <s v="mwc"/>
    <n v="33"/>
    <n v="-20.071000000000002"/>
    <n v="168.892"/>
    <s v="Isangel, Vanuatu"/>
    <x v="4"/>
    <x v="47"/>
    <n v="5"/>
    <n v="7.3"/>
    <n v="486"/>
    <n v="0"/>
    <n v="13.4"/>
    <n v="33"/>
    <n v="0"/>
    <n v="6"/>
    <n v="0"/>
    <n v="820"/>
  </r>
  <r>
    <x v="632"/>
    <n v="7.1"/>
    <s v="25-03-2007 00:40"/>
    <n v="3"/>
    <n v="6"/>
    <m/>
    <n v="0"/>
    <n v="779"/>
    <s v="us"/>
    <n v="426"/>
    <n v="0"/>
    <n v="25.3"/>
    <s v="mwb"/>
    <n v="34"/>
    <n v="-20.617000000000001"/>
    <n v="169.357"/>
    <s v="Isangel, Vanuatu"/>
    <x v="4"/>
    <x v="47"/>
    <n v="5"/>
    <n v="7.1"/>
    <n v="426"/>
    <n v="0"/>
    <n v="25.3"/>
    <n v="34"/>
    <n v="3"/>
    <n v="6"/>
    <n v="0"/>
    <n v="779"/>
  </r>
  <r>
    <x v="633"/>
    <n v="7"/>
    <s v="14-09-2022 11:04"/>
    <n v="7"/>
    <n v="5"/>
    <s v="green"/>
    <n v="1"/>
    <n v="761"/>
    <s v="us"/>
    <n v="192"/>
    <n v="2.9769999999999999"/>
    <n v="45"/>
    <s v="mww"/>
    <n v="137"/>
    <n v="-21.207699999999999"/>
    <n v="170.239"/>
    <s v="Isangel, Vanuatu"/>
    <x v="4"/>
    <x v="47"/>
    <n v="5"/>
    <n v="7"/>
    <n v="192"/>
    <n v="2.9769999999999999"/>
    <n v="45"/>
    <n v="137"/>
    <n v="7"/>
    <n v="5"/>
    <n v="1"/>
    <n v="761"/>
  </r>
  <r>
    <x v="634"/>
    <n v="7"/>
    <d v="2011-03-09T22:55:00"/>
    <n v="7"/>
    <n v="5"/>
    <m/>
    <n v="0"/>
    <n v="761"/>
    <s v="us"/>
    <n v="406"/>
    <n v="0"/>
    <n v="15.3"/>
    <s v="mww"/>
    <n v="185.1"/>
    <n v="-20.670999999999999"/>
    <n v="169.71600000000001"/>
    <s v="Isangel, Vanuatu"/>
    <x v="4"/>
    <x v="47"/>
    <n v="5"/>
    <n v="7"/>
    <n v="406"/>
    <n v="0"/>
    <n v="15.3"/>
    <n v="185.1"/>
    <n v="7"/>
    <n v="5"/>
    <n v="0"/>
    <n v="761"/>
  </r>
  <r>
    <x v="635"/>
    <n v="6.6"/>
    <d v="2014-01-05T06:36:00"/>
    <n v="0"/>
    <n v="5"/>
    <s v="green"/>
    <n v="1"/>
    <n v="670"/>
    <s v="us"/>
    <n v="0"/>
    <n v="3.34"/>
    <n v="10"/>
    <s v="mww"/>
    <n v="106"/>
    <n v="-21.4542"/>
    <n v="170.35499999999999"/>
    <s v="Isangel, Vanuatu"/>
    <x v="4"/>
    <x v="47"/>
    <n v="5"/>
    <n v="6.6"/>
    <n v="0"/>
    <n v="3.34"/>
    <n v="10"/>
    <n v="106"/>
    <n v="0"/>
    <n v="5"/>
    <n v="1"/>
    <n v="670"/>
  </r>
  <r>
    <x v="636"/>
    <n v="6.6"/>
    <d v="2003-06-11T10:38:00"/>
    <n v="0"/>
    <n v="5"/>
    <m/>
    <n v="0"/>
    <n v="670"/>
    <s v="us"/>
    <n v="475"/>
    <n v="0"/>
    <n v="26.2"/>
    <s v="mwb"/>
    <n v="113.7"/>
    <n v="-19.262"/>
    <n v="168.892"/>
    <s v="Isangel, Vanuatu"/>
    <x v="4"/>
    <x v="47"/>
    <n v="5"/>
    <n v="6.6"/>
    <n v="475"/>
    <n v="0"/>
    <n v="26.2"/>
    <n v="113.7"/>
    <n v="0"/>
    <n v="5"/>
    <n v="0"/>
    <n v="670"/>
  </r>
  <r>
    <x v="637"/>
    <n v="7.3"/>
    <d v="2021-02-10T06:29:00"/>
    <n v="4"/>
    <n v="4"/>
    <s v="green"/>
    <n v="1"/>
    <n v="826"/>
    <s v="us"/>
    <n v="0"/>
    <n v="4.4930000000000003"/>
    <n v="32"/>
    <s v="mww"/>
    <n v="527"/>
    <n v="-21.1036"/>
    <n v="174.89500000000001"/>
    <s v="Vanuatu region"/>
    <x v="4"/>
    <x v="47"/>
    <n v="5"/>
    <n v="7.3"/>
    <n v="0"/>
    <n v="4.4930000000000003"/>
    <n v="32"/>
    <n v="527"/>
    <n v="4"/>
    <n v="4"/>
    <n v="1"/>
    <n v="826"/>
  </r>
  <r>
    <x v="638"/>
    <n v="6.9"/>
    <d v="2021-09-10T10:58:00"/>
    <n v="4"/>
    <n v="3"/>
    <s v="green"/>
    <n v="1"/>
    <n v="740"/>
    <s v="us"/>
    <n v="0"/>
    <n v="4.7779999999999996"/>
    <n v="31"/>
    <s v="mww"/>
    <n v="535"/>
    <n v="-21.170400000000001"/>
    <n v="174.54"/>
    <s v="Vanuatu region"/>
    <x v="4"/>
    <x v="47"/>
    <n v="5"/>
    <n v="6.9"/>
    <n v="0"/>
    <n v="4.7779999999999996"/>
    <n v="31"/>
    <n v="535"/>
    <n v="4"/>
    <n v="3"/>
    <n v="1"/>
    <n v="740"/>
  </r>
  <r>
    <x v="639"/>
    <n v="7"/>
    <d v="2001-12-10T15:02:00"/>
    <n v="0"/>
    <n v="6"/>
    <m/>
    <n v="0"/>
    <n v="754"/>
    <s v="us"/>
    <n v="482"/>
    <n v="0"/>
    <n v="0"/>
    <s v="mwc"/>
    <n v="37"/>
    <n v="12.686"/>
    <n v="144.97999999999999"/>
    <s v="Inarajan Village, Guam"/>
    <x v="4"/>
    <x v="48"/>
    <n v="5"/>
    <n v="7"/>
    <n v="482"/>
    <n v="0"/>
    <n v="0"/>
    <n v="37"/>
    <n v="0"/>
    <n v="6"/>
    <n v="0"/>
    <n v="754"/>
  </r>
  <r>
    <x v="640"/>
    <n v="6.7"/>
    <s v="17-09-2014 06:14"/>
    <n v="5"/>
    <n v="5"/>
    <s v="green"/>
    <n v="1"/>
    <n v="724"/>
    <s v="us"/>
    <n v="0"/>
    <n v="0.46"/>
    <n v="11"/>
    <s v="mww"/>
    <n v="130"/>
    <n v="13.764099999999999"/>
    <n v="144.429"/>
    <s v="Piti Village, Guam"/>
    <x v="4"/>
    <x v="48"/>
    <n v="5"/>
    <n v="6.7"/>
    <n v="0"/>
    <n v="0.46"/>
    <n v="11"/>
    <n v="130"/>
    <n v="5"/>
    <n v="5"/>
    <n v="1"/>
    <n v="724"/>
  </r>
  <r>
    <x v="641"/>
    <n v="6.5"/>
    <s v="21-05-2021 22:13"/>
    <n v="5"/>
    <n v="7"/>
    <s v="green"/>
    <n v="1"/>
    <n v="652"/>
    <s v="us"/>
    <n v="0"/>
    <n v="4.5179999999999998"/>
    <n v="44"/>
    <s v="mww"/>
    <n v="10"/>
    <n v="-16.479600000000001"/>
    <n v="-177.35599999999999"/>
    <s v="Alo, Wallis and Futuna"/>
    <x v="4"/>
    <x v="22"/>
    <n v="5"/>
    <n v="6.5"/>
    <n v="0"/>
    <n v="4.5179999999999998"/>
    <n v="44"/>
    <n v="10"/>
    <n v="5"/>
    <n v="7"/>
    <n v="1"/>
    <n v="652"/>
  </r>
  <r>
    <x v="642"/>
    <n v="6.5"/>
    <s v="17-04-2015 15:52"/>
    <n v="0"/>
    <n v="5"/>
    <s v="green"/>
    <n v="1"/>
    <n v="650"/>
    <s v="us"/>
    <n v="0"/>
    <n v="3.702"/>
    <n v="42"/>
    <s v="mww"/>
    <n v="10"/>
    <n v="-15.881500000000001"/>
    <n v="-178.6"/>
    <s v="Alo, Wallis and Futuna"/>
    <x v="4"/>
    <x v="22"/>
    <n v="5"/>
    <n v="6.5"/>
    <n v="0"/>
    <n v="3.702"/>
    <n v="42"/>
    <n v="10"/>
    <n v="0"/>
    <n v="5"/>
    <n v="1"/>
    <n v="650"/>
  </r>
  <r>
    <x v="643"/>
    <n v="8.1"/>
    <s v="23-12-2004 14:59"/>
    <n v="0"/>
    <n v="5"/>
    <m/>
    <n v="0"/>
    <n v="1009"/>
    <s v="us"/>
    <n v="331"/>
    <n v="0"/>
    <n v="59.3"/>
    <s v="mwc"/>
    <n v="10"/>
    <n v="-49.311999999999998"/>
    <n v="161.345"/>
    <s v="Macquarie Island"/>
    <x v="4"/>
    <x v="22"/>
    <n v="5"/>
    <n v="8.1"/>
    <n v="331"/>
    <n v="0"/>
    <n v="59.3"/>
    <n v="10"/>
    <n v="0"/>
    <n v="5"/>
    <n v="0"/>
    <n v="1009"/>
  </r>
  <r>
    <x v="644"/>
    <n v="6.7"/>
    <s v="29-06-2014 17:15"/>
    <n v="0"/>
    <n v="5"/>
    <s v="green"/>
    <n v="1"/>
    <n v="691"/>
    <s v="us"/>
    <n v="0"/>
    <n v="6.7130000000000001"/>
    <n v="45"/>
    <s v="mww"/>
    <n v="18"/>
    <n v="-14.9831"/>
    <n v="-175.51"/>
    <s v="Mata-Utu, Wallis and Futuna"/>
    <x v="4"/>
    <x v="22"/>
    <n v="5"/>
    <n v="6.7"/>
    <n v="0"/>
    <n v="6.7130000000000001"/>
    <n v="45"/>
    <n v="18"/>
    <n v="0"/>
    <n v="5"/>
    <n v="1"/>
    <n v="691"/>
  </r>
  <r>
    <x v="645"/>
    <n v="8.1"/>
    <s v="29-09-2009 17:48"/>
    <n v="7"/>
    <n v="6"/>
    <m/>
    <n v="0"/>
    <n v="1055"/>
    <s v="us"/>
    <n v="520"/>
    <n v="0"/>
    <n v="20.8"/>
    <s v="mwc"/>
    <n v="18"/>
    <n v="-15.489000000000001"/>
    <n v="-172.095"/>
    <s v="Matavai, Samoa"/>
    <x v="4"/>
    <x v="22"/>
    <n v="5"/>
    <n v="8.1"/>
    <n v="520"/>
    <n v="0"/>
    <n v="20.8"/>
    <n v="18"/>
    <n v="7"/>
    <n v="6"/>
    <n v="0"/>
    <n v="1055"/>
  </r>
  <r>
    <x v="646"/>
    <n v="7.7"/>
    <s v="29-07-2016 21:18"/>
    <n v="5"/>
    <n v="6"/>
    <s v="green"/>
    <n v="1"/>
    <n v="971"/>
    <s v="us"/>
    <n v="0"/>
    <n v="3.294"/>
    <n v="14"/>
    <s v="mww"/>
    <n v="196"/>
    <n v="18.542899999999999"/>
    <n v="145.50700000000001"/>
    <s v="Pagan region, Northern Mariana Islands"/>
    <x v="4"/>
    <x v="22"/>
    <n v="5"/>
    <n v="7.7"/>
    <n v="0"/>
    <n v="3.294"/>
    <n v="14"/>
    <n v="196"/>
    <n v="5"/>
    <n v="6"/>
    <n v="1"/>
    <n v="971"/>
  </r>
  <r>
    <x v="647"/>
    <n v="6.8"/>
    <s v="14-05-2013 00:32"/>
    <n v="0"/>
    <n v="3"/>
    <s v="green"/>
    <n v="0"/>
    <n v="711"/>
    <s v="us"/>
    <n v="131"/>
    <n v="0"/>
    <n v="18"/>
    <s v="mww"/>
    <n v="602.20000000000005"/>
    <n v="18.728000000000002"/>
    <n v="145.28800000000001"/>
    <s v="Pagan region, Northern Mariana Islands"/>
    <x v="4"/>
    <x v="22"/>
    <n v="5"/>
    <n v="6.8"/>
    <n v="131"/>
    <n v="0"/>
    <n v="18"/>
    <n v="602.20000000000005"/>
    <n v="0"/>
    <n v="3"/>
    <n v="0"/>
    <n v="711"/>
  </r>
  <r>
    <x v="648"/>
    <n v="6.5"/>
    <s v="14-08-2002 13:57"/>
    <n v="0"/>
    <n v="4"/>
    <m/>
    <n v="0"/>
    <n v="650"/>
    <s v="us"/>
    <n v="260"/>
    <n v="0"/>
    <n v="0"/>
    <s v="mwc"/>
    <n v="30"/>
    <n v="14.101000000000001"/>
    <n v="146.19900000000001"/>
    <s v="San Jose Village, Northern Mariana Islands"/>
    <x v="4"/>
    <x v="22"/>
    <n v="5"/>
    <n v="6.5"/>
    <n v="260"/>
    <n v="0"/>
    <n v="0"/>
    <n v="30"/>
    <n v="0"/>
    <n v="4"/>
    <n v="0"/>
    <n v="650"/>
  </r>
  <r>
    <x v="649"/>
    <n v="7.7"/>
    <d v="2021-10-02T13:19:00"/>
    <n v="9"/>
    <n v="4"/>
    <s v="green"/>
    <n v="1"/>
    <n v="918"/>
    <s v="us"/>
    <n v="0"/>
    <n v="7.9889999999999999"/>
    <n v="15"/>
    <s v="mww"/>
    <n v="10"/>
    <n v="-23.278700000000001"/>
    <n v="171.489"/>
    <s v="the Loyalty Islands"/>
    <x v="4"/>
    <x v="22"/>
    <n v="5"/>
    <n v="7.7"/>
    <n v="0"/>
    <n v="7.9889999999999999"/>
    <n v="15"/>
    <n v="10"/>
    <n v="9"/>
    <n v="4"/>
    <n v="1"/>
    <n v="918"/>
  </r>
  <r>
    <x v="650"/>
    <n v="7.2"/>
    <d v="2016-12-08T01:26:00"/>
    <n v="6"/>
    <n v="5"/>
    <s v="green"/>
    <n v="1"/>
    <n v="799"/>
    <s v="us"/>
    <n v="0"/>
    <n v="4.8230000000000004"/>
    <n v="14"/>
    <s v="mww"/>
    <n v="16.37"/>
    <n v="-22.476500000000001"/>
    <n v="173.11699999999999"/>
    <s v="the Loyalty Islands"/>
    <x v="4"/>
    <x v="22"/>
    <n v="5"/>
    <n v="7.2"/>
    <n v="0"/>
    <n v="4.8230000000000004"/>
    <n v="14"/>
    <n v="16.37"/>
    <n v="6"/>
    <n v="5"/>
    <n v="1"/>
    <n v="799"/>
  </r>
  <r>
    <x v="651"/>
    <n v="7"/>
    <s v="31-03-2022 05:44"/>
    <n v="6"/>
    <n v="4"/>
    <s v="green"/>
    <n v="1"/>
    <n v="763"/>
    <s v="us"/>
    <n v="0"/>
    <n v="2.7050000000000001"/>
    <n v="26"/>
    <s v="mww"/>
    <n v="10"/>
    <n v="-22.5732"/>
    <n v="170.34899999999999"/>
    <s v="the Loyalty Islands"/>
    <x v="4"/>
    <x v="22"/>
    <n v="5"/>
    <n v="7"/>
    <n v="0"/>
    <n v="2.7050000000000001"/>
    <n v="26"/>
    <n v="10"/>
    <n v="6"/>
    <n v="4"/>
    <n v="1"/>
    <n v="763"/>
  </r>
  <r>
    <x v="652"/>
    <n v="6.8"/>
    <d v="2011-10-05T08:55:00"/>
    <n v="4"/>
    <n v="5"/>
    <m/>
    <n v="0"/>
    <n v="734"/>
    <s v="us"/>
    <n v="519"/>
    <n v="0"/>
    <n v="12.5"/>
    <s v="mww"/>
    <n v="11"/>
    <n v="-20.244"/>
    <n v="168.226"/>
    <s v="W√©, New Caledonia"/>
    <x v="4"/>
    <x v="22"/>
    <n v="5"/>
    <n v="6.8"/>
    <n v="519"/>
    <n v="0"/>
    <n v="12.5"/>
    <n v="11"/>
    <n v="4"/>
    <n v="5"/>
    <n v="0"/>
    <n v="734"/>
  </r>
  <r>
    <x v="653"/>
    <n v="6.7"/>
    <d v="2015-11-02T18:57:00"/>
    <n v="4"/>
    <n v="6"/>
    <s v="green"/>
    <n v="1"/>
    <n v="700"/>
    <s v="us"/>
    <n v="0"/>
    <n v="2.11"/>
    <n v="16"/>
    <s v="mww"/>
    <n v="223"/>
    <n v="-23.112500000000001"/>
    <n v="-66.688000000000002"/>
    <s v="El Aguilar, Argentina"/>
    <x v="5"/>
    <x v="49"/>
    <n v="6"/>
    <n v="6.7"/>
    <n v="0"/>
    <n v="2.11"/>
    <n v="16"/>
    <n v="223"/>
    <n v="4"/>
    <n v="6"/>
    <n v="1"/>
    <n v="700"/>
  </r>
  <r>
    <x v="654"/>
    <n v="6.8"/>
    <d v="2022-10-05T23:06:00"/>
    <n v="6"/>
    <n v="5"/>
    <s v="green"/>
    <n v="1"/>
    <n v="762"/>
    <s v="us"/>
    <n v="162"/>
    <n v="1.5049999999999999"/>
    <n v="30"/>
    <s v="mww"/>
    <n v="220"/>
    <n v="-23.614100000000001"/>
    <n v="-66.723600000000005"/>
    <s v="San Antonio de los Cobres, Argentina"/>
    <x v="5"/>
    <x v="49"/>
    <n v="6"/>
    <n v="6.8"/>
    <n v="162"/>
    <n v="1.5049999999999999"/>
    <n v="30"/>
    <n v="220"/>
    <n v="6"/>
    <n v="5"/>
    <n v="1"/>
    <n v="762"/>
  </r>
  <r>
    <x v="655"/>
    <n v="6.8"/>
    <d v="2018-02-04T13:40:00"/>
    <n v="5"/>
    <n v="3"/>
    <s v="green"/>
    <n v="0"/>
    <n v="733"/>
    <s v="us"/>
    <n v="0"/>
    <n v="5.32"/>
    <n v="16"/>
    <s v="mww"/>
    <n v="559"/>
    <n v="-20.658799999999999"/>
    <n v="-63.005800000000001"/>
    <s v="Boyuibe, Bolivia"/>
    <x v="5"/>
    <x v="50"/>
    <n v="6"/>
    <n v="6.8"/>
    <n v="0"/>
    <n v="5.32"/>
    <n v="16"/>
    <n v="559"/>
    <n v="5"/>
    <n v="3"/>
    <n v="0"/>
    <n v="733"/>
  </r>
  <r>
    <x v="656"/>
    <n v="6.5"/>
    <s v="21-02-2017 14:09"/>
    <n v="3"/>
    <n v="3"/>
    <s v="green"/>
    <n v="0"/>
    <n v="653"/>
    <s v="us"/>
    <n v="0"/>
    <n v="4.242"/>
    <n v="14"/>
    <s v="mww"/>
    <n v="595.98"/>
    <n v="-19.281400000000001"/>
    <n v="-63.904699999999998"/>
    <s v="Padilla, Bolivia"/>
    <x v="5"/>
    <x v="50"/>
    <n v="6"/>
    <n v="6.5"/>
    <n v="0"/>
    <n v="4.242"/>
    <n v="14"/>
    <n v="595.98"/>
    <n v="3"/>
    <n v="3"/>
    <n v="0"/>
    <n v="653"/>
  </r>
  <r>
    <x v="657"/>
    <n v="6.8"/>
    <s v="17-11-2005 19:26"/>
    <n v="0"/>
    <n v="6"/>
    <m/>
    <n v="0"/>
    <n v="711"/>
    <s v="us"/>
    <n v="509"/>
    <n v="0"/>
    <n v="30.1"/>
    <s v="mwb"/>
    <n v="147"/>
    <n v="-22.361000000000001"/>
    <n v="-67.894999999999996"/>
    <s v="San Pedro de Atacama, Chile"/>
    <x v="5"/>
    <x v="50"/>
    <n v="6"/>
    <n v="6.8"/>
    <n v="509"/>
    <n v="0"/>
    <n v="30.1"/>
    <n v="147"/>
    <n v="0"/>
    <n v="6"/>
    <n v="0"/>
    <n v="711"/>
  </r>
  <r>
    <x v="658"/>
    <n v="6.7"/>
    <s v="26-11-2015 05:45"/>
    <n v="2"/>
    <n v="3"/>
    <s v="green"/>
    <n v="0"/>
    <n v="691"/>
    <s v="us"/>
    <n v="0"/>
    <n v="2.0329999999999999"/>
    <n v="19"/>
    <s v="mww"/>
    <n v="602.75"/>
    <n v="-9.1824999999999992"/>
    <n v="-71.257400000000004"/>
    <s v="Tarauac√°, Brazil"/>
    <x v="5"/>
    <x v="51"/>
    <n v="6"/>
    <n v="6.7"/>
    <n v="0"/>
    <n v="2.0329999999999999"/>
    <n v="19"/>
    <n v="602.75"/>
    <n v="2"/>
    <n v="3"/>
    <n v="0"/>
    <n v="691"/>
  </r>
  <r>
    <x v="659"/>
    <n v="6.5"/>
    <d v="2022-08-06T00:55:00"/>
    <n v="3"/>
    <n v="2"/>
    <s v="green"/>
    <n v="0"/>
    <n v="653"/>
    <s v="us"/>
    <n v="236"/>
    <n v="1.9990000000000001"/>
    <n v="31"/>
    <s v="mww"/>
    <n v="622.73"/>
    <n v="-9.0617999999999999"/>
    <n v="-71.164699999999996"/>
    <s v="Tarauac√°, Brazil"/>
    <x v="5"/>
    <x v="51"/>
    <n v="6"/>
    <n v="6.5"/>
    <n v="236"/>
    <n v="1.9990000000000001"/>
    <n v="31"/>
    <n v="622.73"/>
    <n v="3"/>
    <n v="2"/>
    <n v="0"/>
    <n v="653"/>
  </r>
  <r>
    <x v="660"/>
    <n v="6.8"/>
    <d v="2019-05-01T19:25:00"/>
    <n v="3"/>
    <n v="3"/>
    <s v="green"/>
    <n v="0"/>
    <n v="715"/>
    <s v="us"/>
    <n v="0"/>
    <n v="1.181"/>
    <n v="16"/>
    <s v="mww"/>
    <n v="570.41"/>
    <n v="-8.1440000000000001"/>
    <n v="-71.587000000000003"/>
    <s v="Tarauaca, Brazil"/>
    <x v="5"/>
    <x v="51"/>
    <n v="6"/>
    <n v="6.8"/>
    <n v="0"/>
    <n v="1.181"/>
    <n v="16"/>
    <n v="570.41"/>
    <n v="3"/>
    <n v="3"/>
    <n v="0"/>
    <n v="715"/>
  </r>
  <r>
    <x v="661"/>
    <n v="6.8"/>
    <s v="15-11-2007 15:05"/>
    <n v="6"/>
    <n v="7"/>
    <m/>
    <n v="0"/>
    <n v="716"/>
    <s v="us"/>
    <n v="285"/>
    <n v="0"/>
    <n v="40.1"/>
    <s v="mwc"/>
    <n v="26"/>
    <n v="-22.925000000000001"/>
    <n v="-70.236999999999995"/>
    <s v="Ant"/>
    <x v="5"/>
    <x v="52"/>
    <n v="6"/>
    <n v="6.8"/>
    <n v="285"/>
    <n v="0"/>
    <n v="40.1"/>
    <n v="26"/>
    <n v="6"/>
    <n v="7"/>
    <n v="0"/>
    <n v="716"/>
  </r>
  <r>
    <x v="662"/>
    <n v="6.7"/>
    <s v="16-12-2007 08:09"/>
    <n v="5"/>
    <n v="7"/>
    <m/>
    <n v="0"/>
    <n v="704"/>
    <s v="us"/>
    <n v="481"/>
    <n v="0"/>
    <n v="30.3"/>
    <s v="mwb"/>
    <n v="45"/>
    <n v="-22.954000000000001"/>
    <n v="-70.182000000000002"/>
    <s v="Ant"/>
    <x v="5"/>
    <x v="52"/>
    <n v="6"/>
    <n v="6.7"/>
    <n v="481"/>
    <n v="0"/>
    <n v="30.3"/>
    <n v="45"/>
    <n v="5"/>
    <n v="7"/>
    <n v="0"/>
    <n v="704"/>
  </r>
  <r>
    <x v="663"/>
    <n v="6.6"/>
    <s v="14-07-2010 08:32"/>
    <n v="6"/>
    <n v="7"/>
    <m/>
    <n v="0"/>
    <n v="753"/>
    <s v="us"/>
    <n v="295"/>
    <n v="0"/>
    <n v="52.8"/>
    <s v="mwc"/>
    <n v="22"/>
    <n v="-38.067"/>
    <n v="-73.31"/>
    <s v="Ca√±ete, Chile"/>
    <x v="5"/>
    <x v="52"/>
    <n v="6"/>
    <n v="6.6"/>
    <n v="295"/>
    <n v="0"/>
    <n v="52.8"/>
    <n v="22"/>
    <n v="6"/>
    <n v="7"/>
    <n v="0"/>
    <n v="753"/>
  </r>
  <r>
    <x v="664"/>
    <n v="6.6"/>
    <d v="2004-03-05T04:36:00"/>
    <n v="0"/>
    <n v="7"/>
    <m/>
    <n v="0"/>
    <n v="670"/>
    <s v="us"/>
    <n v="282"/>
    <n v="0"/>
    <n v="46.9"/>
    <s v="mwb"/>
    <n v="21"/>
    <n v="-37.695"/>
    <n v="-73.406000000000006"/>
    <s v="Ca√±ete, Chile"/>
    <x v="5"/>
    <x v="52"/>
    <n v="6"/>
    <n v="6.6"/>
    <n v="282"/>
    <n v="0"/>
    <n v="46.9"/>
    <n v="21"/>
    <n v="0"/>
    <n v="7"/>
    <n v="0"/>
    <n v="670"/>
  </r>
  <r>
    <x v="665"/>
    <n v="6.5"/>
    <s v="28-03-2002 04:56"/>
    <n v="0"/>
    <n v="5"/>
    <m/>
    <n v="0"/>
    <n v="650"/>
    <s v="us"/>
    <n v="486"/>
    <n v="0"/>
    <n v="0"/>
    <s v="mwc"/>
    <n v="125.1"/>
    <n v="-21.663"/>
    <n v="-68.328999999999994"/>
    <s v="Calama, Chile"/>
    <x v="5"/>
    <x v="52"/>
    <n v="6"/>
    <n v="6.5"/>
    <n v="486"/>
    <n v="0"/>
    <n v="0"/>
    <n v="125.1"/>
    <n v="0"/>
    <n v="5"/>
    <n v="0"/>
    <n v="650"/>
  </r>
  <r>
    <x v="666"/>
    <n v="7.2"/>
    <d v="2011-02-01T20:20:00"/>
    <n v="8"/>
    <n v="7"/>
    <m/>
    <n v="0"/>
    <n v="1054"/>
    <s v="us"/>
    <n v="397"/>
    <n v="0"/>
    <n v="30.1"/>
    <s v="mww"/>
    <n v="24"/>
    <n v="-38.354999999999997"/>
    <n v="-73.325999999999993"/>
    <s v="Carahue, Chile"/>
    <x v="5"/>
    <x v="52"/>
    <n v="6"/>
    <n v="7.2"/>
    <n v="397"/>
    <n v="0"/>
    <n v="30.1"/>
    <n v="24"/>
    <n v="8"/>
    <n v="7"/>
    <n v="0"/>
    <n v="1054"/>
  </r>
  <r>
    <x v="667"/>
    <n v="7.1"/>
    <s v="25-03-2012 22:37"/>
    <n v="7"/>
    <n v="7"/>
    <m/>
    <n v="0"/>
    <n v="1496"/>
    <s v="us"/>
    <n v="553"/>
    <n v="0"/>
    <n v="15.2"/>
    <s v="mww"/>
    <n v="40.700000000000003"/>
    <n v="-35.200000000000003"/>
    <n v="-72.216999999999999"/>
    <s v="Constituci√≥n, Chile"/>
    <x v="5"/>
    <x v="52"/>
    <n v="6"/>
    <n v="7.1"/>
    <n v="553"/>
    <n v="0"/>
    <n v="15.2"/>
    <n v="40.700000000000003"/>
    <n v="7"/>
    <n v="7"/>
    <n v="0"/>
    <n v="1496"/>
  </r>
  <r>
    <x v="668"/>
    <n v="6.7"/>
    <s v="29-09-2019 15:57"/>
    <n v="7"/>
    <n v="6"/>
    <s v="green"/>
    <n v="1"/>
    <n v="844"/>
    <s v="us"/>
    <n v="0"/>
    <n v="1.2689999999999999"/>
    <n v="98"/>
    <s v="mww"/>
    <n v="11"/>
    <n v="-35.4758"/>
    <n v="-73.162999999999997"/>
    <s v="Constituci√≥n, Chile"/>
    <x v="5"/>
    <x v="52"/>
    <n v="6"/>
    <n v="6.7"/>
    <n v="0"/>
    <n v="1.2689999999999999"/>
    <n v="98"/>
    <n v="11"/>
    <n v="7"/>
    <n v="6"/>
    <n v="1"/>
    <n v="844"/>
  </r>
  <r>
    <x v="669"/>
    <n v="6.7"/>
    <s v="14-02-2011 03:40"/>
    <n v="5"/>
    <n v="6"/>
    <m/>
    <n v="0"/>
    <n v="731"/>
    <s v="us"/>
    <n v="358"/>
    <n v="0"/>
    <n v="33.9"/>
    <s v="mww"/>
    <n v="21"/>
    <n v="-35.380000000000003"/>
    <n v="-72.834000000000003"/>
    <s v="Constituci√≥n, Chile"/>
    <x v="5"/>
    <x v="52"/>
    <n v="6"/>
    <n v="6.7"/>
    <n v="358"/>
    <n v="0"/>
    <n v="33.9"/>
    <n v="21"/>
    <n v="5"/>
    <n v="6"/>
    <n v="0"/>
    <n v="731"/>
  </r>
  <r>
    <x v="670"/>
    <n v="6.7"/>
    <s v="30-04-2006 19:17"/>
    <n v="6"/>
    <n v="7"/>
    <m/>
    <n v="0"/>
    <n v="696"/>
    <s v="us"/>
    <n v="277"/>
    <n v="0"/>
    <n v="25.6"/>
    <s v="mwb"/>
    <n v="12"/>
    <n v="-27.016999999999999"/>
    <n v="-71.022000000000006"/>
    <s v="Copiap√≥, Chile"/>
    <x v="5"/>
    <x v="52"/>
    <n v="6"/>
    <n v="6.7"/>
    <n v="277"/>
    <n v="0"/>
    <n v="25.6"/>
    <n v="12"/>
    <n v="6"/>
    <n v="7"/>
    <n v="0"/>
    <n v="696"/>
  </r>
  <r>
    <x v="671"/>
    <n v="6.7"/>
    <s v="18-04-2002 16:08"/>
    <n v="0"/>
    <n v="7"/>
    <m/>
    <n v="0"/>
    <n v="691"/>
    <s v="us"/>
    <n v="462"/>
    <n v="0"/>
    <n v="0"/>
    <s v="mwb"/>
    <n v="62"/>
    <n v="-27.535"/>
    <n v="-70.585999999999999"/>
    <s v="Copiap√≥, Chile"/>
    <x v="5"/>
    <x v="52"/>
    <n v="6"/>
    <n v="6.7"/>
    <n v="462"/>
    <n v="0"/>
    <n v="0"/>
    <n v="62"/>
    <n v="0"/>
    <n v="7"/>
    <n v="0"/>
    <n v="691"/>
  </r>
  <r>
    <x v="672"/>
    <n v="6.5"/>
    <s v="30-04-2006 21:40"/>
    <n v="7"/>
    <n v="7"/>
    <m/>
    <n v="0"/>
    <n v="653"/>
    <s v="us"/>
    <n v="282"/>
    <n v="0"/>
    <n v="46.3"/>
    <s v="mwc"/>
    <n v="12"/>
    <n v="-27.210999999999999"/>
    <n v="-71.055999999999997"/>
    <s v="Copiap√≥, Chile"/>
    <x v="5"/>
    <x v="52"/>
    <n v="6"/>
    <n v="6.5"/>
    <n v="282"/>
    <n v="0"/>
    <n v="46.3"/>
    <n v="12"/>
    <n v="7"/>
    <n v="7"/>
    <n v="0"/>
    <n v="653"/>
  </r>
  <r>
    <x v="673"/>
    <n v="6.7"/>
    <s v="20-01-2019 01:32"/>
    <n v="8"/>
    <n v="8"/>
    <s v="orange"/>
    <n v="1"/>
    <n v="1600"/>
    <s v="us"/>
    <n v="0"/>
    <n v="0.17299999999999999"/>
    <n v="22"/>
    <s v="mww"/>
    <n v="63"/>
    <n v="-30.040400000000002"/>
    <n v="-71.381500000000003"/>
    <s v="Coquimbo, Chile"/>
    <x v="5"/>
    <x v="52"/>
    <n v="6"/>
    <n v="6.7"/>
    <n v="0"/>
    <n v="0.17299999999999999"/>
    <n v="22"/>
    <n v="63"/>
    <n v="8"/>
    <n v="8"/>
    <n v="1"/>
    <n v="1600"/>
  </r>
  <r>
    <x v="674"/>
    <n v="6.6"/>
    <s v="31-10-2013 23:03"/>
    <n v="6"/>
    <n v="7"/>
    <s v="green"/>
    <n v="1"/>
    <n v="723"/>
    <s v="us"/>
    <n v="0"/>
    <n v="0.63600000000000001"/>
    <n v="31"/>
    <s v="mww"/>
    <n v="27"/>
    <n v="-30.292100000000001"/>
    <n v="-71.521500000000003"/>
    <s v="Coquimbo, Chile"/>
    <x v="5"/>
    <x v="52"/>
    <n v="6"/>
    <n v="6.6"/>
    <n v="0"/>
    <n v="0.63600000000000001"/>
    <n v="31"/>
    <n v="27"/>
    <n v="6"/>
    <n v="7"/>
    <n v="1"/>
    <n v="723"/>
  </r>
  <r>
    <x v="675"/>
    <n v="6.9"/>
    <d v="2015-11-11T02:46:00"/>
    <n v="5"/>
    <n v="6"/>
    <s v="green"/>
    <n v="0"/>
    <n v="744"/>
    <s v="us"/>
    <n v="0"/>
    <n v="0.82099999999999995"/>
    <n v="43"/>
    <s v="mww"/>
    <n v="10"/>
    <n v="-29.509699999999999"/>
    <n v="-72.058499999999995"/>
    <s v="Coquimbo, Chile"/>
    <x v="5"/>
    <x v="52"/>
    <n v="6"/>
    <n v="6.9"/>
    <n v="0"/>
    <n v="0.82099999999999995"/>
    <n v="43"/>
    <n v="10"/>
    <n v="5"/>
    <n v="6"/>
    <n v="0"/>
    <n v="744"/>
  </r>
  <r>
    <x v="676"/>
    <n v="6.9"/>
    <d v="2015-11-11T01:54:00"/>
    <n v="6"/>
    <n v="6"/>
    <s v="green"/>
    <n v="1"/>
    <n v="761"/>
    <s v="us"/>
    <n v="0"/>
    <n v="0.78400000000000003"/>
    <n v="32"/>
    <s v="mww"/>
    <n v="12"/>
    <n v="-29.506699999999999"/>
    <n v="-72.006799999999998"/>
    <s v="Coquimbo, Chile"/>
    <x v="5"/>
    <x v="52"/>
    <n v="6"/>
    <n v="6.9"/>
    <n v="0"/>
    <n v="0.78400000000000003"/>
    <n v="32"/>
    <n v="12"/>
    <n v="6"/>
    <n v="6"/>
    <n v="1"/>
    <n v="761"/>
  </r>
  <r>
    <x v="677"/>
    <n v="6.7"/>
    <s v="27-12-2020 21:39"/>
    <n v="5"/>
    <n v="5"/>
    <s v="green"/>
    <n v="1"/>
    <n v="776"/>
    <s v="us"/>
    <n v="0"/>
    <n v="1.319"/>
    <n v="19"/>
    <s v="mww"/>
    <n v="10"/>
    <n v="-39.3264"/>
    <n v="-74.906700000000001"/>
    <s v="Corral, Chile"/>
    <x v="5"/>
    <x v="52"/>
    <n v="6"/>
    <n v="6.7"/>
    <n v="0"/>
    <n v="1.319"/>
    <n v="19"/>
    <n v="10"/>
    <n v="5"/>
    <n v="5"/>
    <n v="1"/>
    <n v="776"/>
  </r>
  <r>
    <x v="678"/>
    <n v="6.7"/>
    <s v="17-04-2012 03:50"/>
    <n v="0"/>
    <n v="7"/>
    <m/>
    <n v="0"/>
    <n v="691"/>
    <s v="us"/>
    <n v="518"/>
    <n v="0"/>
    <n v="26.9"/>
    <s v="mww"/>
    <n v="29"/>
    <n v="-32.625"/>
    <n v="-71.364999999999995"/>
    <s v="Hacienda La Calera, Chile"/>
    <x v="5"/>
    <x v="52"/>
    <n v="6"/>
    <n v="6.7"/>
    <n v="518"/>
    <n v="0"/>
    <n v="26.9"/>
    <n v="29"/>
    <n v="0"/>
    <n v="7"/>
    <n v="0"/>
    <n v="691"/>
  </r>
  <r>
    <x v="679"/>
    <n v="8.3000000000000007"/>
    <s v="16-09-2015 22:54"/>
    <n v="9"/>
    <n v="8"/>
    <s v="orange"/>
    <n v="1"/>
    <n v="1960"/>
    <s v="us"/>
    <n v="0"/>
    <n v="0.68400000000000005"/>
    <n v="19"/>
    <s v="mww"/>
    <n v="22.44"/>
    <n v="-31.572900000000001"/>
    <n v="-71.674400000000006"/>
    <s v="Illapel, Chile"/>
    <x v="5"/>
    <x v="52"/>
    <n v="6"/>
    <n v="8.3000000000000007"/>
    <n v="0"/>
    <n v="0.68400000000000005"/>
    <n v="19"/>
    <n v="22.44"/>
    <n v="9"/>
    <n v="8"/>
    <n v="1"/>
    <n v="1960"/>
  </r>
  <r>
    <x v="680"/>
    <n v="7"/>
    <s v="16-09-2015 23:18"/>
    <n v="8"/>
    <n v="7"/>
    <s v="green"/>
    <n v="0"/>
    <n v="799"/>
    <s v="us"/>
    <n v="0"/>
    <n v="0.90300000000000002"/>
    <n v="13"/>
    <s v="mww"/>
    <n v="28.41"/>
    <n v="-31.562200000000001"/>
    <n v="-71.426199999999994"/>
    <s v="Illapel, Chile"/>
    <x v="5"/>
    <x v="52"/>
    <n v="6"/>
    <n v="7"/>
    <n v="0"/>
    <n v="0.90300000000000002"/>
    <n v="13"/>
    <n v="28.41"/>
    <n v="8"/>
    <n v="7"/>
    <n v="0"/>
    <n v="799"/>
  </r>
  <r>
    <x v="681"/>
    <n v="6.7"/>
    <s v="17-09-2015 04:10"/>
    <n v="5"/>
    <n v="7"/>
    <s v="green"/>
    <n v="0"/>
    <n v="718"/>
    <s v="us"/>
    <n v="0"/>
    <n v="0.85299999999999998"/>
    <n v="35"/>
    <s v="mww"/>
    <n v="23"/>
    <n v="-31.517299999999999"/>
    <n v="-71.804000000000002"/>
    <s v="Illapel, Chile"/>
    <x v="5"/>
    <x v="52"/>
    <n v="6"/>
    <n v="6.7"/>
    <n v="0"/>
    <n v="0.85299999999999998"/>
    <n v="35"/>
    <n v="23"/>
    <n v="5"/>
    <n v="7"/>
    <n v="0"/>
    <n v="718"/>
  </r>
  <r>
    <x v="682"/>
    <n v="6.6"/>
    <s v="21-09-2015 17:40"/>
    <n v="5"/>
    <n v="7"/>
    <s v="green"/>
    <n v="1"/>
    <n v="820"/>
    <s v="us"/>
    <n v="0"/>
    <n v="1.0640000000000001"/>
    <n v="14"/>
    <s v="mww"/>
    <n v="35"/>
    <n v="-31.727499999999999"/>
    <n v="-71.379199999999997"/>
    <s v="Illapel, Chile"/>
    <x v="5"/>
    <x v="52"/>
    <n v="6"/>
    <n v="6.6"/>
    <n v="0"/>
    <n v="1.0640000000000001"/>
    <n v="14"/>
    <n v="35"/>
    <n v="5"/>
    <n v="7"/>
    <n v="1"/>
    <n v="820"/>
  </r>
  <r>
    <x v="683"/>
    <n v="6.5"/>
    <s v="17-09-2015 03:55"/>
    <n v="6"/>
    <n v="7"/>
    <s v="green"/>
    <n v="0"/>
    <n v="657"/>
    <s v="us"/>
    <n v="0"/>
    <n v="0.749"/>
    <n v="62"/>
    <s v="mww"/>
    <n v="27"/>
    <n v="-31.424399999999999"/>
    <n v="-71.687600000000003"/>
    <s v="Illapel, Chile"/>
    <x v="5"/>
    <x v="52"/>
    <n v="6"/>
    <n v="6.5"/>
    <n v="0"/>
    <n v="0.749"/>
    <n v="62"/>
    <n v="27"/>
    <n v="6"/>
    <n v="7"/>
    <n v="0"/>
    <n v="657"/>
  </r>
  <r>
    <x v="684"/>
    <n v="7.8"/>
    <s v="13-06-2005 22:44"/>
    <n v="8"/>
    <n v="7"/>
    <m/>
    <n v="0"/>
    <n v="1020"/>
    <s v="us"/>
    <n v="714"/>
    <n v="0"/>
    <n v="16.100000000000001"/>
    <s v="mwb"/>
    <n v="115.6"/>
    <n v="-19.986999999999998"/>
    <n v="-69.197000000000003"/>
    <s v="Iquique, Chile"/>
    <x v="5"/>
    <x v="52"/>
    <n v="6"/>
    <n v="7.8"/>
    <n v="714"/>
    <n v="0"/>
    <n v="16.100000000000001"/>
    <n v="115.6"/>
    <n v="8"/>
    <n v="7"/>
    <n v="0"/>
    <n v="1020"/>
  </r>
  <r>
    <x v="685"/>
    <n v="6.5"/>
    <s v="13-11-2009 03:05"/>
    <n v="6"/>
    <n v="7"/>
    <m/>
    <n v="0"/>
    <n v="698"/>
    <s v="us"/>
    <n v="390"/>
    <n v="0"/>
    <n v="17.7"/>
    <s v="mwc"/>
    <n v="27"/>
    <n v="-19.393999999999998"/>
    <n v="-70.320999999999998"/>
    <s v="Iquique, Chile"/>
    <x v="5"/>
    <x v="52"/>
    <n v="6"/>
    <n v="6.5"/>
    <n v="390"/>
    <n v="0"/>
    <n v="17.7"/>
    <n v="27"/>
    <n v="6"/>
    <n v="7"/>
    <n v="0"/>
    <n v="698"/>
  </r>
  <r>
    <x v="686"/>
    <n v="8.1999999999999993"/>
    <d v="2014-01-04T23:46:00"/>
    <n v="9"/>
    <n v="8"/>
    <s v="yellow"/>
    <n v="1"/>
    <n v="1332"/>
    <s v="us"/>
    <n v="0"/>
    <n v="0.60899999999999999"/>
    <n v="23"/>
    <s v="mww"/>
    <n v="25"/>
    <n v="-19.6097"/>
    <n v="-70.769099999999995"/>
    <s v="Iquique, Chile"/>
    <x v="5"/>
    <x v="52"/>
    <n v="6"/>
    <n v="8.1999999999999993"/>
    <n v="0"/>
    <n v="0.60899999999999999"/>
    <n v="23"/>
    <n v="25"/>
    <n v="9"/>
    <n v="8"/>
    <n v="1"/>
    <n v="1332"/>
  </r>
  <r>
    <x v="687"/>
    <n v="7.7"/>
    <d v="2014-03-04T02:43:00"/>
    <n v="8"/>
    <n v="9"/>
    <s v="yellow"/>
    <n v="1"/>
    <n v="1057"/>
    <s v="us"/>
    <n v="0"/>
    <n v="1.0289999999999999"/>
    <n v="44"/>
    <s v="mww"/>
    <n v="22.4"/>
    <n v="-20.570900000000002"/>
    <n v="-70.493099999999998"/>
    <s v="Iquique, Chile"/>
    <x v="5"/>
    <x v="52"/>
    <n v="6"/>
    <n v="7.7"/>
    <n v="0"/>
    <n v="1.0289999999999999"/>
    <n v="44"/>
    <n v="22.4"/>
    <n v="8"/>
    <n v="9"/>
    <n v="1"/>
    <n v="1057"/>
  </r>
  <r>
    <x v="688"/>
    <n v="6.7"/>
    <s v="16-03-2014 21:16"/>
    <n v="7"/>
    <n v="7"/>
    <s v="green"/>
    <n v="1"/>
    <n v="718"/>
    <s v="us"/>
    <n v="0"/>
    <n v="1.008"/>
    <n v="44"/>
    <s v="mww"/>
    <n v="20"/>
    <n v="-19.980699999999999"/>
    <n v="-70.702200000000005"/>
    <s v="Iquique, Chile"/>
    <x v="5"/>
    <x v="52"/>
    <n v="6"/>
    <n v="6.7"/>
    <n v="0"/>
    <n v="1.008"/>
    <n v="44"/>
    <n v="20"/>
    <n v="7"/>
    <n v="7"/>
    <n v="1"/>
    <n v="718"/>
  </r>
  <r>
    <x v="689"/>
    <n v="6.5"/>
    <d v="2014-03-04T01:58:00"/>
    <n v="7"/>
    <n v="7"/>
    <s v="green"/>
    <n v="0"/>
    <n v="670"/>
    <s v="us"/>
    <n v="0"/>
    <n v="0.82799999999999996"/>
    <n v="82"/>
    <s v="mww"/>
    <n v="24.07"/>
    <n v="-20.311299999999999"/>
    <n v="-70.575599999999994"/>
    <s v="Iquique, Chile"/>
    <x v="5"/>
    <x v="52"/>
    <n v="6"/>
    <n v="6.5"/>
    <n v="0"/>
    <n v="0.82799999999999996"/>
    <n v="82"/>
    <n v="24.07"/>
    <n v="7"/>
    <n v="7"/>
    <n v="0"/>
    <n v="670"/>
  </r>
  <r>
    <x v="690"/>
    <n v="6.9"/>
    <d v="2014-01-04T23:57:00"/>
    <n v="0"/>
    <n v="5"/>
    <s v="green"/>
    <n v="0"/>
    <n v="732"/>
    <s v="us"/>
    <n v="0"/>
    <n v="0.82799999999999996"/>
    <n v="119"/>
    <s v="mww"/>
    <n v="28.42"/>
    <n v="-19.892700000000001"/>
    <n v="-70.945499999999996"/>
    <s v="Iquique, Chile"/>
    <x v="5"/>
    <x v="52"/>
    <n v="6"/>
    <n v="6.9"/>
    <n v="0"/>
    <n v="0.82799999999999996"/>
    <n v="119"/>
    <n v="28.42"/>
    <n v="0"/>
    <n v="5"/>
    <n v="0"/>
    <n v="732"/>
  </r>
  <r>
    <x v="691"/>
    <n v="7.4"/>
    <s v="27-02-2010 08:01"/>
    <n v="0"/>
    <n v="5"/>
    <m/>
    <n v="0"/>
    <n v="842"/>
    <s v="us"/>
    <n v="409"/>
    <n v="0"/>
    <n v="17.600000000000001"/>
    <s v="mwc"/>
    <n v="35"/>
    <n v="-37.773000000000003"/>
    <n v="-75.048000000000002"/>
    <s v="Lebu, Chile"/>
    <x v="5"/>
    <x v="52"/>
    <n v="6"/>
    <n v="7.4"/>
    <n v="409"/>
    <n v="0"/>
    <n v="17.600000000000001"/>
    <n v="35"/>
    <n v="0"/>
    <n v="5"/>
    <n v="0"/>
    <n v="842"/>
  </r>
  <r>
    <x v="692"/>
    <n v="6.6"/>
    <s v="18-06-2002 13:56"/>
    <n v="0"/>
    <n v="7"/>
    <m/>
    <n v="0"/>
    <n v="670"/>
    <s v="us"/>
    <n v="420"/>
    <n v="0"/>
    <n v="0"/>
    <s v="mwb"/>
    <n v="54"/>
    <n v="-30.805"/>
    <n v="-71.123999999999995"/>
    <s v="Monte Patria, Chile"/>
    <x v="5"/>
    <x v="52"/>
    <n v="6"/>
    <n v="6.6"/>
    <n v="420"/>
    <n v="0"/>
    <n v="0"/>
    <n v="54"/>
    <n v="0"/>
    <n v="7"/>
    <n v="0"/>
    <n v="670"/>
  </r>
  <r>
    <x v="693"/>
    <n v="6.8"/>
    <d v="2015-07-11T07:31:00"/>
    <n v="7"/>
    <n v="7"/>
    <s v="green"/>
    <n v="1"/>
    <n v="841"/>
    <s v="us"/>
    <n v="0"/>
    <n v="0.25800000000000001"/>
    <n v="41"/>
    <s v="mww"/>
    <n v="46"/>
    <n v="-30.8796"/>
    <n v="-71.451899999999995"/>
    <s v="Ovalle, Chile"/>
    <x v="5"/>
    <x v="52"/>
    <n v="6"/>
    <n v="6.8"/>
    <n v="0"/>
    <n v="0.25800000000000001"/>
    <n v="41"/>
    <n v="46"/>
    <n v="7"/>
    <n v="7"/>
    <n v="1"/>
    <n v="841"/>
  </r>
  <r>
    <x v="694"/>
    <n v="6.8"/>
    <s v="20-06-2003 13:30"/>
    <n v="0"/>
    <n v="7"/>
    <m/>
    <n v="0"/>
    <n v="711"/>
    <s v="us"/>
    <n v="398"/>
    <n v="0"/>
    <n v="39.1"/>
    <s v="mwc"/>
    <n v="33"/>
    <n v="-30.608000000000001"/>
    <n v="-71.637"/>
    <s v="Ovalle, Chile"/>
    <x v="5"/>
    <x v="52"/>
    <n v="6"/>
    <n v="6.8"/>
    <n v="398"/>
    <n v="0"/>
    <n v="39.1"/>
    <n v="33"/>
    <n v="0"/>
    <n v="7"/>
    <n v="0"/>
    <n v="711"/>
  </r>
  <r>
    <x v="695"/>
    <n v="7.6"/>
    <s v="25-12-2016 14:22"/>
    <n v="9"/>
    <n v="8"/>
    <s v="yellow"/>
    <n v="1"/>
    <n v="1152"/>
    <s v="us"/>
    <n v="0"/>
    <n v="0.35499999999999998"/>
    <n v="29"/>
    <s v="mww"/>
    <n v="38"/>
    <n v="-43.406399999999998"/>
    <n v="-73.941299999999998"/>
    <s v="Quell√≥n, Chile"/>
    <x v="5"/>
    <x v="52"/>
    <n v="6"/>
    <n v="7.6"/>
    <n v="0"/>
    <n v="0.35499999999999998"/>
    <n v="29"/>
    <n v="38"/>
    <n v="9"/>
    <n v="8"/>
    <n v="1"/>
    <n v="1152"/>
  </r>
  <r>
    <x v="696"/>
    <n v="8.8000000000000007"/>
    <s v="27-02-2010 06:34"/>
    <n v="8"/>
    <n v="8"/>
    <m/>
    <n v="0"/>
    <n v="1991"/>
    <s v="official"/>
    <n v="454"/>
    <n v="0"/>
    <n v="17.8"/>
    <s v="mww"/>
    <n v="22.9"/>
    <n v="-36.122"/>
    <n v="-72.897999999999996"/>
    <s v="Quirihue, Chile"/>
    <x v="5"/>
    <x v="52"/>
    <n v="6"/>
    <n v="8.8000000000000007"/>
    <n v="454"/>
    <n v="0"/>
    <n v="17.8"/>
    <n v="22.9"/>
    <n v="8"/>
    <n v="8"/>
    <n v="0"/>
    <n v="1991"/>
  </r>
  <r>
    <x v="697"/>
    <n v="6.8"/>
    <d v="2019-01-08T18:28:00"/>
    <n v="6"/>
    <n v="6"/>
    <s v="green"/>
    <n v="1"/>
    <n v="947"/>
    <s v="us"/>
    <n v="0"/>
    <n v="0.81699999999999995"/>
    <n v="35"/>
    <s v="mww"/>
    <n v="25"/>
    <n v="-34.236400000000003"/>
    <n v="-72.310199999999995"/>
    <s v="San Antonio, Chile"/>
    <x v="5"/>
    <x v="52"/>
    <n v="6"/>
    <n v="6.8"/>
    <n v="0"/>
    <n v="0.81699999999999995"/>
    <n v="35"/>
    <n v="25"/>
    <n v="6"/>
    <n v="6"/>
    <n v="1"/>
    <n v="947"/>
  </r>
  <r>
    <x v="698"/>
    <n v="6.8"/>
    <d v="2020-03-06T07:35:00"/>
    <n v="6"/>
    <n v="6"/>
    <s v="green"/>
    <n v="1"/>
    <n v="835"/>
    <s v="us"/>
    <n v="0"/>
    <n v="1.1639999999999999"/>
    <n v="21"/>
    <s v="mww"/>
    <n v="112"/>
    <n v="-23.296600000000002"/>
    <n v="-68.420400000000001"/>
    <s v="San Pedro de Atacama, Chile"/>
    <x v="5"/>
    <x v="52"/>
    <n v="6"/>
    <n v="6.8"/>
    <n v="0"/>
    <n v="1.1639999999999999"/>
    <n v="21"/>
    <n v="112"/>
    <n v="6"/>
    <n v="6"/>
    <n v="1"/>
    <n v="835"/>
  </r>
  <r>
    <x v="699"/>
    <n v="7"/>
    <d v="2010-11-03T14:55:00"/>
    <n v="7"/>
    <n v="7"/>
    <m/>
    <n v="0"/>
    <n v="874"/>
    <s v="us"/>
    <n v="403"/>
    <n v="0"/>
    <n v="17.100000000000001"/>
    <s v="mwc"/>
    <n v="18"/>
    <n v="-34.326000000000001"/>
    <n v="-71.799000000000007"/>
    <s v="Santa Cruz, Chile"/>
    <x v="5"/>
    <x v="52"/>
    <n v="6"/>
    <n v="7"/>
    <n v="403"/>
    <n v="0"/>
    <n v="17.100000000000001"/>
    <n v="18"/>
    <n v="7"/>
    <n v="7"/>
    <n v="0"/>
    <n v="874"/>
  </r>
  <r>
    <x v="700"/>
    <n v="6.9"/>
    <d v="2010-11-03T14:39:00"/>
    <n v="7"/>
    <n v="7"/>
    <m/>
    <n v="0"/>
    <n v="1280"/>
    <s v="us"/>
    <n v="415"/>
    <n v="0"/>
    <n v="12.5"/>
    <s v="mwc"/>
    <n v="11"/>
    <n v="-34.29"/>
    <n v="-71.891000000000005"/>
    <s v="Santa Cruz, Chile"/>
    <x v="5"/>
    <x v="52"/>
    <n v="6"/>
    <n v="6.9"/>
    <n v="415"/>
    <n v="0"/>
    <n v="12.5"/>
    <n v="11"/>
    <n v="7"/>
    <n v="7"/>
    <n v="0"/>
    <n v="1280"/>
  </r>
  <r>
    <x v="701"/>
    <n v="6.6"/>
    <d v="2010-05-03T11:47:00"/>
    <n v="7"/>
    <n v="7"/>
    <m/>
    <n v="0"/>
    <n v="736"/>
    <s v="us"/>
    <n v="255"/>
    <n v="0"/>
    <n v="27.8"/>
    <s v="mwb"/>
    <n v="18"/>
    <n v="-36.664999999999999"/>
    <n v="-73.373999999999995"/>
    <s v="Talcahuano, Chile"/>
    <x v="5"/>
    <x v="52"/>
    <n v="6"/>
    <n v="6.6"/>
    <n v="255"/>
    <n v="0"/>
    <n v="27.8"/>
    <n v="18"/>
    <n v="7"/>
    <n v="7"/>
    <n v="0"/>
    <n v="736"/>
  </r>
  <r>
    <x v="702"/>
    <n v="6.5"/>
    <s v="28-08-2004 13:41"/>
    <n v="0"/>
    <n v="7"/>
    <m/>
    <n v="0"/>
    <n v="650"/>
    <s v="us"/>
    <n v="349"/>
    <n v="0"/>
    <n v="30.1"/>
    <s v="mwb"/>
    <n v="5"/>
    <n v="-35.173000000000002"/>
    <n v="-70.525000000000006"/>
    <s v="Teno, Chile"/>
    <x v="5"/>
    <x v="52"/>
    <n v="6"/>
    <n v="6.5"/>
    <n v="349"/>
    <n v="0"/>
    <n v="30.1"/>
    <n v="5"/>
    <n v="0"/>
    <n v="7"/>
    <n v="0"/>
    <n v="650"/>
  </r>
  <r>
    <x v="703"/>
    <n v="7.7"/>
    <s v="14-11-2007 15:40"/>
    <n v="8"/>
    <n v="7"/>
    <m/>
    <n v="0"/>
    <n v="995"/>
    <s v="us"/>
    <n v="610"/>
    <n v="0"/>
    <n v="22.4"/>
    <s v="mwc"/>
    <n v="40"/>
    <n v="-22.247"/>
    <n v="-69.89"/>
    <s v="Tocopilla, Chile"/>
    <x v="5"/>
    <x v="52"/>
    <n v="6"/>
    <n v="7.7"/>
    <n v="610"/>
    <n v="0"/>
    <n v="22.4"/>
    <n v="40"/>
    <n v="8"/>
    <n v="7"/>
    <n v="0"/>
    <n v="995"/>
  </r>
  <r>
    <x v="704"/>
    <n v="6.9"/>
    <d v="2011-11-02T20:05:00"/>
    <n v="7"/>
    <n v="7"/>
    <m/>
    <n v="0"/>
    <n v="988"/>
    <s v="us"/>
    <n v="382"/>
    <n v="0"/>
    <n v="34.700000000000003"/>
    <s v="mww"/>
    <n v="26"/>
    <n v="-36.421999999999997"/>
    <n v="-72.959999999999994"/>
    <s v="Tom√©, Chile"/>
    <x v="5"/>
    <x v="52"/>
    <n v="6"/>
    <n v="6.9"/>
    <n v="382"/>
    <n v="0"/>
    <n v="34.700000000000003"/>
    <n v="26"/>
    <n v="7"/>
    <n v="7"/>
    <n v="0"/>
    <n v="988"/>
  </r>
  <r>
    <x v="705"/>
    <n v="6.7"/>
    <s v="16-03-2010 02:21"/>
    <n v="5"/>
    <n v="6"/>
    <m/>
    <n v="0"/>
    <n v="856"/>
    <s v="us"/>
    <n v="312"/>
    <n v="0"/>
    <n v="34.700000000000003"/>
    <s v="mwc"/>
    <n v="18"/>
    <n v="-36.216999999999999"/>
    <n v="-73.257000000000005"/>
    <s v="Tom√©, Chile"/>
    <x v="5"/>
    <x v="52"/>
    <n v="6"/>
    <n v="6.7"/>
    <n v="312"/>
    <n v="0"/>
    <n v="34.700000000000003"/>
    <n v="18"/>
    <n v="5"/>
    <n v="6"/>
    <n v="0"/>
    <n v="856"/>
  </r>
  <r>
    <x v="706"/>
    <n v="6.8"/>
    <d v="2020-01-09T04:09:00"/>
    <n v="6"/>
    <n v="7"/>
    <s v="green"/>
    <n v="1"/>
    <n v="824"/>
    <s v="us"/>
    <n v="0"/>
    <n v="0.312"/>
    <n v="69"/>
    <s v="mww"/>
    <n v="21"/>
    <n v="-28.013000000000002"/>
    <n v="-71.195800000000006"/>
    <s v="Vallenar, Chile"/>
    <x v="5"/>
    <x v="52"/>
    <n v="6"/>
    <n v="6.8"/>
    <n v="0"/>
    <n v="0.312"/>
    <n v="69"/>
    <n v="21"/>
    <n v="6"/>
    <n v="7"/>
    <n v="1"/>
    <n v="824"/>
  </r>
  <r>
    <x v="707"/>
    <n v="6.8"/>
    <s v="30-01-2013 20:15"/>
    <n v="6"/>
    <n v="7"/>
    <s v="green"/>
    <n v="0"/>
    <n v="771"/>
    <s v="us"/>
    <n v="596"/>
    <n v="0"/>
    <n v="19.3"/>
    <s v="mww"/>
    <n v="45"/>
    <n v="-28.094000000000001"/>
    <n v="-70.653000000000006"/>
    <s v="Vallenar, Chile"/>
    <x v="5"/>
    <x v="52"/>
    <n v="6"/>
    <n v="6.8"/>
    <n v="596"/>
    <n v="0"/>
    <n v="19.3"/>
    <n v="45"/>
    <n v="6"/>
    <n v="7"/>
    <n v="0"/>
    <n v="771"/>
  </r>
  <r>
    <x v="708"/>
    <n v="6.5"/>
    <d v="2020-01-09T21:09:00"/>
    <n v="6"/>
    <n v="6"/>
    <s v="green"/>
    <n v="0"/>
    <n v="674"/>
    <s v="us"/>
    <n v="0"/>
    <n v="0.38800000000000001"/>
    <n v="49"/>
    <s v="mww"/>
    <n v="16"/>
    <n v="-27.9285"/>
    <n v="-71.393699999999995"/>
    <s v="Vallenar, Chile"/>
    <x v="5"/>
    <x v="52"/>
    <n v="6"/>
    <n v="6.5"/>
    <n v="0"/>
    <n v="0.38800000000000001"/>
    <n v="49"/>
    <n v="16"/>
    <n v="6"/>
    <n v="6"/>
    <n v="0"/>
    <n v="674"/>
  </r>
  <r>
    <x v="709"/>
    <n v="6.9"/>
    <s v="24-04-2017 21:38"/>
    <n v="9"/>
    <n v="7"/>
    <s v="yellow"/>
    <n v="1"/>
    <n v="1642"/>
    <s v="us"/>
    <n v="0"/>
    <n v="0.35599999999999998"/>
    <n v="39"/>
    <s v="mww"/>
    <n v="28"/>
    <n v="-33.037500000000001"/>
    <n v="-72.061700000000002"/>
    <s v="Valpara√≠so, Chile"/>
    <x v="5"/>
    <x v="52"/>
    <n v="6"/>
    <n v="6.9"/>
    <n v="0"/>
    <n v="0.35599999999999998"/>
    <n v="39"/>
    <n v="28"/>
    <n v="9"/>
    <n v="7"/>
    <n v="1"/>
    <n v="1642"/>
  </r>
  <r>
    <x v="710"/>
    <n v="6.7"/>
    <s v="13-08-2013 15:43"/>
    <n v="4"/>
    <n v="5"/>
    <s v="green"/>
    <n v="1"/>
    <n v="715"/>
    <s v="us"/>
    <n v="0"/>
    <n v="3.7410000000000001"/>
    <n v="22"/>
    <s v="mww"/>
    <n v="12"/>
    <n v="5.7732000000000001"/>
    <n v="-78.1999"/>
    <s v="Bah√≠a Solano, Colombia"/>
    <x v="5"/>
    <x v="53"/>
    <n v="6"/>
    <n v="6.7"/>
    <n v="0"/>
    <n v="3.7410000000000001"/>
    <n v="22"/>
    <n v="12"/>
    <n v="4"/>
    <n v="5"/>
    <n v="1"/>
    <n v="715"/>
  </r>
  <r>
    <x v="711"/>
    <n v="7.2"/>
    <s v="15-11-2004 09:06"/>
    <n v="8"/>
    <n v="8"/>
    <m/>
    <n v="0"/>
    <n v="820"/>
    <s v="us"/>
    <n v="708"/>
    <n v="0"/>
    <n v="50.2"/>
    <s v="mwb"/>
    <n v="15"/>
    <n v="4.6950000000000003"/>
    <n v="-77.507999999999996"/>
    <s v="Pizarro, Colombia"/>
    <x v="5"/>
    <x v="53"/>
    <n v="6"/>
    <n v="7.2"/>
    <n v="708"/>
    <n v="0"/>
    <n v="50.2"/>
    <n v="15"/>
    <n v="8"/>
    <n v="8"/>
    <n v="0"/>
    <n v="820"/>
  </r>
  <r>
    <x v="712"/>
    <n v="7.3"/>
    <s v="30-09-2012 16:31"/>
    <n v="7"/>
    <n v="6"/>
    <m/>
    <n v="0"/>
    <n v="1221"/>
    <s v="us"/>
    <n v="934"/>
    <n v="0"/>
    <n v="15.5"/>
    <s v="mww"/>
    <n v="170"/>
    <n v="1.929"/>
    <n v="-76.361999999999995"/>
    <s v="San Agust√≠n, Colombia"/>
    <x v="5"/>
    <x v="53"/>
    <n v="6"/>
    <n v="7.3"/>
    <n v="934"/>
    <n v="0"/>
    <n v="15.5"/>
    <n v="170"/>
    <n v="7"/>
    <n v="6"/>
    <n v="0"/>
    <n v="1221"/>
  </r>
  <r>
    <x v="713"/>
    <n v="6.8"/>
    <d v="2007-10-09T01:49:00"/>
    <n v="5"/>
    <n v="6"/>
    <m/>
    <n v="0"/>
    <n v="747"/>
    <s v="us"/>
    <n v="653"/>
    <n v="0"/>
    <n v="17.600000000000001"/>
    <s v="mwc"/>
    <n v="15"/>
    <n v="2.9660000000000002"/>
    <n v="-77.962999999999994"/>
    <s v="Timbiqu√≠, Colombia"/>
    <x v="5"/>
    <x v="53"/>
    <n v="6"/>
    <n v="6.8"/>
    <n v="653"/>
    <n v="0"/>
    <n v="17.600000000000001"/>
    <n v="15"/>
    <n v="5"/>
    <n v="6"/>
    <n v="0"/>
    <n v="747"/>
  </r>
  <r>
    <x v="714"/>
    <n v="6.9"/>
    <d v="2013-09-02T14:16:00"/>
    <n v="5"/>
    <n v="5"/>
    <s v="green"/>
    <n v="1"/>
    <n v="904"/>
    <s v="us"/>
    <n v="562"/>
    <n v="0"/>
    <n v="23.7"/>
    <s v="mww"/>
    <n v="145"/>
    <n v="1.135"/>
    <n v="-77.393000000000001"/>
    <s v="Yacuanquer, Colombia"/>
    <x v="5"/>
    <x v="53"/>
    <n v="6"/>
    <n v="6.9"/>
    <n v="562"/>
    <n v="0"/>
    <n v="23.7"/>
    <n v="145"/>
    <n v="5"/>
    <n v="5"/>
    <n v="1"/>
    <n v="904"/>
  </r>
  <r>
    <x v="715"/>
    <n v="7.1"/>
    <d v="2010-12-08T11:54:00"/>
    <n v="6"/>
    <n v="5"/>
    <m/>
    <n v="0"/>
    <n v="945"/>
    <s v="us"/>
    <n v="672"/>
    <n v="0"/>
    <n v="12.4"/>
    <s v="mwc"/>
    <n v="206.7"/>
    <n v="-1.266"/>
    <n v="-77.305999999999997"/>
    <s v="Ecuador"/>
    <x v="5"/>
    <x v="54"/>
    <n v="6"/>
    <n v="7.1"/>
    <n v="672"/>
    <n v="0"/>
    <n v="12.4"/>
    <n v="206.7"/>
    <n v="6"/>
    <n v="5"/>
    <n v="0"/>
    <n v="945"/>
  </r>
  <r>
    <x v="716"/>
    <n v="6.8"/>
    <s v="16-11-2007 03:13"/>
    <n v="7"/>
    <n v="6"/>
    <m/>
    <n v="0"/>
    <n v="790"/>
    <s v="us"/>
    <n v="649"/>
    <n v="0"/>
    <n v="27"/>
    <s v="mwc"/>
    <n v="122.9"/>
    <n v="-2.3119999999999998"/>
    <n v="-77.837999999999994"/>
    <s v="Macas, Ecuador"/>
    <x v="5"/>
    <x v="54"/>
    <n v="6"/>
    <n v="6.8"/>
    <n v="649"/>
    <n v="0"/>
    <n v="27"/>
    <n v="122.9"/>
    <n v="7"/>
    <n v="6"/>
    <n v="0"/>
    <n v="790"/>
  </r>
  <r>
    <x v="717"/>
    <n v="7.8"/>
    <s v="16-04-2016 23:58"/>
    <n v="9"/>
    <n v="9"/>
    <s v="orange"/>
    <n v="1"/>
    <n v="1163"/>
    <s v="us"/>
    <n v="0"/>
    <n v="1.44"/>
    <n v="15"/>
    <s v="mww"/>
    <n v="20.59"/>
    <n v="0.38190000000000002"/>
    <n v="-79.921800000000005"/>
    <s v="Muisne, Ecuador"/>
    <x v="5"/>
    <x v="54"/>
    <n v="6"/>
    <n v="7.8"/>
    <n v="0"/>
    <n v="1.44"/>
    <n v="15"/>
    <n v="20.59"/>
    <n v="9"/>
    <n v="9"/>
    <n v="1"/>
    <n v="1163"/>
  </r>
  <r>
    <x v="718"/>
    <n v="6.7"/>
    <s v="18-05-2016 07:57"/>
    <n v="5"/>
    <n v="7"/>
    <s v="green"/>
    <n v="1"/>
    <n v="744"/>
    <s v="us"/>
    <n v="0"/>
    <n v="1.3520000000000001"/>
    <n v="21"/>
    <s v="mww"/>
    <n v="16"/>
    <n v="0.42609999999999998"/>
    <n v="-79.789900000000003"/>
    <s v="Muisne, Ecuador"/>
    <x v="5"/>
    <x v="54"/>
    <n v="6"/>
    <n v="6.7"/>
    <n v="0"/>
    <n v="1.3520000000000001"/>
    <n v="21"/>
    <n v="16"/>
    <n v="5"/>
    <n v="7"/>
    <n v="1"/>
    <n v="744"/>
  </r>
  <r>
    <x v="719"/>
    <n v="7.5"/>
    <s v="22-02-2019 10:17"/>
    <n v="7"/>
    <n v="7"/>
    <s v="yellow"/>
    <n v="1"/>
    <n v="1145"/>
    <s v="us"/>
    <n v="0"/>
    <n v="2.0449999999999999"/>
    <n v="15"/>
    <s v="mww"/>
    <n v="145"/>
    <n v="-2.1861999999999999"/>
    <n v="-77.0505"/>
    <s v="Palora, Ecuador"/>
    <x v="5"/>
    <x v="54"/>
    <n v="6"/>
    <n v="7.5"/>
    <n v="0"/>
    <n v="2.0449999999999999"/>
    <n v="15"/>
    <n v="145"/>
    <n v="7"/>
    <n v="7"/>
    <n v="1"/>
    <n v="1145"/>
  </r>
  <r>
    <x v="720"/>
    <n v="6.9"/>
    <s v="18-05-2016 16:46"/>
    <n v="8"/>
    <n v="7"/>
    <s v="green"/>
    <n v="1"/>
    <n v="780"/>
    <s v="us"/>
    <n v="0"/>
    <n v="1.1919999999999999"/>
    <n v="17"/>
    <s v="mww"/>
    <n v="29.95"/>
    <n v="0.49469999999999997"/>
    <n v="-79.616"/>
    <s v="Rosa Zarate, Ecuador"/>
    <x v="5"/>
    <x v="54"/>
    <n v="6"/>
    <n v="6.9"/>
    <n v="0"/>
    <n v="1.1919999999999999"/>
    <n v="17"/>
    <n v="29.95"/>
    <n v="8"/>
    <n v="7"/>
    <n v="1"/>
    <n v="780"/>
  </r>
  <r>
    <x v="721"/>
    <n v="6.7"/>
    <s v="13-06-2007 19:29"/>
    <n v="6"/>
    <n v="6"/>
    <m/>
    <n v="0"/>
    <n v="972"/>
    <s v="us"/>
    <n v="468"/>
    <n v="0"/>
    <n v="37.700000000000003"/>
    <s v="mwc"/>
    <n v="23"/>
    <n v="13.554"/>
    <n v="-90.617999999999995"/>
    <s v="Iztapa, Guatemala"/>
    <x v="5"/>
    <x v="30"/>
    <n v="6"/>
    <n v="6.7"/>
    <n v="468"/>
    <n v="0"/>
    <n v="37.700000000000003"/>
    <n v="23"/>
    <n v="6"/>
    <n v="6"/>
    <n v="0"/>
    <n v="972"/>
  </r>
  <r>
    <x v="722"/>
    <n v="6.8"/>
    <s v="22-06-2017 12:31"/>
    <n v="6"/>
    <n v="6"/>
    <s v="yellow"/>
    <n v="1"/>
    <n v="1034"/>
    <s v="us"/>
    <n v="0"/>
    <n v="1.0649999999999999"/>
    <n v="38"/>
    <s v="mww"/>
    <n v="38.119999999999997"/>
    <n v="13.7174"/>
    <n v="-90.971800000000002"/>
    <s v="Puerto San Jos√©, Guatemala"/>
    <x v="5"/>
    <x v="30"/>
    <n v="6"/>
    <n v="6.8"/>
    <n v="0"/>
    <n v="1.0649999999999999"/>
    <n v="38"/>
    <n v="38.119999999999997"/>
    <n v="6"/>
    <n v="6"/>
    <n v="1"/>
    <n v="1034"/>
  </r>
  <r>
    <x v="723"/>
    <n v="6.7"/>
    <s v="21-07-2021 21:15"/>
    <n v="6"/>
    <n v="6"/>
    <s v="green"/>
    <n v="1"/>
    <n v="830"/>
    <s v="us"/>
    <n v="0"/>
    <n v="1.395"/>
    <n v="61"/>
    <s v="mww"/>
    <n v="10"/>
    <n v="7.5903999999999998"/>
    <n v="-82.881299999999996"/>
    <s v="Burica, Panama"/>
    <x v="5"/>
    <x v="37"/>
    <n v="6"/>
    <n v="6.7"/>
    <n v="0"/>
    <n v="1.395"/>
    <n v="61"/>
    <n v="10"/>
    <n v="6"/>
    <n v="6"/>
    <n v="1"/>
    <n v="830"/>
  </r>
  <r>
    <x v="724"/>
    <n v="6.6"/>
    <d v="2001-05-07T13:53:00"/>
    <n v="0"/>
    <n v="7"/>
    <m/>
    <n v="0"/>
    <n v="670"/>
    <s v="us"/>
    <n v="324"/>
    <n v="0"/>
    <n v="0"/>
    <s v="mwc"/>
    <n v="62"/>
    <n v="-16.085999999999999"/>
    <n v="-73.986999999999995"/>
    <s v="Achanizo, Peru"/>
    <x v="5"/>
    <x v="55"/>
    <n v="6"/>
    <n v="6.6"/>
    <n v="324"/>
    <n v="0"/>
    <n v="0"/>
    <n v="62"/>
    <n v="0"/>
    <n v="7"/>
    <n v="0"/>
    <n v="670"/>
  </r>
  <r>
    <x v="725"/>
    <n v="6.8"/>
    <s v="24-08-2014 23:21"/>
    <n v="6"/>
    <n v="6"/>
    <s v="green"/>
    <n v="1"/>
    <n v="741"/>
    <s v="us"/>
    <n v="0"/>
    <n v="4.1070000000000002"/>
    <n v="18"/>
    <s v="mww"/>
    <n v="101"/>
    <n v="-14.598000000000001"/>
    <n v="-73.571399999999997"/>
    <s v="Aniso, Peru"/>
    <x v="5"/>
    <x v="55"/>
    <n v="6"/>
    <n v="6.8"/>
    <n v="0"/>
    <n v="4.1070000000000002"/>
    <n v="18"/>
    <n v="101"/>
    <n v="6"/>
    <n v="6"/>
    <n v="1"/>
    <n v="741"/>
  </r>
  <r>
    <x v="726"/>
    <n v="8.4"/>
    <s v="23-06-2001 20:33"/>
    <n v="0"/>
    <n v="8"/>
    <m/>
    <n v="0"/>
    <n v="1086"/>
    <s v="official"/>
    <n v="518"/>
    <n v="0"/>
    <n v="0"/>
    <s v="mww"/>
    <n v="33"/>
    <n v="-16.265000000000001"/>
    <n v="-73.641000000000005"/>
    <s v="Atico, Peru"/>
    <x v="5"/>
    <x v="55"/>
    <n v="6"/>
    <n v="8.4"/>
    <n v="518"/>
    <n v="0"/>
    <n v="0"/>
    <n v="33"/>
    <n v="0"/>
    <n v="8"/>
    <n v="0"/>
    <n v="1086"/>
  </r>
  <r>
    <x v="727"/>
    <n v="7.1"/>
    <s v="14-01-2018 09:18"/>
    <n v="9"/>
    <n v="7"/>
    <s v="green"/>
    <n v="1"/>
    <n v="1075"/>
    <s v="us"/>
    <n v="0"/>
    <n v="4.29"/>
    <n v="23"/>
    <s v="mww"/>
    <n v="39"/>
    <n v="-15.7675"/>
    <n v="-74.709199999999996"/>
    <s v="Atiquipa, Peru"/>
    <x v="5"/>
    <x v="55"/>
    <n v="6"/>
    <n v="7.1"/>
    <n v="0"/>
    <n v="4.29"/>
    <n v="23"/>
    <n v="39"/>
    <n v="9"/>
    <n v="7"/>
    <n v="1"/>
    <n v="1075"/>
  </r>
  <r>
    <x v="728"/>
    <n v="7.1"/>
    <s v="25-09-2013 16:42"/>
    <n v="8"/>
    <n v="7"/>
    <s v="green"/>
    <n v="1"/>
    <n v="843"/>
    <s v="us"/>
    <n v="0"/>
    <n v="4.4459999999999997"/>
    <n v="17"/>
    <s v="mww"/>
    <n v="40"/>
    <n v="-15.8385"/>
    <n v="-74.511200000000002"/>
    <s v="Atiquipa, Peru"/>
    <x v="5"/>
    <x v="55"/>
    <n v="6"/>
    <n v="7.1"/>
    <n v="0"/>
    <n v="4.4459999999999997"/>
    <n v="17"/>
    <n v="40"/>
    <n v="8"/>
    <n v="7"/>
    <n v="1"/>
    <n v="843"/>
  </r>
  <r>
    <x v="729"/>
    <n v="7.2"/>
    <s v="26-05-2022 12:02"/>
    <n v="7"/>
    <n v="5"/>
    <s v="green"/>
    <n v="1"/>
    <n v="876"/>
    <s v="us"/>
    <n v="144"/>
    <n v="2.4940000000000002"/>
    <n v="40"/>
    <s v="mww"/>
    <n v="236"/>
    <n v="-14.8628"/>
    <n v="-70.308099999999996"/>
    <s v="Az√°ngaro, Peru"/>
    <x v="5"/>
    <x v="55"/>
    <n v="6"/>
    <n v="7.2"/>
    <n v="144"/>
    <n v="2.4940000000000002"/>
    <n v="40"/>
    <n v="236"/>
    <n v="7"/>
    <n v="5"/>
    <n v="1"/>
    <n v="876"/>
  </r>
  <r>
    <x v="730"/>
    <n v="7"/>
    <d v="2019-01-03T08:50:00"/>
    <n v="7"/>
    <n v="4"/>
    <s v="green"/>
    <n v="1"/>
    <n v="869"/>
    <s v="us"/>
    <n v="0"/>
    <n v="2.5009999999999999"/>
    <n v="42"/>
    <s v="mww"/>
    <n v="267"/>
    <n v="-14.713100000000001"/>
    <n v="-70.154600000000002"/>
    <s v="Az√°ngaro, Peru"/>
    <x v="5"/>
    <x v="55"/>
    <n v="6"/>
    <n v="7"/>
    <n v="0"/>
    <n v="2.5009999999999999"/>
    <n v="42"/>
    <n v="267"/>
    <n v="7"/>
    <n v="4"/>
    <n v="1"/>
    <n v="869"/>
  </r>
  <r>
    <x v="731"/>
    <n v="7.5"/>
    <s v="28-11-2021 10:52"/>
    <n v="8"/>
    <n v="8"/>
    <s v="yellow"/>
    <n v="1"/>
    <n v="1094"/>
    <s v="us"/>
    <n v="0"/>
    <n v="4.9509999999999996"/>
    <n v="40"/>
    <s v="mww"/>
    <n v="126"/>
    <n v="-4.4897999999999998"/>
    <n v="-76.846100000000007"/>
    <s v="Barranca, Peru"/>
    <x v="5"/>
    <x v="55"/>
    <n v="6"/>
    <n v="7.5"/>
    <n v="0"/>
    <n v="4.9509999999999996"/>
    <n v="40"/>
    <n v="126"/>
    <n v="8"/>
    <n v="8"/>
    <n v="1"/>
    <n v="1094"/>
  </r>
  <r>
    <x v="732"/>
    <n v="6.5"/>
    <d v="2022-03-02T15:58:00"/>
    <n v="8"/>
    <n v="6"/>
    <s v="green"/>
    <n v="0"/>
    <n v="690"/>
    <s v="us"/>
    <n v="0"/>
    <n v="3.0259999999999998"/>
    <n v="22"/>
    <s v="mww"/>
    <n v="110"/>
    <n v="-4.4550000000000001"/>
    <n v="-76.939499999999995"/>
    <s v="Barranca, Peru"/>
    <x v="5"/>
    <x v="55"/>
    <n v="6"/>
    <n v="6.5"/>
    <n v="0"/>
    <n v="3.0259999999999998"/>
    <n v="22"/>
    <n v="110"/>
    <n v="8"/>
    <n v="6"/>
    <n v="0"/>
    <n v="690"/>
  </r>
  <r>
    <x v="733"/>
    <n v="7"/>
    <s v="24-08-2011 17:46"/>
    <n v="6"/>
    <n v="6"/>
    <m/>
    <n v="0"/>
    <n v="913"/>
    <s v="us"/>
    <n v="471"/>
    <n v="0"/>
    <n v="26.9"/>
    <s v="mww"/>
    <n v="147"/>
    <n v="-7.641"/>
    <n v="-74.525000000000006"/>
    <s v="Contamana, Peru"/>
    <x v="5"/>
    <x v="55"/>
    <n v="6"/>
    <n v="7"/>
    <n v="471"/>
    <n v="0"/>
    <n v="26.9"/>
    <n v="147"/>
    <n v="6"/>
    <n v="6"/>
    <n v="0"/>
    <n v="913"/>
  </r>
  <r>
    <x v="734"/>
    <n v="7.6"/>
    <s v="24-11-2015 22:50"/>
    <n v="5"/>
    <n v="4"/>
    <s v="green"/>
    <n v="0"/>
    <n v="896"/>
    <s v="us"/>
    <n v="0"/>
    <n v="2.8519999999999999"/>
    <n v="10"/>
    <s v="mww"/>
    <n v="620.55999999999995"/>
    <n v="-10.059799999999999"/>
    <n v="-71.0184"/>
    <s v="I√±apari, Peru"/>
    <x v="5"/>
    <x v="55"/>
    <n v="6"/>
    <n v="7.6"/>
    <n v="0"/>
    <n v="2.8519999999999999"/>
    <n v="10"/>
    <n v="620.55999999999995"/>
    <n v="5"/>
    <n v="4"/>
    <n v="0"/>
    <n v="896"/>
  </r>
  <r>
    <x v="735"/>
    <n v="7.6"/>
    <s v="24-11-2015 22:45"/>
    <n v="6"/>
    <n v="5"/>
    <s v="green"/>
    <n v="1"/>
    <n v="957"/>
    <s v="us"/>
    <n v="0"/>
    <n v="3.2869999999999999"/>
    <n v="10"/>
    <s v="mww"/>
    <n v="606.21"/>
    <n v="-10.5372"/>
    <n v="-70.943700000000007"/>
    <s v="I√±apari, Peru"/>
    <x v="5"/>
    <x v="55"/>
    <n v="6"/>
    <n v="7.6"/>
    <n v="0"/>
    <n v="3.2869999999999999"/>
    <n v="10"/>
    <n v="606.21"/>
    <n v="6"/>
    <n v="5"/>
    <n v="1"/>
    <n v="957"/>
  </r>
  <r>
    <x v="736"/>
    <n v="7.1"/>
    <s v="24-08-2018 09:04"/>
    <n v="0"/>
    <n v="3"/>
    <s v="green"/>
    <n v="0"/>
    <n v="776"/>
    <s v="us"/>
    <n v="0"/>
    <n v="3.77"/>
    <n v="12"/>
    <s v="mww"/>
    <n v="630"/>
    <n v="-11.035500000000001"/>
    <n v="-70.828400000000002"/>
    <s v="I√±apari, Peru"/>
    <x v="5"/>
    <x v="55"/>
    <n v="6"/>
    <n v="7.1"/>
    <n v="0"/>
    <n v="3.77"/>
    <n v="12"/>
    <n v="630"/>
    <n v="0"/>
    <n v="3"/>
    <n v="0"/>
    <n v="776"/>
  </r>
  <r>
    <x v="737"/>
    <n v="8"/>
    <s v="26-05-2019 07:41"/>
    <n v="9"/>
    <n v="8"/>
    <s v="orange"/>
    <n v="1"/>
    <n v="1890"/>
    <s v="us"/>
    <n v="0"/>
    <n v="3.18"/>
    <n v="17"/>
    <s v="mww"/>
    <n v="122.57"/>
    <n v="-5.8118999999999996"/>
    <n v="-75.2697"/>
    <s v="Navarro, Peru"/>
    <x v="5"/>
    <x v="55"/>
    <n v="6"/>
    <n v="8"/>
    <n v="0"/>
    <n v="3.18"/>
    <n v="17"/>
    <n v="122.57"/>
    <n v="9"/>
    <n v="8"/>
    <n v="1"/>
    <n v="1890"/>
  </r>
  <r>
    <x v="738"/>
    <n v="6.7"/>
    <s v="26-06-2001 04:18"/>
    <n v="0"/>
    <n v="6"/>
    <m/>
    <n v="0"/>
    <n v="691"/>
    <s v="us"/>
    <n v="422"/>
    <n v="0"/>
    <n v="0"/>
    <s v="mwc"/>
    <n v="24"/>
    <n v="-17.745000000000001"/>
    <n v="-71.649000000000001"/>
    <s v="Pacocha, Peru"/>
    <x v="5"/>
    <x v="55"/>
    <n v="6"/>
    <n v="6.7"/>
    <n v="422"/>
    <n v="0"/>
    <n v="0"/>
    <n v="24"/>
    <n v="0"/>
    <n v="6"/>
    <n v="0"/>
    <n v="691"/>
  </r>
  <r>
    <x v="739"/>
    <n v="7.6"/>
    <d v="2001-07-07T09:38:00"/>
    <n v="0"/>
    <n v="7"/>
    <m/>
    <n v="0"/>
    <n v="889"/>
    <s v="us"/>
    <n v="398"/>
    <n v="0"/>
    <n v="0"/>
    <s v="mwc"/>
    <n v="33"/>
    <n v="-17.542999999999999"/>
    <n v="-72.076999999999998"/>
    <s v="Punta de Bomb√≥n, Peru"/>
    <x v="5"/>
    <x v="55"/>
    <n v="6"/>
    <n v="7.6"/>
    <n v="398"/>
    <n v="0"/>
    <n v="0"/>
    <n v="33"/>
    <n v="0"/>
    <n v="7"/>
    <n v="0"/>
    <n v="889"/>
  </r>
  <r>
    <x v="740"/>
    <n v="8"/>
    <s v="15-08-2007 23:40"/>
    <n v="9"/>
    <n v="8"/>
    <m/>
    <n v="0"/>
    <n v="1385"/>
    <s v="us"/>
    <n v="625"/>
    <n v="0"/>
    <n v="25.7"/>
    <s v="mwc"/>
    <n v="39"/>
    <n v="-13.385999999999999"/>
    <n v="-76.602999999999994"/>
    <s v="San Vicente de Ca√±ete, Peru"/>
    <x v="5"/>
    <x v="55"/>
    <n v="6"/>
    <n v="8"/>
    <n v="625"/>
    <n v="0"/>
    <n v="25.7"/>
    <n v="39"/>
    <n v="9"/>
    <n v="8"/>
    <n v="0"/>
    <n v="1385"/>
  </r>
  <r>
    <x v="741"/>
    <n v="6.7"/>
    <s v="20-10-2006 10:48"/>
    <n v="5"/>
    <n v="6"/>
    <m/>
    <n v="0"/>
    <n v="732"/>
    <s v="us"/>
    <n v="444"/>
    <n v="0"/>
    <n v="53.4"/>
    <s v="mwc"/>
    <n v="23"/>
    <n v="-13.457000000000001"/>
    <n v="-76.677000000000007"/>
    <s v="San Vicente de Ca√±ete, Peru"/>
    <x v="5"/>
    <x v="55"/>
    <n v="6"/>
    <n v="6.7"/>
    <n v="444"/>
    <n v="0"/>
    <n v="53.4"/>
    <n v="23"/>
    <n v="5"/>
    <n v="6"/>
    <n v="0"/>
    <n v="732"/>
  </r>
  <r>
    <x v="742"/>
    <n v="6.9"/>
    <s v="28-10-2011 18:54"/>
    <n v="6"/>
    <n v="7"/>
    <m/>
    <n v="0"/>
    <n v="847"/>
    <s v="us"/>
    <n v="474"/>
    <n v="0"/>
    <n v="46.5"/>
    <s v="mww"/>
    <n v="24"/>
    <n v="-14.438000000000001"/>
    <n v="-75.965999999999994"/>
    <s v="Santiago, Peru"/>
    <x v="5"/>
    <x v="55"/>
    <n v="6"/>
    <n v="6.9"/>
    <n v="474"/>
    <n v="0"/>
    <n v="46.5"/>
    <n v="24"/>
    <n v="6"/>
    <n v="7"/>
    <n v="0"/>
    <n v="847"/>
  </r>
  <r>
    <x v="743"/>
    <n v="7.5"/>
    <s v="26-09-2005 01:55"/>
    <n v="8"/>
    <n v="7"/>
    <m/>
    <n v="0"/>
    <n v="1018"/>
    <s v="us"/>
    <n v="696"/>
    <n v="0"/>
    <n v="26.2"/>
    <s v="mwb"/>
    <n v="115"/>
    <n v="-5.6779999999999999"/>
    <n v="-76.397999999999996"/>
    <s v="Yurimaguas, Peru"/>
    <x v="5"/>
    <x v="55"/>
    <n v="6"/>
    <n v="7.5"/>
    <n v="696"/>
    <n v="0"/>
    <n v="26.2"/>
    <n v="115"/>
    <n v="8"/>
    <n v="7"/>
    <n v="0"/>
    <n v="1018"/>
  </r>
  <r>
    <x v="744"/>
    <n v="7.3"/>
    <s v="21-08-2018 21:31"/>
    <n v="8"/>
    <n v="6"/>
    <s v="yellow"/>
    <n v="1"/>
    <n v="1570"/>
    <s v="us"/>
    <n v="0"/>
    <n v="1.8220000000000001"/>
    <n v="15"/>
    <s v="mww"/>
    <n v="146.82"/>
    <n v="10.773099999999999"/>
    <n v="-62.901899999999998"/>
    <s v="Car√∫pano, Venezuela"/>
    <x v="5"/>
    <x v="56"/>
    <n v="6"/>
    <n v="7.3"/>
    <n v="0"/>
    <n v="1.8220000000000001"/>
    <n v="15"/>
    <n v="146.82"/>
    <n v="8"/>
    <n v="6"/>
    <n v="1"/>
    <n v="1570"/>
  </r>
  <r>
    <x v="745"/>
    <n v="7.1"/>
    <s v="22-08-2021 21:33"/>
    <n v="1"/>
    <n v="4"/>
    <s v="green"/>
    <n v="1"/>
    <n v="776"/>
    <s v="us"/>
    <n v="0"/>
    <n v="9.7989999999999995"/>
    <n v="32"/>
    <s v="mww"/>
    <n v="6"/>
    <n v="-60.302599999999998"/>
    <n v="-24.999199999999998"/>
    <s v="South Sandwich Islands region"/>
    <x v="6"/>
    <x v="22"/>
    <n v="7"/>
    <n v="7.1"/>
    <n v="0"/>
    <n v="9.7989999999999995"/>
    <n v="32"/>
    <n v="6"/>
    <n v="1"/>
    <n v="4"/>
    <n v="1"/>
    <n v="776"/>
  </r>
  <r>
    <x v="746"/>
    <n v="6.6"/>
    <s v="22-08-2021 00:45"/>
    <n v="1"/>
    <n v="3"/>
    <s v="green"/>
    <n v="1"/>
    <n v="670"/>
    <s v="us"/>
    <n v="0"/>
    <n v="8.8650000000000002"/>
    <n v="19"/>
    <s v="mww"/>
    <n v="7"/>
    <n v="-60.1023"/>
    <n v="-24.460799999999999"/>
    <s v="South Sandwich Islands region"/>
    <x v="6"/>
    <x v="22"/>
    <n v="7"/>
    <n v="6.6"/>
    <n v="0"/>
    <n v="8.8650000000000002"/>
    <n v="19"/>
    <n v="7"/>
    <n v="1"/>
    <n v="3"/>
    <n v="1"/>
    <n v="670"/>
  </r>
  <r>
    <x v="747"/>
    <n v="6.9"/>
    <s v="23-01-2021 23:36"/>
    <n v="9"/>
    <n v="5"/>
    <s v="green"/>
    <n v="1"/>
    <n v="739"/>
    <s v="us"/>
    <n v="0"/>
    <n v="1.55"/>
    <n v="16"/>
    <s v="mww"/>
    <n v="15"/>
    <n v="-61.848399999999998"/>
    <n v="-55.558999999999997"/>
    <s v="South Shetland Islands"/>
    <x v="6"/>
    <x v="22"/>
    <n v="7"/>
    <n v="6.9"/>
    <n v="0"/>
    <n v="1.55"/>
    <n v="16"/>
    <n v="15"/>
    <n v="9"/>
    <n v="5"/>
    <n v="1"/>
    <n v="739"/>
  </r>
  <r>
    <x v="745"/>
    <n v="7.1"/>
    <d v="2018-11-12T02:26:00"/>
    <n v="0"/>
    <n v="5"/>
    <s v="green"/>
    <n v="1"/>
    <n v="776"/>
    <s v="us"/>
    <n v="0"/>
    <n v="7.0430000000000001"/>
    <n v="20"/>
    <s v="mww"/>
    <n v="133"/>
    <n v="-58.544600000000003"/>
    <n v="-26.3856"/>
    <s v="South Sandwich Islands region"/>
    <x v="6"/>
    <x v="22"/>
    <n v="7"/>
    <n v="7.1"/>
    <n v="0"/>
    <n v="7.0430000000000001"/>
    <n v="20"/>
    <n v="133"/>
    <n v="0"/>
    <n v="5"/>
    <n v="1"/>
    <n v="776"/>
  </r>
  <r>
    <x v="748"/>
    <n v="6.5"/>
    <s v="13-12-2017 18:03"/>
    <n v="1"/>
    <n v="5"/>
    <s v="green"/>
    <n v="1"/>
    <n v="651"/>
    <s v="us"/>
    <n v="0"/>
    <n v="17.654"/>
    <n v="23"/>
    <s v="mww"/>
    <n v="17"/>
    <n v="-54.218899999999998"/>
    <n v="2.1627999999999998"/>
    <s v="Bouvet Island region"/>
    <x v="6"/>
    <x v="22"/>
    <n v="7"/>
    <n v="6.5"/>
    <n v="0"/>
    <n v="17.654"/>
    <n v="23"/>
    <n v="17"/>
    <n v="1"/>
    <n v="5"/>
    <n v="1"/>
    <n v="651"/>
  </r>
  <r>
    <x v="749"/>
    <n v="8.1"/>
    <d v="2021-12-08T18:35:00"/>
    <n v="0"/>
    <n v="7"/>
    <s v="green"/>
    <n v="0"/>
    <n v="1009"/>
    <s v="us"/>
    <n v="0"/>
    <n v="7.4630000000000001"/>
    <n v="78"/>
    <s v="mww"/>
    <n v="22.79"/>
    <n v="-58.415700000000001"/>
    <n v="-25.320599999999999"/>
    <s v="South Sandwich Islands region"/>
    <x v="6"/>
    <x v="22"/>
    <n v="7"/>
    <n v="8.1"/>
    <n v="0"/>
    <n v="7.4630000000000001"/>
    <n v="78"/>
    <n v="22.79"/>
    <n v="0"/>
    <n v="7"/>
    <n v="0"/>
    <n v="1009"/>
  </r>
  <r>
    <x v="750"/>
    <n v="7.5"/>
    <d v="2021-12-08T18:32:00"/>
    <n v="9"/>
    <n v="6"/>
    <s v="green"/>
    <n v="1"/>
    <n v="868"/>
    <s v="us"/>
    <n v="0"/>
    <n v="7.2270000000000003"/>
    <n v="38"/>
    <s v="mww"/>
    <n v="47.23"/>
    <n v="-57.5959"/>
    <n v="-25.1874"/>
    <s v="South Sandwich Islands region"/>
    <x v="6"/>
    <x v="22"/>
    <n v="7"/>
    <n v="7.5"/>
    <n v="0"/>
    <n v="7.2270000000000003"/>
    <n v="38"/>
    <n v="47.23"/>
    <n v="9"/>
    <n v="6"/>
    <n v="1"/>
    <n v="868"/>
  </r>
  <r>
    <x v="751"/>
    <n v="7.2"/>
    <s v="28-05-2016 09:46"/>
    <n v="1"/>
    <n v="6"/>
    <s v="green"/>
    <n v="1"/>
    <n v="798"/>
    <s v="us"/>
    <n v="0"/>
    <n v="5.8029999999999999"/>
    <n v="24"/>
    <s v="mww"/>
    <n v="78"/>
    <n v="-56.240900000000003"/>
    <n v="-26.935300000000002"/>
    <s v="South Sandwich Islands region"/>
    <x v="6"/>
    <x v="22"/>
    <n v="7"/>
    <n v="7.2"/>
    <n v="0"/>
    <n v="5.8029999999999999"/>
    <n v="24"/>
    <n v="78"/>
    <n v="1"/>
    <n v="6"/>
    <n v="1"/>
    <n v="798"/>
  </r>
  <r>
    <x v="752"/>
    <n v="6.9"/>
    <s v="16-08-2021 11:10"/>
    <n v="6"/>
    <n v="4"/>
    <s v="green"/>
    <n v="1"/>
    <n v="734"/>
    <s v="us"/>
    <n v="0"/>
    <n v="8.3629999999999995"/>
    <n v="48"/>
    <s v="mww"/>
    <n v="16.7"/>
    <n v="-58.381399999999999"/>
    <n v="-23.331800000000001"/>
    <s v="South Sandwich Islands region"/>
    <x v="6"/>
    <x v="22"/>
    <n v="7"/>
    <n v="6.9"/>
    <n v="0"/>
    <n v="8.3629999999999995"/>
    <n v="48"/>
    <n v="16.7"/>
    <n v="6"/>
    <n v="4"/>
    <n v="1"/>
    <n v="734"/>
  </r>
  <r>
    <x v="752"/>
    <n v="6.9"/>
    <s v="29-06-2014 07:52"/>
    <n v="0"/>
    <n v="5"/>
    <s v="green"/>
    <n v="1"/>
    <n v="732"/>
    <s v="us"/>
    <n v="0"/>
    <n v="4.8380000000000001"/>
    <n v="25"/>
    <s v="mww"/>
    <n v="8"/>
    <n v="-55.470300000000002"/>
    <n v="-28.366900000000001"/>
    <s v="South Sandwich Islands region"/>
    <x v="6"/>
    <x v="22"/>
    <n v="7"/>
    <n v="6.9"/>
    <n v="0"/>
    <n v="4.8380000000000001"/>
    <n v="25"/>
    <n v="8"/>
    <n v="0"/>
    <n v="5"/>
    <n v="1"/>
    <n v="732"/>
  </r>
  <r>
    <x v="753"/>
    <n v="6.5"/>
    <d v="2017-10-05T23:23:00"/>
    <n v="0"/>
    <n v="4"/>
    <s v="green"/>
    <n v="1"/>
    <n v="650"/>
    <s v="us"/>
    <n v="0"/>
    <n v="6.4889999999999999"/>
    <n v="17"/>
    <s v="mww"/>
    <n v="15"/>
    <n v="-56.414000000000001"/>
    <n v="-25.743200000000002"/>
    <s v="South Sandwich Islands region"/>
    <x v="6"/>
    <x v="22"/>
    <n v="7"/>
    <n v="6.5"/>
    <n v="0"/>
    <n v="6.4889999999999999"/>
    <n v="17"/>
    <n v="15"/>
    <n v="0"/>
    <n v="4"/>
    <n v="1"/>
    <n v="650"/>
  </r>
  <r>
    <x v="754"/>
    <n v="6.9"/>
    <s v="18-09-2020 21:43"/>
    <n v="0"/>
    <n v="3"/>
    <s v="green"/>
    <n v="1"/>
    <n v="732"/>
    <s v="us"/>
    <n v="0"/>
    <n v="11.255000000000001"/>
    <n v="16"/>
    <s v="mww"/>
    <n v="10"/>
    <n v="0.96040000000000003"/>
    <n v="-26.833200000000001"/>
    <s v="central Mid-Atlantic Ridge"/>
    <x v="7"/>
    <x v="22"/>
    <n v="8"/>
    <n v="6.9"/>
    <n v="0"/>
    <n v="11.255000000000001"/>
    <n v="16"/>
    <n v="10"/>
    <n v="0"/>
    <n v="3"/>
    <n v="1"/>
    <n v="732"/>
  </r>
  <r>
    <x v="755"/>
    <n v="6.5"/>
    <s v="30-08-2020 21:20"/>
    <n v="4"/>
    <n v="5"/>
    <s v="green"/>
    <n v="0"/>
    <n v="651"/>
    <s v="us"/>
    <n v="0"/>
    <n v="15.394"/>
    <n v="31"/>
    <s v="mww"/>
    <n v="10"/>
    <n v="0.86960000000000004"/>
    <n v="-29.704599999999999"/>
    <s v="central Mid-Atlantic Ridge"/>
    <x v="7"/>
    <x v="22"/>
    <n v="8"/>
    <n v="6.5"/>
    <n v="0"/>
    <n v="15.394"/>
    <n v="31"/>
    <n v="10"/>
    <n v="4"/>
    <n v="5"/>
    <n v="0"/>
    <n v="651"/>
  </r>
  <r>
    <x v="756"/>
    <n v="6.7"/>
    <d v="2021-12-05T14:05:00"/>
    <n v="9"/>
    <n v="3"/>
    <s v="green"/>
    <n v="0"/>
    <n v="694"/>
    <s v="us"/>
    <n v="0"/>
    <n v="10.669"/>
    <n v="45"/>
    <s v="mww"/>
    <n v="10"/>
    <n v="-17.249500000000001"/>
    <n v="66.374499999999998"/>
    <s v="Mauritius - Reunion region"/>
    <x v="7"/>
    <x v="22"/>
    <n v="8"/>
    <n v="6.7"/>
    <n v="0"/>
    <n v="10.669"/>
    <n v="45"/>
    <n v="10"/>
    <n v="9"/>
    <n v="3"/>
    <n v="0"/>
    <n v="694"/>
  </r>
  <r>
    <x v="757"/>
    <n v="6.9"/>
    <d v="2014-03-08T00:22:00"/>
    <n v="0"/>
    <n v="4"/>
    <s v="green"/>
    <n v="1"/>
    <n v="732"/>
    <s v="us"/>
    <n v="0"/>
    <n v="6.3929999999999998"/>
    <n v="12"/>
    <s v="mww"/>
    <n v="13"/>
    <n v="0.82950000000000002"/>
    <n v="146.16900000000001"/>
    <s v="Micronesia region"/>
    <x v="7"/>
    <x v="22"/>
    <n v="8"/>
    <n v="6.9"/>
    <n v="0"/>
    <n v="6.3929999999999998"/>
    <n v="12"/>
    <n v="13"/>
    <n v="0"/>
    <n v="4"/>
    <n v="1"/>
    <n v="732"/>
  </r>
  <r>
    <x v="758"/>
    <n v="6.6"/>
    <s v="24-06-2013 22:04"/>
    <n v="0"/>
    <n v="7"/>
    <s v="green"/>
    <n v="1"/>
    <n v="670"/>
    <s v="us"/>
    <n v="111"/>
    <n v="0"/>
    <n v="16"/>
    <s v="mww"/>
    <n v="10"/>
    <n v="10.701000000000001"/>
    <n v="-42.594000000000001"/>
    <s v="northern Mid-Atlantic Ridge"/>
    <x v="7"/>
    <x v="22"/>
    <n v="8"/>
    <n v="6.6"/>
    <n v="111"/>
    <n v="0"/>
    <n v="16"/>
    <n v="10"/>
    <n v="0"/>
    <n v="7"/>
    <n v="1"/>
    <n v="670"/>
  </r>
  <r>
    <x v="759"/>
    <n v="8.6"/>
    <d v="2012-11-04T08:38:00"/>
    <n v="9"/>
    <n v="7"/>
    <s v="yellow"/>
    <n v="0"/>
    <n v="2048"/>
    <s v="official"/>
    <n v="499"/>
    <n v="0"/>
    <n v="16.600000000000001"/>
    <s v="mw"/>
    <n v="20"/>
    <n v="2.327"/>
    <n v="93.063000000000002"/>
    <s v="off the west coast of northern Sumatra"/>
    <x v="7"/>
    <x v="22"/>
    <n v="8"/>
    <n v="8.6"/>
    <n v="499"/>
    <n v="0"/>
    <n v="16.600000000000001"/>
    <n v="20"/>
    <n v="9"/>
    <n v="7"/>
    <n v="0"/>
    <n v="2048"/>
  </r>
  <r>
    <x v="760"/>
    <n v="8.1999999999999993"/>
    <d v="2012-11-04T10:43:00"/>
    <n v="9"/>
    <n v="6"/>
    <s v="green"/>
    <n v="0"/>
    <n v="1213"/>
    <s v="us"/>
    <n v="341"/>
    <n v="0"/>
    <n v="14.9"/>
    <s v="mwc"/>
    <n v="25.1"/>
    <n v="0.80200000000000005"/>
    <n v="92.462999999999994"/>
    <s v="off the west coast of northern Sumatra"/>
    <x v="7"/>
    <x v="22"/>
    <n v="8"/>
    <n v="8.1999999999999993"/>
    <n v="341"/>
    <n v="0"/>
    <n v="14.9"/>
    <n v="25.1"/>
    <n v="9"/>
    <n v="6"/>
    <n v="0"/>
    <n v="1213"/>
  </r>
  <r>
    <x v="761"/>
    <n v="7.2"/>
    <d v="2012-10-01T18:36:00"/>
    <n v="4"/>
    <n v="4"/>
    <m/>
    <n v="0"/>
    <n v="838"/>
    <s v="us"/>
    <n v="443"/>
    <n v="0"/>
    <n v="17"/>
    <s v="mww"/>
    <n v="19"/>
    <n v="2.4329999999999998"/>
    <n v="93.21"/>
    <s v="off the west coast of northern Sumatra"/>
    <x v="7"/>
    <x v="22"/>
    <n v="8"/>
    <n v="7.2"/>
    <n v="443"/>
    <n v="0"/>
    <n v="17"/>
    <n v="19"/>
    <n v="4"/>
    <n v="4"/>
    <n v="0"/>
    <n v="838"/>
  </r>
  <r>
    <x v="762"/>
    <n v="6.7"/>
    <d v="2018-09-11T01:49:00"/>
    <n v="3"/>
    <n v="4"/>
    <s v="green"/>
    <n v="1"/>
    <n v="693"/>
    <s v="us"/>
    <n v="0"/>
    <n v="7.8529999999999998"/>
    <n v="19"/>
    <s v="mww"/>
    <n v="10"/>
    <n v="71.631200000000007"/>
    <n v="-11.2431"/>
    <s v="Olonkinbyen, Svalbard and Jan Mayen"/>
    <x v="7"/>
    <x v="22"/>
    <n v="8"/>
    <n v="6.7"/>
    <n v="0"/>
    <n v="7.8529999999999998"/>
    <n v="19"/>
    <n v="10"/>
    <n v="3"/>
    <n v="4"/>
    <n v="1"/>
    <n v="693"/>
  </r>
  <r>
    <x v="763"/>
    <n v="7.4"/>
    <s v="18-06-2020 12:49"/>
    <n v="7"/>
    <n v="7"/>
    <s v="green"/>
    <n v="1"/>
    <n v="873"/>
    <s v="us"/>
    <n v="0"/>
    <n v="4.0350000000000001"/>
    <n v="23"/>
    <s v="mww"/>
    <n v="10"/>
    <n v="-33.293799999999997"/>
    <n v="-177.83799999999999"/>
    <s v="the Kermadec Islands"/>
    <x v="7"/>
    <x v="22"/>
    <n v="8"/>
    <n v="7.4"/>
    <n v="0"/>
    <n v="4.0350000000000001"/>
    <n v="23"/>
    <n v="10"/>
    <n v="7"/>
    <n v="7"/>
    <n v="1"/>
    <n v="873"/>
  </r>
  <r>
    <x v="764"/>
    <n v="6.6"/>
    <s v="14-08-2022 13:44"/>
    <n v="7"/>
    <n v="6"/>
    <s v="green"/>
    <n v="1"/>
    <n v="672"/>
    <s v="us"/>
    <n v="68"/>
    <n v="5.2930000000000001"/>
    <n v="34"/>
    <s v="mww"/>
    <n v="30"/>
    <n v="-32.6922"/>
    <n v="-178.959"/>
    <s v="the Kermadec Islands"/>
    <x v="7"/>
    <x v="22"/>
    <n v="8"/>
    <n v="6.6"/>
    <n v="68"/>
    <n v="5.2930000000000001"/>
    <n v="34"/>
    <n v="30"/>
    <n v="7"/>
    <n v="6"/>
    <n v="1"/>
    <n v="672"/>
  </r>
  <r>
    <x v="765"/>
    <n v="6.5"/>
    <d v="2014-02-02T09:26:00"/>
    <n v="0"/>
    <n v="3"/>
    <s v="green"/>
    <n v="1"/>
    <n v="650"/>
    <s v="us"/>
    <n v="0"/>
    <n v="3.6509999999999998"/>
    <n v="22"/>
    <s v="mww"/>
    <n v="44.26"/>
    <n v="-32.907600000000002"/>
    <n v="-177.881"/>
    <s v="the Kermadec Islands"/>
    <x v="7"/>
    <x v="22"/>
    <n v="8"/>
    <n v="6.5"/>
    <n v="0"/>
    <n v="3.6509999999999998"/>
    <n v="22"/>
    <n v="44.26"/>
    <n v="0"/>
    <n v="3"/>
    <n v="1"/>
    <n v="650"/>
  </r>
  <r>
    <x v="766"/>
    <n v="8.1"/>
    <s v="13-01-2007 04:23"/>
    <n v="4"/>
    <n v="5"/>
    <m/>
    <n v="0"/>
    <n v="1034"/>
    <s v="us"/>
    <n v="606"/>
    <n v="0"/>
    <n v="14"/>
    <s v="mwc"/>
    <n v="10"/>
    <n v="46.243000000000002"/>
    <n v="154.524"/>
    <s v="the Kuril Islands"/>
    <x v="7"/>
    <x v="22"/>
    <n v="8"/>
    <n v="8.1"/>
    <n v="606"/>
    <n v="0"/>
    <n v="14"/>
    <n v="10"/>
    <n v="4"/>
    <n v="5"/>
    <n v="0"/>
    <n v="1034"/>
  </r>
  <r>
    <x v="208"/>
    <n v="6.9"/>
    <s v="19-05-2022 10:13"/>
    <n v="2"/>
    <n v="5"/>
    <s v="green"/>
    <n v="1"/>
    <n v="733"/>
    <s v="us"/>
    <n v="127"/>
    <n v="0.371"/>
    <n v="45"/>
    <s v="mww"/>
    <n v="10"/>
    <n v="-54.1325"/>
    <n v="159.02699999999999"/>
    <m/>
    <x v="7"/>
    <x v="22"/>
    <n v="8"/>
    <n v="6.9"/>
    <n v="127"/>
    <n v="0.371"/>
    <n v="45"/>
    <n v="10"/>
    <n v="2"/>
    <n v="5"/>
    <n v="1"/>
    <n v="733"/>
  </r>
  <r>
    <x v="208"/>
    <n v="6.9"/>
    <s v="28-05-2016 05:38"/>
    <n v="3"/>
    <n v="3"/>
    <s v="green"/>
    <n v="1"/>
    <n v="733"/>
    <s v="us"/>
    <n v="0"/>
    <n v="5.4850000000000003"/>
    <n v="19"/>
    <s v="mww"/>
    <n v="405.69"/>
    <n v="-21.9724"/>
    <n v="-178.20400000000001"/>
    <m/>
    <x v="7"/>
    <x v="22"/>
    <n v="8"/>
    <n v="6.9"/>
    <n v="0"/>
    <n v="5.4850000000000003"/>
    <n v="19"/>
    <n v="405.69"/>
    <n v="3"/>
    <n v="3"/>
    <n v="1"/>
    <n v="733"/>
  </r>
  <r>
    <x v="767"/>
    <n v="6.6"/>
    <d v="2022-09-11T10:14:00"/>
    <n v="0"/>
    <n v="2"/>
    <s v="green"/>
    <n v="1"/>
    <n v="670"/>
    <s v="us"/>
    <n v="131"/>
    <n v="4.9980000000000002"/>
    <n v="27"/>
    <s v="mww"/>
    <n v="624.46400000000006"/>
    <n v="-25.594799999999999"/>
    <n v="178.27799999999999"/>
    <m/>
    <x v="7"/>
    <x v="22"/>
    <n v="8"/>
    <n v="6.6"/>
    <n v="131"/>
    <n v="4.9980000000000002"/>
    <n v="27"/>
    <n v="624.46400000000006"/>
    <n v="0"/>
    <n v="2"/>
    <n v="1"/>
    <n v="67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6">
  <r>
    <x v="0"/>
    <s v="0101"/>
    <n v="0"/>
    <n v="2"/>
    <n v="7.5"/>
    <n v="33"/>
  </r>
  <r>
    <x v="0"/>
    <s v="0101"/>
    <n v="0"/>
    <n v="2"/>
    <n v="6.8"/>
    <n v="33"/>
  </r>
  <r>
    <x v="1"/>
    <s v="0113"/>
    <n v="0"/>
    <n v="4"/>
    <n v="7.7"/>
    <n v="60"/>
  </r>
  <r>
    <x v="2"/>
    <s v="0116"/>
    <n v="0"/>
    <n v="2"/>
    <n v="6.9"/>
    <n v="28"/>
  </r>
  <r>
    <x v="3"/>
    <s v="0126"/>
    <n v="0"/>
    <n v="2"/>
    <n v="7.7"/>
    <n v="16"/>
  </r>
  <r>
    <x v="4"/>
    <s v="0212"/>
    <n v="0"/>
    <n v="2"/>
    <n v="6.5"/>
    <n v="123.8"/>
  </r>
  <r>
    <x v="5"/>
    <s v="0213"/>
    <n v="0"/>
    <n v="4"/>
    <n v="6.6"/>
    <n v="10"/>
  </r>
  <r>
    <x v="5"/>
    <s v="0213"/>
    <n v="0"/>
    <n v="2"/>
    <n v="7.4"/>
    <n v="36"/>
  </r>
  <r>
    <x v="6"/>
    <s v="0224"/>
    <n v="0"/>
    <n v="2"/>
    <n v="7.1"/>
    <n v="35"/>
  </r>
  <r>
    <x v="7"/>
    <s v="0228"/>
    <n v="0"/>
    <n v="4"/>
    <n v="6.8"/>
    <n v="51.798000000000002"/>
  </r>
  <r>
    <x v="8"/>
    <s v="0319"/>
    <n v="0"/>
    <n v="2"/>
    <n v="6.5"/>
    <n v="33"/>
  </r>
  <r>
    <x v="9"/>
    <s v="0324"/>
    <n v="0"/>
    <n v="2"/>
    <n v="6.8"/>
    <n v="50"/>
  </r>
  <r>
    <x v="10"/>
    <s v="0419"/>
    <n v="0"/>
    <n v="5"/>
    <n v="6.7"/>
    <n v="17"/>
  </r>
  <r>
    <x v="11"/>
    <s v="0507"/>
    <n v="0"/>
    <n v="6"/>
    <n v="6.6"/>
    <n v="62"/>
  </r>
  <r>
    <x v="12"/>
    <s v="0623"/>
    <n v="0"/>
    <n v="6"/>
    <n v="8.4"/>
    <n v="33"/>
  </r>
  <r>
    <x v="13"/>
    <s v="0626"/>
    <n v="0"/>
    <n v="6"/>
    <n v="6.7"/>
    <n v="24"/>
  </r>
  <r>
    <x v="14"/>
    <s v="0707"/>
    <n v="0"/>
    <n v="6"/>
    <n v="7.6"/>
    <n v="33"/>
  </r>
  <r>
    <x v="15"/>
    <s v="0726"/>
    <n v="0"/>
    <n v="3"/>
    <n v="6.5"/>
    <n v="10"/>
  </r>
  <r>
    <x v="16"/>
    <s v="0728"/>
    <n v="0"/>
    <n v="4"/>
    <n v="6.6"/>
    <n v="131.80000000000001"/>
  </r>
  <r>
    <x v="17"/>
    <s v="0901"/>
    <n v="0"/>
    <n v="5"/>
    <n v="7.1"/>
    <n v="103"/>
  </r>
  <r>
    <x v="18"/>
    <s v="1001"/>
    <n v="0"/>
    <n v="4"/>
    <n v="6.9"/>
    <n v="36.4"/>
  </r>
  <r>
    <x v="19"/>
    <s v="1019"/>
    <n v="0"/>
    <n v="2"/>
    <n v="7.5"/>
    <n v="33"/>
  </r>
  <r>
    <x v="20"/>
    <s v="1031"/>
    <n v="0"/>
    <n v="5"/>
    <n v="7"/>
    <n v="33"/>
  </r>
  <r>
    <x v="21"/>
    <s v="1109"/>
    <n v="0"/>
    <n v="2"/>
    <n v="6.5"/>
    <n v="33"/>
  </r>
  <r>
    <x v="22"/>
    <s v="1114"/>
    <n v="0"/>
    <n v="2"/>
    <n v="7.8"/>
    <n v="10"/>
  </r>
  <r>
    <x v="23"/>
    <s v="1210"/>
    <n v="0"/>
    <n v="5"/>
    <n v="7"/>
    <n v="37"/>
  </r>
  <r>
    <x v="24"/>
    <s v="1218"/>
    <n v="0"/>
    <n v="2"/>
    <n v="6.8"/>
    <n v="14"/>
  </r>
  <r>
    <x v="25"/>
    <s v="1223"/>
    <n v="0"/>
    <n v="5"/>
    <n v="6.8"/>
    <n v="16"/>
  </r>
  <r>
    <x v="26"/>
    <s v="0201"/>
    <n v="0"/>
    <n v="5"/>
    <n v="7.2"/>
    <n v="21"/>
  </r>
  <r>
    <x v="27"/>
    <s v="0211"/>
    <n v="0"/>
    <n v="2"/>
    <n v="7.4"/>
    <n v="30"/>
  </r>
  <r>
    <x v="28"/>
    <s v="0301"/>
    <n v="0"/>
    <n v="5"/>
    <n v="6.6"/>
    <n v="10"/>
  </r>
  <r>
    <x v="29"/>
    <s v="0302"/>
    <n v="0"/>
    <n v="2"/>
    <n v="6.5"/>
    <n v="5"/>
  </r>
  <r>
    <x v="30"/>
    <s v="0303"/>
    <n v="0"/>
    <n v="2"/>
    <n v="7.4"/>
    <n v="225.6"/>
  </r>
  <r>
    <x v="31"/>
    <s v="0311"/>
    <n v="0"/>
    <n v="4"/>
    <n v="7.9"/>
    <n v="4.2"/>
  </r>
  <r>
    <x v="32"/>
    <s v="0328"/>
    <n v="0"/>
    <n v="6"/>
    <n v="6.5"/>
    <n v="125.1"/>
  </r>
  <r>
    <x v="33"/>
    <s v="0331"/>
    <n v="0"/>
    <n v="2"/>
    <n v="7.1"/>
    <n v="32.799999999999997"/>
  </r>
  <r>
    <x v="34"/>
    <s v="0418"/>
    <n v="0"/>
    <n v="4"/>
    <n v="6.8"/>
    <n v="24.9"/>
  </r>
  <r>
    <x v="34"/>
    <s v="0418"/>
    <n v="0"/>
    <n v="6"/>
    <n v="6.7"/>
    <n v="62"/>
  </r>
  <r>
    <x v="35"/>
    <s v="0426"/>
    <n v="0"/>
    <n v="4"/>
    <n v="7.1"/>
    <n v="85.7"/>
  </r>
  <r>
    <x v="36"/>
    <s v="0502"/>
    <n v="0"/>
    <n v="5"/>
    <n v="6.6"/>
    <n v="39"/>
  </r>
  <r>
    <x v="37"/>
    <s v="0503"/>
    <n v="0"/>
    <n v="2"/>
    <n v="7.5"/>
    <n v="31"/>
  </r>
  <r>
    <x v="38"/>
    <s v="0617"/>
    <n v="0"/>
    <n v="5"/>
    <n v="6.7"/>
    <n v="33"/>
  </r>
  <r>
    <x v="39"/>
    <s v="0618"/>
    <n v="0"/>
    <n v="6"/>
    <n v="6.6"/>
    <n v="54"/>
  </r>
  <r>
    <x v="40"/>
    <s v="0622"/>
    <n v="0"/>
    <n v="2"/>
    <n v="6.5"/>
    <n v="10"/>
  </r>
  <r>
    <x v="41"/>
    <s v="0731"/>
    <n v="0"/>
    <n v="4"/>
    <n v="6.5"/>
    <n v="10"/>
  </r>
  <r>
    <x v="42"/>
    <s v="0809"/>
    <n v="0"/>
    <n v="5"/>
    <n v="7.6"/>
    <n v="13"/>
  </r>
  <r>
    <x v="43"/>
    <s v="0814"/>
    <n v="0"/>
    <n v="5"/>
    <n v="6.5"/>
    <n v="30"/>
  </r>
  <r>
    <x v="44"/>
    <s v="0913"/>
    <n v="0"/>
    <n v="2"/>
    <n v="6.5"/>
    <n v="21"/>
  </r>
  <r>
    <x v="18"/>
    <s v="1001"/>
    <n v="0"/>
    <n v="5"/>
    <n v="6.7"/>
    <n v="11"/>
  </r>
  <r>
    <x v="45"/>
    <s v="1010"/>
    <n v="0"/>
    <n v="2"/>
    <n v="7.6"/>
    <n v="10"/>
  </r>
  <r>
    <x v="45"/>
    <s v="1010"/>
    <n v="0"/>
    <n v="2"/>
    <n v="6.7"/>
    <n v="10"/>
  </r>
  <r>
    <x v="46"/>
    <s v="1023"/>
    <n v="0"/>
    <n v="4"/>
    <n v="6.6"/>
    <n v="4.2"/>
  </r>
  <r>
    <x v="47"/>
    <s v="1212"/>
    <n v="0"/>
    <n v="5"/>
    <n v="6.7"/>
    <n v="34"/>
  </r>
  <r>
    <x v="48"/>
    <s v="0110"/>
    <n v="0"/>
    <n v="2"/>
    <n v="6.7"/>
    <n v="10"/>
  </r>
  <r>
    <x v="49"/>
    <s v="0120"/>
    <n v="0"/>
    <n v="5"/>
    <n v="7.3"/>
    <n v="33"/>
  </r>
  <r>
    <x v="50"/>
    <s v="0121"/>
    <n v="0"/>
    <n v="4"/>
    <n v="6.5"/>
    <n v="24"/>
  </r>
  <r>
    <x v="51"/>
    <s v="0122"/>
    <n v="0"/>
    <n v="4"/>
    <n v="7.6"/>
    <n v="24"/>
  </r>
  <r>
    <x v="52"/>
    <s v="0325"/>
    <n v="0"/>
    <n v="2"/>
    <n v="6.5"/>
    <n v="33"/>
  </r>
  <r>
    <x v="53"/>
    <s v="0408"/>
    <n v="0"/>
    <n v="3"/>
    <n v="7.6"/>
    <n v="10"/>
  </r>
  <r>
    <x v="54"/>
    <s v="0521"/>
    <n v="0"/>
    <n v="1"/>
    <n v="6.8"/>
    <n v="12"/>
  </r>
  <r>
    <x v="55"/>
    <s v="0526"/>
    <n v="0"/>
    <n v="2"/>
    <n v="7"/>
    <n v="68"/>
  </r>
  <r>
    <x v="55"/>
    <s v="0526"/>
    <n v="0"/>
    <n v="2"/>
    <n v="7"/>
    <n v="31"/>
  </r>
  <r>
    <x v="56"/>
    <s v="0611"/>
    <n v="0"/>
    <n v="5"/>
    <n v="6.6"/>
    <n v="113.7"/>
  </r>
  <r>
    <x v="57"/>
    <s v="0616"/>
    <n v="0"/>
    <n v="2"/>
    <n v="6.9"/>
    <n v="174.8"/>
  </r>
  <r>
    <x v="58"/>
    <s v="0620"/>
    <n v="0"/>
    <n v="6"/>
    <n v="6.8"/>
    <n v="33"/>
  </r>
  <r>
    <x v="59"/>
    <s v="0706"/>
    <n v="0"/>
    <n v="5"/>
    <n v="6.6"/>
    <n v="33"/>
  </r>
  <r>
    <x v="60"/>
    <s v="0715"/>
    <n v="0"/>
    <n v="5"/>
    <n v="6.5"/>
    <n v="33"/>
  </r>
  <r>
    <x v="61"/>
    <s v="0810"/>
    <n v="0"/>
    <n v="2"/>
    <n v="6.7"/>
    <n v="32"/>
  </r>
  <r>
    <x v="62"/>
    <s v="0821"/>
    <n v="0"/>
    <n v="5"/>
    <n v="7.2"/>
    <n v="28"/>
  </r>
  <r>
    <x v="63"/>
    <s v="0921"/>
    <n v="0"/>
    <n v="2"/>
    <n v="6.6"/>
    <n v="10"/>
  </r>
  <r>
    <x v="64"/>
    <s v="0925"/>
    <n v="0"/>
    <n v="2"/>
    <n v="8.16"/>
    <n v="27"/>
  </r>
  <r>
    <x v="64"/>
    <s v="0925"/>
    <n v="0"/>
    <n v="2"/>
    <n v="7.4"/>
    <n v="33"/>
  </r>
  <r>
    <x v="65"/>
    <s v="0927"/>
    <n v="0"/>
    <n v="2"/>
    <n v="7.3"/>
    <n v="16"/>
  </r>
  <r>
    <x v="66"/>
    <s v="0929"/>
    <n v="0"/>
    <n v="2"/>
    <n v="6.5"/>
    <n v="25"/>
  </r>
  <r>
    <x v="18"/>
    <s v="1001"/>
    <n v="0"/>
    <n v="5"/>
    <n v="6.7"/>
    <n v="71.900000000000006"/>
  </r>
  <r>
    <x v="67"/>
    <s v="1012"/>
    <n v="0"/>
    <n v="2"/>
    <n v="6.8"/>
    <n v="10"/>
  </r>
  <r>
    <x v="20"/>
    <s v="1031"/>
    <n v="0"/>
    <n v="2"/>
    <n v="7"/>
    <n v="10"/>
  </r>
  <r>
    <x v="68"/>
    <s v="1103"/>
    <n v="0"/>
    <n v="5"/>
    <n v="6.8"/>
    <n v="40.200000000000003"/>
  </r>
  <r>
    <x v="69"/>
    <s v="1118"/>
    <n v="0"/>
    <n v="2"/>
    <n v="6.5"/>
    <n v="35"/>
  </r>
  <r>
    <x v="70"/>
    <s v="1125"/>
    <n v="0"/>
    <n v="5"/>
    <n v="6.6"/>
    <n v="35"/>
  </r>
  <r>
    <x v="71"/>
    <s v="1222"/>
    <n v="0"/>
    <n v="4"/>
    <n v="6.5"/>
    <n v="8.3819999999999997"/>
  </r>
  <r>
    <x v="72"/>
    <s v="1225"/>
    <n v="0"/>
    <n v="4"/>
    <n v="6.5"/>
    <n v="33"/>
  </r>
  <r>
    <x v="73"/>
    <s v="1226"/>
    <n v="0"/>
    <n v="2"/>
    <n v="6.6"/>
    <n v="10"/>
  </r>
  <r>
    <x v="74"/>
    <s v="1227"/>
    <n v="0"/>
    <n v="5"/>
    <n v="7.3"/>
    <n v="10"/>
  </r>
  <r>
    <x v="75"/>
    <s v="0128"/>
    <n v="0"/>
    <n v="2"/>
    <n v="6.7"/>
    <n v="17.399999999999999"/>
  </r>
  <r>
    <x v="27"/>
    <s v="0211"/>
    <n v="0"/>
    <n v="4"/>
    <n v="6.7"/>
    <n v="10"/>
  </r>
  <r>
    <x v="76"/>
    <s v="0305"/>
    <n v="0"/>
    <n v="6"/>
    <n v="6.6"/>
    <n v="21"/>
  </r>
  <r>
    <x v="77"/>
    <s v="0423"/>
    <n v="0"/>
    <n v="2"/>
    <n v="6.7"/>
    <n v="65.8"/>
  </r>
  <r>
    <x v="36"/>
    <s v="0502"/>
    <n v="0"/>
    <n v="2"/>
    <n v="7"/>
    <n v="16.600000000000001"/>
  </r>
  <r>
    <x v="78"/>
    <s v="0504"/>
    <n v="0"/>
    <n v="2"/>
    <n v="6.6"/>
    <n v="187.1"/>
  </r>
  <r>
    <x v="79"/>
    <s v="0509"/>
    <n v="0"/>
    <n v="2"/>
    <n v="7.2"/>
    <n v="14"/>
  </r>
  <r>
    <x v="79"/>
    <s v="0509"/>
    <n v="0"/>
    <n v="2"/>
    <n v="7.4"/>
    <n v="10"/>
  </r>
  <r>
    <x v="80"/>
    <s v="0609"/>
    <n v="0"/>
    <n v="2"/>
    <n v="6.6"/>
    <n v="10"/>
  </r>
  <r>
    <x v="81"/>
    <s v="0612"/>
    <n v="0"/>
    <n v="2"/>
    <n v="6.8"/>
    <n v="35"/>
  </r>
  <r>
    <x v="82"/>
    <s v="0702"/>
    <n v="0"/>
    <n v="2"/>
    <n v="7.3"/>
    <n v="10"/>
  </r>
  <r>
    <x v="16"/>
    <s v="0728"/>
    <n v="0"/>
    <n v="2"/>
    <n v="6.5"/>
    <n v="13.4"/>
  </r>
  <r>
    <x v="83"/>
    <s v="0802"/>
    <n v="0"/>
    <n v="2"/>
    <n v="6.7"/>
    <n v="25.7"/>
  </r>
  <r>
    <x v="61"/>
    <s v="0810"/>
    <n v="0"/>
    <n v="5"/>
    <n v="6.8"/>
    <n v="36"/>
  </r>
  <r>
    <x v="61"/>
    <s v="0810"/>
    <n v="0"/>
    <n v="2"/>
    <n v="6.5"/>
    <n v="105"/>
  </r>
  <r>
    <x v="84"/>
    <s v="0828"/>
    <n v="0"/>
    <n v="6"/>
    <n v="6.5"/>
    <n v="5"/>
  </r>
  <r>
    <x v="85"/>
    <s v="0904"/>
    <n v="0"/>
    <n v="5"/>
    <n v="6.5"/>
    <n v="228.4"/>
  </r>
  <r>
    <x v="86"/>
    <s v="0910"/>
    <n v="0"/>
    <n v="4"/>
    <n v="7"/>
    <n v="35"/>
  </r>
  <r>
    <x v="87"/>
    <s v="1006"/>
    <n v="0"/>
    <n v="2"/>
    <n v="6.9"/>
    <n v="188.6"/>
  </r>
  <r>
    <x v="88"/>
    <s v="1015"/>
    <n v="0"/>
    <n v="2"/>
    <n v="6.7"/>
    <n v="94"/>
  </r>
  <r>
    <x v="46"/>
    <s v="1023"/>
    <n v="0"/>
    <n v="2"/>
    <n v="6.6"/>
    <n v="16"/>
  </r>
  <r>
    <x v="89"/>
    <s v="1111"/>
    <n v="0"/>
    <n v="5"/>
    <n v="6.7"/>
    <n v="10"/>
  </r>
  <r>
    <x v="89"/>
    <s v="1111"/>
    <n v="0"/>
    <n v="2"/>
    <n v="7.5"/>
    <n v="10"/>
  </r>
  <r>
    <x v="90"/>
    <s v="1115"/>
    <n v="0"/>
    <n v="6"/>
    <n v="7.2"/>
    <n v="15"/>
  </r>
  <r>
    <x v="91"/>
    <s v="1122"/>
    <n v="0"/>
    <n v="5"/>
    <n v="7.1"/>
    <n v="10"/>
  </r>
  <r>
    <x v="92"/>
    <s v="1126"/>
    <n v="0"/>
    <n v="2"/>
    <n v="7.1"/>
    <n v="10"/>
  </r>
  <r>
    <x v="93"/>
    <s v="1128"/>
    <n v="0"/>
    <n v="2"/>
    <n v="7"/>
    <n v="39"/>
  </r>
  <r>
    <x v="94"/>
    <s v="1214"/>
    <n v="0"/>
    <n v="4"/>
    <n v="6.8"/>
    <n v="10"/>
  </r>
  <r>
    <x v="25"/>
    <s v="1223"/>
    <n v="0"/>
    <n v="5"/>
    <n v="8.1"/>
    <n v="10"/>
  </r>
  <r>
    <x v="73"/>
    <s v="1226"/>
    <n v="0"/>
    <n v="2"/>
    <n v="6.6"/>
    <n v="16.100000000000001"/>
  </r>
  <r>
    <x v="73"/>
    <s v="1226"/>
    <n v="0"/>
    <n v="2"/>
    <n v="9.1"/>
    <n v="30"/>
  </r>
  <r>
    <x v="73"/>
    <s v="1226"/>
    <n v="0"/>
    <n v="2"/>
    <n v="7.2"/>
    <n v="39.200000000000003"/>
  </r>
  <r>
    <x v="95"/>
    <s v="0119"/>
    <n v="0"/>
    <n v="2"/>
    <n v="6.6"/>
    <n v="27.8"/>
  </r>
  <r>
    <x v="96"/>
    <s v="0203"/>
    <n v="0"/>
    <n v="2"/>
    <n v="7.1"/>
    <n v="201.7"/>
  </r>
  <r>
    <x v="97"/>
    <s v="0207"/>
    <n v="0"/>
    <n v="4"/>
    <n v="6.6"/>
    <n v="27"/>
  </r>
  <r>
    <x v="4"/>
    <s v="0212"/>
    <n v="0"/>
    <n v="2"/>
    <n v="6.5"/>
    <n v="29"/>
  </r>
  <r>
    <x v="98"/>
    <s v="0215"/>
    <n v="0"/>
    <n v="2"/>
    <n v="6.5"/>
    <n v="39.700000000000003"/>
  </r>
  <r>
    <x v="99"/>
    <s v="0219"/>
    <n v="0"/>
    <n v="2"/>
    <n v="6.5"/>
    <n v="10"/>
  </r>
  <r>
    <x v="100"/>
    <s v="0226"/>
    <n v="0"/>
    <n v="2"/>
    <n v="6.8"/>
    <n v="36"/>
  </r>
  <r>
    <x v="101"/>
    <s v="0320"/>
    <n v="0"/>
    <n v="2"/>
    <n v="6.6"/>
    <n v="10"/>
  </r>
  <r>
    <x v="32"/>
    <s v="0328"/>
    <n v="0"/>
    <n v="2"/>
    <n v="8.6"/>
    <n v="30"/>
  </r>
  <r>
    <x v="36"/>
    <s v="0502"/>
    <n v="0"/>
    <n v="2"/>
    <n v="7.1"/>
    <n v="525"/>
  </r>
  <r>
    <x v="11"/>
    <s v="0507"/>
    <n v="0"/>
    <n v="2"/>
    <n v="6.7"/>
    <n v="21"/>
  </r>
  <r>
    <x v="102"/>
    <s v="0512"/>
    <n v="0"/>
    <n v="1"/>
    <n v="6.8"/>
    <n v="22"/>
  </r>
  <r>
    <x v="103"/>
    <s v="0514"/>
    <n v="0"/>
    <n v="2"/>
    <n v="6.7"/>
    <n v="34"/>
  </r>
  <r>
    <x v="104"/>
    <s v="0519"/>
    <n v="0"/>
    <n v="2"/>
    <n v="6.9"/>
    <n v="30"/>
  </r>
  <r>
    <x v="105"/>
    <s v="0613"/>
    <n v="0"/>
    <n v="6"/>
    <n v="7.8"/>
    <n v="115.6"/>
  </r>
  <r>
    <x v="106"/>
    <s v="0615"/>
    <n v="0"/>
    <n v="4"/>
    <n v="7.2"/>
    <n v="16"/>
  </r>
  <r>
    <x v="107"/>
    <s v="0724"/>
    <n v="0"/>
    <n v="2"/>
    <n v="7.2"/>
    <n v="16"/>
  </r>
  <r>
    <x v="83"/>
    <s v="0802"/>
    <n v="0"/>
    <n v="5"/>
    <n v="6.7"/>
    <n v="206.3"/>
  </r>
  <r>
    <x v="61"/>
    <s v="0810"/>
    <n v="0"/>
    <n v="2"/>
    <n v="7.6"/>
    <n v="26"/>
  </r>
  <r>
    <x v="108"/>
    <s v="0816"/>
    <n v="0"/>
    <n v="2"/>
    <n v="7.2"/>
    <n v="36"/>
  </r>
  <r>
    <x v="109"/>
    <s v="0909"/>
    <n v="0"/>
    <n v="5"/>
    <n v="7.6"/>
    <n v="90"/>
  </r>
  <r>
    <x v="110"/>
    <s v="0926"/>
    <n v="0"/>
    <n v="6"/>
    <n v="7.5"/>
    <n v="115"/>
  </r>
  <r>
    <x v="66"/>
    <s v="0929"/>
    <n v="0"/>
    <n v="5"/>
    <n v="6.6"/>
    <n v="25"/>
  </r>
  <r>
    <x v="111"/>
    <s v="1004"/>
    <n v="0"/>
    <n v="2"/>
    <n v="6.7"/>
    <n v="19"/>
  </r>
  <r>
    <x v="111"/>
    <s v="1004"/>
    <n v="0"/>
    <n v="2"/>
    <n v="6.5"/>
    <n v="30"/>
  </r>
  <r>
    <x v="112"/>
    <s v="1117"/>
    <n v="0"/>
    <n v="6"/>
    <n v="6.8"/>
    <n v="147"/>
  </r>
  <r>
    <x v="113"/>
    <s v="1119"/>
    <n v="0"/>
    <n v="2"/>
    <n v="6.5"/>
    <n v="21"/>
  </r>
  <r>
    <x v="47"/>
    <s v="1212"/>
    <n v="0"/>
    <n v="2"/>
    <n v="6.5"/>
    <n v="224.6"/>
  </r>
  <r>
    <x v="114"/>
    <s v="0109"/>
    <n v="0"/>
    <n v="5"/>
    <n v="6.8"/>
    <n v="38"/>
  </r>
  <r>
    <x v="115"/>
    <s v="0222"/>
    <n v="0"/>
    <n v="1"/>
    <n v="7"/>
    <n v="11"/>
  </r>
  <r>
    <x v="76"/>
    <s v="0305"/>
    <n v="0"/>
    <n v="5"/>
    <n v="8"/>
    <n v="55"/>
  </r>
  <r>
    <x v="76"/>
    <s v="0305"/>
    <n v="0"/>
    <n v="5"/>
    <n v="8"/>
    <n v="60.5"/>
  </r>
  <r>
    <x v="116"/>
    <s v="0314"/>
    <n v="0"/>
    <n v="2"/>
    <n v="6.7"/>
    <n v="30.1"/>
  </r>
  <r>
    <x v="117"/>
    <s v="0401"/>
    <n v="0"/>
    <n v="4"/>
    <n v="6.6"/>
    <n v="14"/>
  </r>
  <r>
    <x v="118"/>
    <s v="0420"/>
    <n v="0"/>
    <n v="2"/>
    <n v="7.6"/>
    <n v="22"/>
  </r>
  <r>
    <x v="119"/>
    <s v="0429"/>
    <n v="0"/>
    <n v="2"/>
    <n v="6.6"/>
    <n v="11"/>
  </r>
  <r>
    <x v="120"/>
    <s v="0430"/>
    <n v="0"/>
    <n v="6"/>
    <n v="6.7"/>
    <n v="12"/>
  </r>
  <r>
    <x v="120"/>
    <s v="0430"/>
    <n v="0"/>
    <n v="6"/>
    <n v="6.5"/>
    <n v="12"/>
  </r>
  <r>
    <x v="121"/>
    <s v="0516"/>
    <n v="0"/>
    <n v="2"/>
    <n v="6.8"/>
    <n v="12"/>
  </r>
  <r>
    <x v="122"/>
    <s v="0522"/>
    <n v="0"/>
    <n v="2"/>
    <n v="6.6"/>
    <n v="19"/>
  </r>
  <r>
    <x v="123"/>
    <s v="0528"/>
    <n v="0"/>
    <n v="5"/>
    <n v="6.5"/>
    <n v="34"/>
  </r>
  <r>
    <x v="124"/>
    <s v="0704"/>
    <n v="0"/>
    <n v="5"/>
    <n v="6.5"/>
    <n v="14"/>
  </r>
  <r>
    <x v="125"/>
    <s v="0708"/>
    <n v="0"/>
    <n v="5"/>
    <n v="6.8"/>
    <n v="150"/>
  </r>
  <r>
    <x v="126"/>
    <s v="0711"/>
    <n v="0"/>
    <n v="5"/>
    <n v="6.6"/>
    <n v="11"/>
  </r>
  <r>
    <x v="127"/>
    <s v="0717"/>
    <n v="0"/>
    <n v="2"/>
    <n v="7.7"/>
    <n v="20"/>
  </r>
  <r>
    <x v="128"/>
    <s v="0801"/>
    <n v="0"/>
    <n v="3"/>
    <n v="6.7"/>
    <n v="66"/>
  </r>
  <r>
    <x v="129"/>
    <s v="0824"/>
    <n v="0"/>
    <n v="2"/>
    <n v="6.5"/>
    <n v="43"/>
  </r>
  <r>
    <x v="130"/>
    <s v="0928"/>
    <n v="0"/>
    <n v="5"/>
    <n v="6.9"/>
    <n v="28"/>
  </r>
  <r>
    <x v="88"/>
    <s v="1015"/>
    <n v="0"/>
    <n v="4"/>
    <n v="6.7"/>
    <n v="38.182000000000002"/>
  </r>
  <r>
    <x v="131"/>
    <s v="1017"/>
    <n v="0"/>
    <n v="5"/>
    <n v="6.7"/>
    <n v="32"/>
  </r>
  <r>
    <x v="132"/>
    <s v="1020"/>
    <n v="0"/>
    <n v="6"/>
    <n v="6.7"/>
    <n v="23"/>
  </r>
  <r>
    <x v="90"/>
    <s v="1115"/>
    <n v="0"/>
    <n v="2"/>
    <n v="8.3000000000000007"/>
    <n v="10"/>
  </r>
  <r>
    <x v="73"/>
    <s v="1226"/>
    <n v="0"/>
    <n v="2"/>
    <n v="7.1"/>
    <n v="10"/>
  </r>
  <r>
    <x v="73"/>
    <s v="1226"/>
    <n v="0"/>
    <n v="2"/>
    <n v="6.9"/>
    <n v="10"/>
  </r>
  <r>
    <x v="133"/>
    <s v="0104"/>
    <n v="0"/>
    <n v="5"/>
    <n v="8.1"/>
    <n v="24"/>
  </r>
  <r>
    <x v="133"/>
    <s v="0104"/>
    <n v="0"/>
    <n v="5"/>
    <n v="6.6"/>
    <n v="10"/>
  </r>
  <r>
    <x v="133"/>
    <s v="0104"/>
    <n v="0"/>
    <n v="5"/>
    <n v="6.9"/>
    <n v="10"/>
  </r>
  <r>
    <x v="134"/>
    <s v="0108"/>
    <n v="0"/>
    <n v="5"/>
    <n v="7.2"/>
    <n v="120"/>
  </r>
  <r>
    <x v="1"/>
    <s v="0113"/>
    <n v="0"/>
    <n v="8"/>
    <n v="8.1"/>
    <n v="10"/>
  </r>
  <r>
    <x v="50"/>
    <s v="0121"/>
    <n v="0"/>
    <n v="2"/>
    <n v="7.5"/>
    <n v="22"/>
  </r>
  <r>
    <x v="135"/>
    <s v="0209"/>
    <n v="0"/>
    <n v="5"/>
    <n v="7.2"/>
    <n v="35"/>
  </r>
  <r>
    <x v="136"/>
    <s v="0220"/>
    <n v="0"/>
    <n v="2"/>
    <n v="6.7"/>
    <n v="12"/>
  </r>
  <r>
    <x v="52"/>
    <s v="0325"/>
    <n v="0"/>
    <n v="5"/>
    <n v="7.1"/>
    <n v="34"/>
  </r>
  <r>
    <x v="52"/>
    <s v="0325"/>
    <n v="0"/>
    <n v="2"/>
    <n v="6.7"/>
    <n v="8"/>
  </r>
  <r>
    <x v="105"/>
    <s v="0613"/>
    <n v="0"/>
    <n v="6"/>
    <n v="6.7"/>
    <n v="23"/>
  </r>
  <r>
    <x v="137"/>
    <s v="0716"/>
    <n v="0"/>
    <n v="2"/>
    <n v="6.6"/>
    <n v="12"/>
  </r>
  <r>
    <x v="137"/>
    <s v="0716"/>
    <n v="0"/>
    <n v="2"/>
    <n v="6.8"/>
    <n v="350.4"/>
  </r>
  <r>
    <x v="15"/>
    <s v="0726"/>
    <n v="0"/>
    <n v="2"/>
    <n v="6.9"/>
    <n v="25"/>
  </r>
  <r>
    <x v="138"/>
    <s v="0808"/>
    <n v="0"/>
    <n v="2"/>
    <n v="7.5"/>
    <n v="280"/>
  </r>
  <r>
    <x v="139"/>
    <s v="0815"/>
    <n v="0"/>
    <n v="6"/>
    <n v="8"/>
    <n v="39"/>
  </r>
  <r>
    <x v="108"/>
    <s v="0816"/>
    <n v="0"/>
    <n v="5"/>
    <n v="6.5"/>
    <n v="15"/>
  </r>
  <r>
    <x v="44"/>
    <s v="0913"/>
    <n v="0"/>
    <n v="2"/>
    <n v="6.5"/>
    <n v="28.9"/>
  </r>
  <r>
    <x v="44"/>
    <s v="0913"/>
    <n v="0"/>
    <n v="2"/>
    <n v="7"/>
    <n v="22"/>
  </r>
  <r>
    <x v="140"/>
    <s v="0920"/>
    <n v="0"/>
    <n v="2"/>
    <n v="6.7"/>
    <n v="30"/>
  </r>
  <r>
    <x v="110"/>
    <s v="0926"/>
    <n v="0"/>
    <n v="5"/>
    <n v="6.8"/>
    <n v="40"/>
  </r>
  <r>
    <x v="141"/>
    <s v="1009"/>
    <n v="0"/>
    <n v="6"/>
    <n v="6.8"/>
    <n v="15"/>
  </r>
  <r>
    <x v="88"/>
    <s v="1015"/>
    <n v="0"/>
    <n v="5"/>
    <n v="6.8"/>
    <n v="18"/>
  </r>
  <r>
    <x v="142"/>
    <s v="1024"/>
    <n v="0"/>
    <n v="2"/>
    <n v="6.8"/>
    <n v="21"/>
  </r>
  <r>
    <x v="22"/>
    <s v="1114"/>
    <n v="0"/>
    <n v="6"/>
    <n v="7.7"/>
    <n v="40"/>
  </r>
  <r>
    <x v="90"/>
    <s v="1115"/>
    <n v="0"/>
    <n v="6"/>
    <n v="6.8"/>
    <n v="26"/>
  </r>
  <r>
    <x v="143"/>
    <s v="1116"/>
    <n v="0"/>
    <n v="6"/>
    <n v="6.8"/>
    <n v="122.9"/>
  </r>
  <r>
    <x v="91"/>
    <s v="1122"/>
    <n v="0"/>
    <n v="5"/>
    <n v="6.8"/>
    <n v="53"/>
  </r>
  <r>
    <x v="70"/>
    <s v="1125"/>
    <n v="0"/>
    <n v="2"/>
    <n v="6.5"/>
    <n v="20"/>
  </r>
  <r>
    <x v="70"/>
    <s v="1125"/>
    <n v="0"/>
    <n v="2"/>
    <n v="6.5"/>
    <n v="18"/>
  </r>
  <r>
    <x v="144"/>
    <s v="1127"/>
    <n v="0"/>
    <n v="5"/>
    <n v="6.6"/>
    <n v="16"/>
  </r>
  <r>
    <x v="145"/>
    <s v="1129"/>
    <n v="0"/>
    <n v="4"/>
    <n v="7.4"/>
    <n v="156"/>
  </r>
  <r>
    <x v="146"/>
    <s v="1209"/>
    <n v="0"/>
    <n v="2"/>
    <n v="8.4"/>
    <n v="34"/>
  </r>
  <r>
    <x v="146"/>
    <s v="1209"/>
    <n v="0"/>
    <n v="2"/>
    <n v="7.9"/>
    <n v="35"/>
  </r>
  <r>
    <x v="146"/>
    <s v="1209"/>
    <n v="0"/>
    <n v="2"/>
    <n v="7.8"/>
    <n v="40.5"/>
  </r>
  <r>
    <x v="147"/>
    <s v="1216"/>
    <n v="0"/>
    <n v="6"/>
    <n v="6.7"/>
    <n v="45"/>
  </r>
  <r>
    <x v="148"/>
    <s v="1220"/>
    <n v="0"/>
    <n v="5"/>
    <n v="6.6"/>
    <n v="20"/>
  </r>
  <r>
    <x v="149"/>
    <s v="0214"/>
    <n v="0"/>
    <n v="3"/>
    <n v="6.9"/>
    <n v="29"/>
  </r>
  <r>
    <x v="149"/>
    <s v="0214"/>
    <n v="0"/>
    <n v="3"/>
    <n v="6.5"/>
    <n v="28"/>
  </r>
  <r>
    <x v="136"/>
    <s v="0220"/>
    <n v="0"/>
    <n v="2"/>
    <n v="7.4"/>
    <n v="26"/>
  </r>
  <r>
    <x v="6"/>
    <s v="0224"/>
    <n v="0"/>
    <n v="2"/>
    <n v="6.5"/>
    <n v="22"/>
  </r>
  <r>
    <x v="150"/>
    <s v="0225"/>
    <n v="0"/>
    <n v="2"/>
    <n v="7.2"/>
    <n v="25"/>
  </r>
  <r>
    <x v="150"/>
    <s v="0225"/>
    <n v="0"/>
    <n v="2"/>
    <n v="6.6"/>
    <n v="25"/>
  </r>
  <r>
    <x v="150"/>
    <s v="0225"/>
    <n v="0"/>
    <n v="2"/>
    <n v="6.7"/>
    <n v="25"/>
  </r>
  <r>
    <x v="30"/>
    <s v="0303"/>
    <n v="0"/>
    <n v="2"/>
    <n v="6.9"/>
    <n v="24"/>
  </r>
  <r>
    <x v="101"/>
    <s v="0320"/>
    <n v="0"/>
    <n v="2"/>
    <n v="7.2"/>
    <n v="10"/>
  </r>
  <r>
    <x v="151"/>
    <s v="0510"/>
    <n v="0"/>
    <n v="2"/>
    <n v="6.7"/>
    <n v="27.4"/>
  </r>
  <r>
    <x v="105"/>
    <s v="0613"/>
    <n v="0"/>
    <n v="2"/>
    <n v="6.9"/>
    <n v="7.8"/>
  </r>
  <r>
    <x v="152"/>
    <s v="0627"/>
    <n v="0"/>
    <n v="2"/>
    <n v="6.6"/>
    <n v="17"/>
  </r>
  <r>
    <x v="153"/>
    <s v="0705"/>
    <n v="0"/>
    <n v="2"/>
    <n v="6.9"/>
    <n v="27"/>
  </r>
  <r>
    <x v="154"/>
    <s v="0719"/>
    <n v="0"/>
    <n v="2"/>
    <n v="7"/>
    <n v="22"/>
  </r>
  <r>
    <x v="154"/>
    <s v="0719"/>
    <n v="0"/>
    <n v="2"/>
    <n v="6.9"/>
    <n v="25.5"/>
  </r>
  <r>
    <x v="155"/>
    <s v="0723"/>
    <n v="0"/>
    <n v="2"/>
    <n v="6.8"/>
    <n v="108"/>
  </r>
  <r>
    <x v="42"/>
    <s v="0809"/>
    <n v="0"/>
    <n v="5"/>
    <n v="6.9"/>
    <n v="110"/>
  </r>
  <r>
    <x v="156"/>
    <s v="0825"/>
    <n v="0"/>
    <n v="2"/>
    <n v="6.7"/>
    <n v="12"/>
  </r>
  <r>
    <x v="85"/>
    <s v="0904"/>
    <n v="0"/>
    <n v="5"/>
    <n v="7.3"/>
    <n v="33"/>
  </r>
  <r>
    <x v="157"/>
    <s v="1016"/>
    <n v="0"/>
    <n v="4"/>
    <n v="6.7"/>
    <n v="24"/>
  </r>
  <r>
    <x v="21"/>
    <s v="1109"/>
    <n v="0"/>
    <n v="2"/>
    <n v="6.6"/>
    <n v="96"/>
  </r>
  <r>
    <x v="21"/>
    <s v="1109"/>
    <n v="0"/>
    <n v="2"/>
    <n v="6.8"/>
    <n v="25"/>
  </r>
  <r>
    <x v="143"/>
    <s v="1116"/>
    <n v="0"/>
    <n v="2"/>
    <n v="7.4"/>
    <n v="30"/>
  </r>
  <r>
    <x v="158"/>
    <s v="1202"/>
    <n v="0"/>
    <n v="4"/>
    <n v="6.5"/>
    <n v="83"/>
  </r>
  <r>
    <x v="159"/>
    <s v="1205"/>
    <n v="0"/>
    <n v="2"/>
    <n v="7.9"/>
    <n v="19"/>
  </r>
  <r>
    <x v="48"/>
    <s v="0110"/>
    <n v="0"/>
    <n v="2"/>
    <n v="6.6"/>
    <n v="9"/>
  </r>
  <r>
    <x v="135"/>
    <s v="0209"/>
    <n v="0"/>
    <n v="2"/>
    <n v="7"/>
    <n v="46"/>
  </r>
  <r>
    <x v="28"/>
    <s v="0301"/>
    <n v="0"/>
    <n v="2"/>
    <n v="7.7"/>
    <n v="17"/>
  </r>
  <r>
    <x v="28"/>
    <s v="0301"/>
    <n v="0"/>
    <n v="2"/>
    <n v="6.6"/>
    <n v="204.8"/>
  </r>
  <r>
    <x v="28"/>
    <s v="0301"/>
    <n v="0"/>
    <n v="2"/>
    <n v="7.4"/>
    <n v="23"/>
  </r>
  <r>
    <x v="160"/>
    <s v="0308"/>
    <n v="0"/>
    <n v="4"/>
    <n v="6.9"/>
    <n v="10"/>
  </r>
  <r>
    <x v="8"/>
    <s v="0319"/>
    <n v="0"/>
    <n v="5"/>
    <n v="7.6"/>
    <n v="31"/>
  </r>
  <r>
    <x v="123"/>
    <s v="0528"/>
    <n v="0"/>
    <n v="4"/>
    <n v="7.3"/>
    <n v="19"/>
  </r>
  <r>
    <x v="12"/>
    <s v="0623"/>
    <n v="0"/>
    <n v="5"/>
    <n v="6.7"/>
    <n v="64"/>
  </r>
  <r>
    <x v="161"/>
    <s v="0710"/>
    <n v="0"/>
    <n v="5"/>
    <n v="7.7"/>
    <n v="45"/>
  </r>
  <r>
    <x v="161"/>
    <s v="0710"/>
    <n v="0"/>
    <n v="5"/>
    <n v="7.8"/>
    <n v="35"/>
  </r>
  <r>
    <x v="161"/>
    <s v="0710"/>
    <n v="0"/>
    <n v="5"/>
    <n v="7.4"/>
    <n v="31.1"/>
  </r>
  <r>
    <x v="60"/>
    <s v="0715"/>
    <n v="0"/>
    <n v="5"/>
    <n v="7.8"/>
    <n v="12"/>
  </r>
  <r>
    <x v="61"/>
    <s v="0810"/>
    <n v="0"/>
    <n v="5"/>
    <n v="6.8"/>
    <n v="35"/>
  </r>
  <r>
    <x v="162"/>
    <s v="0811"/>
    <n v="0"/>
    <n v="2"/>
    <n v="6.6"/>
    <n v="18"/>
  </r>
  <r>
    <x v="108"/>
    <s v="0816"/>
    <n v="0"/>
    <n v="2"/>
    <n v="6.7"/>
    <n v="20"/>
  </r>
  <r>
    <x v="163"/>
    <s v="0908"/>
    <n v="0"/>
    <n v="2"/>
    <n v="7.1"/>
    <n v="292"/>
  </r>
  <r>
    <x v="164"/>
    <s v="0911"/>
    <n v="0"/>
    <n v="5"/>
    <n v="7.3"/>
    <n v="595"/>
  </r>
  <r>
    <x v="66"/>
    <s v="0929"/>
    <n v="0"/>
    <n v="5"/>
    <n v="8.1"/>
    <n v="18"/>
  </r>
  <r>
    <x v="165"/>
    <s v="0930"/>
    <n v="0"/>
    <n v="2"/>
    <n v="7.6"/>
    <n v="81"/>
  </r>
  <r>
    <x v="166"/>
    <s v="1008"/>
    <n v="0"/>
    <n v="2"/>
    <n v="7.5"/>
    <n v="24"/>
  </r>
  <r>
    <x v="142"/>
    <s v="1024"/>
    <n v="0"/>
    <n v="2"/>
    <n v="6.9"/>
    <n v="130"/>
  </r>
  <r>
    <x v="167"/>
    <s v="1030"/>
    <n v="0"/>
    <n v="2"/>
    <n v="6.8"/>
    <n v="34"/>
  </r>
  <r>
    <x v="168"/>
    <s v="1102"/>
    <n v="0"/>
    <n v="2"/>
    <n v="7.2"/>
    <n v="20"/>
  </r>
  <r>
    <x v="169"/>
    <s v="1113"/>
    <n v="0"/>
    <n v="6"/>
    <n v="6.5"/>
    <n v="27"/>
  </r>
  <r>
    <x v="170"/>
    <s v="1208"/>
    <n v="0"/>
    <n v="2"/>
    <n v="6.6"/>
    <n v="53"/>
  </r>
  <r>
    <x v="4"/>
    <s v="0212"/>
    <n v="0"/>
    <n v="5"/>
    <n v="6.6"/>
    <n v="33"/>
  </r>
  <r>
    <x v="100"/>
    <s v="0226"/>
    <n v="0"/>
    <n v="2"/>
    <n v="7"/>
    <n v="25"/>
  </r>
  <r>
    <x v="171"/>
    <s v="0227"/>
    <n v="0"/>
    <n v="6"/>
    <n v="8.8000000000000007"/>
    <n v="22.9"/>
  </r>
  <r>
    <x v="171"/>
    <s v="0227"/>
    <n v="0"/>
    <n v="6"/>
    <n v="7.4"/>
    <n v="35"/>
  </r>
  <r>
    <x v="28"/>
    <s v="0301"/>
    <n v="0"/>
    <n v="5"/>
    <n v="6.6"/>
    <n v="10"/>
  </r>
  <r>
    <x v="28"/>
    <s v="0301"/>
    <n v="0"/>
    <n v="5"/>
    <n v="7.1"/>
    <n v="10"/>
  </r>
  <r>
    <x v="172"/>
    <s v="0309"/>
    <n v="0"/>
    <n v="5"/>
    <n v="7"/>
    <n v="12"/>
  </r>
  <r>
    <x v="116"/>
    <s v="0314"/>
    <n v="0"/>
    <n v="2"/>
    <n v="6.5"/>
    <n v="32"/>
  </r>
  <r>
    <x v="173"/>
    <s v="0316"/>
    <n v="0"/>
    <n v="6"/>
    <n v="6.7"/>
    <n v="18"/>
  </r>
  <r>
    <x v="174"/>
    <s v="0330"/>
    <n v="0"/>
    <n v="2"/>
    <n v="6.6"/>
    <n v="34"/>
  </r>
  <r>
    <x v="175"/>
    <s v="0403"/>
    <n v="0"/>
    <n v="5"/>
    <n v="6.5"/>
    <n v="176"/>
  </r>
  <r>
    <x v="176"/>
    <s v="0404"/>
    <n v="0"/>
    <n v="4"/>
    <n v="7.2"/>
    <n v="9.9870000000000001"/>
  </r>
  <r>
    <x v="53"/>
    <s v="0408"/>
    <n v="0"/>
    <n v="5"/>
    <n v="6.5"/>
    <n v="220"/>
  </r>
  <r>
    <x v="53"/>
    <s v="0408"/>
    <n v="0"/>
    <n v="5"/>
    <n v="7"/>
    <n v="44"/>
  </r>
  <r>
    <x v="177"/>
    <s v="0413"/>
    <n v="0"/>
    <n v="2"/>
    <n v="6.9"/>
    <n v="17"/>
  </r>
  <r>
    <x v="178"/>
    <s v="0501"/>
    <n v="0"/>
    <n v="5"/>
    <n v="6.8"/>
    <n v="15.4"/>
  </r>
  <r>
    <x v="37"/>
    <s v="0503"/>
    <n v="0"/>
    <n v="6"/>
    <n v="6.6"/>
    <n v="18"/>
  </r>
  <r>
    <x v="37"/>
    <s v="0503"/>
    <n v="0"/>
    <n v="2"/>
    <n v="6.8"/>
    <n v="26"/>
  </r>
  <r>
    <x v="179"/>
    <s v="0527"/>
    <n v="0"/>
    <n v="5"/>
    <n v="7.2"/>
    <n v="31"/>
  </r>
  <r>
    <x v="180"/>
    <s v="0604"/>
    <n v="0"/>
    <n v="2"/>
    <n v="7.8"/>
    <n v="31"/>
  </r>
  <r>
    <x v="57"/>
    <s v="0616"/>
    <n v="0"/>
    <n v="2"/>
    <n v="7"/>
    <n v="18"/>
  </r>
  <r>
    <x v="57"/>
    <s v="0616"/>
    <n v="0"/>
    <n v="2"/>
    <n v="6.6"/>
    <n v="10.5"/>
  </r>
  <r>
    <x v="13"/>
    <s v="0626"/>
    <n v="0"/>
    <n v="5"/>
    <n v="6.7"/>
    <n v="35"/>
  </r>
  <r>
    <x v="181"/>
    <s v="0714"/>
    <n v="0"/>
    <n v="6"/>
    <n v="6.6"/>
    <n v="22"/>
  </r>
  <r>
    <x v="182"/>
    <s v="0718"/>
    <n v="0"/>
    <n v="5"/>
    <n v="6.9"/>
    <n v="28"/>
  </r>
  <r>
    <x v="182"/>
    <s v="0718"/>
    <n v="0"/>
    <n v="5"/>
    <n v="7.3"/>
    <n v="35"/>
  </r>
  <r>
    <x v="155"/>
    <s v="0723"/>
    <n v="0"/>
    <n v="2"/>
    <n v="7.6"/>
    <n v="578"/>
  </r>
  <r>
    <x v="183"/>
    <s v="0905"/>
    <n v="0"/>
    <n v="2"/>
    <n v="7.2"/>
    <n v="38"/>
  </r>
  <r>
    <x v="66"/>
    <s v="0929"/>
    <n v="0"/>
    <n v="2"/>
    <n v="7"/>
    <n v="26"/>
  </r>
  <r>
    <x v="18"/>
    <s v="1001"/>
    <n v="0"/>
    <n v="4"/>
    <n v="6.5"/>
    <n v="28.736999999999998"/>
  </r>
  <r>
    <x v="166"/>
    <s v="1008"/>
    <n v="0"/>
    <n v="5"/>
    <n v="7.3"/>
    <n v="25"/>
  </r>
  <r>
    <x v="184"/>
    <s v="1021"/>
    <n v="0"/>
    <n v="4"/>
    <n v="6.7"/>
    <n v="13"/>
  </r>
  <r>
    <x v="185"/>
    <s v="1025"/>
    <n v="0"/>
    <n v="2"/>
    <n v="7.8"/>
    <n v="20.100000000000001"/>
  </r>
  <r>
    <x v="68"/>
    <s v="1103"/>
    <n v="0"/>
    <n v="6"/>
    <n v="6.9"/>
    <n v="11"/>
  </r>
  <r>
    <x v="68"/>
    <s v="1103"/>
    <n v="0"/>
    <n v="6"/>
    <n v="7"/>
    <n v="18"/>
  </r>
  <r>
    <x v="186"/>
    <s v="1104"/>
    <n v="0"/>
    <n v="5"/>
    <n v="6.9"/>
    <n v="21"/>
  </r>
  <r>
    <x v="187"/>
    <s v="1201"/>
    <n v="0"/>
    <n v="4"/>
    <n v="7"/>
    <n v="13"/>
  </r>
  <r>
    <x v="188"/>
    <s v="1206"/>
    <n v="0"/>
    <n v="2"/>
    <n v="7.5"/>
    <n v="35"/>
  </r>
  <r>
    <x v="170"/>
    <s v="1208"/>
    <n v="0"/>
    <n v="6"/>
    <n v="7.1"/>
    <n v="206.7"/>
  </r>
  <r>
    <x v="148"/>
    <s v="1220"/>
    <n v="0"/>
    <n v="2"/>
    <n v="6.7"/>
    <n v="12"/>
  </r>
  <r>
    <x v="72"/>
    <s v="1225"/>
    <n v="0"/>
    <n v="5"/>
    <n v="7.3"/>
    <n v="16"/>
  </r>
  <r>
    <x v="1"/>
    <s v="0113"/>
    <n v="0"/>
    <n v="5"/>
    <n v="7"/>
    <n v="9"/>
  </r>
  <r>
    <x v="189"/>
    <s v="0118"/>
    <n v="0"/>
    <n v="2"/>
    <n v="7.2"/>
    <n v="68"/>
  </r>
  <r>
    <x v="26"/>
    <s v="0201"/>
    <n v="0"/>
    <n v="6"/>
    <n v="7.2"/>
    <n v="24"/>
  </r>
  <r>
    <x v="149"/>
    <s v="0214"/>
    <n v="0"/>
    <n v="6"/>
    <n v="6.7"/>
    <n v="21"/>
  </r>
  <r>
    <x v="172"/>
    <s v="0309"/>
    <n v="0"/>
    <n v="5"/>
    <n v="7"/>
    <n v="185.1"/>
  </r>
  <r>
    <x v="9"/>
    <s v="0324"/>
    <n v="0"/>
    <n v="2"/>
    <n v="6.9"/>
    <n v="8"/>
  </r>
  <r>
    <x v="77"/>
    <s v="0423"/>
    <n v="0"/>
    <n v="5"/>
    <n v="6.8"/>
    <n v="79"/>
  </r>
  <r>
    <x v="79"/>
    <s v="0509"/>
    <n v="0"/>
    <n v="2"/>
    <n v="6.7"/>
    <n v="91"/>
  </r>
  <r>
    <x v="190"/>
    <s v="0607"/>
    <n v="0"/>
    <n v="5"/>
    <n v="7.6"/>
    <n v="17"/>
  </r>
  <r>
    <x v="40"/>
    <s v="0622"/>
    <n v="0"/>
    <n v="2"/>
    <n v="6.7"/>
    <n v="33"/>
  </r>
  <r>
    <x v="124"/>
    <s v="0704"/>
    <n v="0"/>
    <n v="4"/>
    <n v="6.6"/>
    <n v="166.2"/>
  </r>
  <r>
    <x v="124"/>
    <s v="0704"/>
    <n v="0"/>
    <n v="2"/>
    <n v="7.1"/>
    <n v="42"/>
  </r>
  <r>
    <x v="41"/>
    <s v="0731"/>
    <n v="0"/>
    <n v="5"/>
    <n v="6.6"/>
    <n v="10"/>
  </r>
  <r>
    <x v="191"/>
    <s v="0820"/>
    <n v="0"/>
    <n v="5"/>
    <n v="7.2"/>
    <n v="32"/>
  </r>
  <r>
    <x v="191"/>
    <s v="0820"/>
    <n v="0"/>
    <n v="5"/>
    <n v="6.5"/>
    <n v="35"/>
  </r>
  <r>
    <x v="191"/>
    <s v="0820"/>
    <n v="0"/>
    <n v="5"/>
    <n v="7.1"/>
    <n v="28"/>
  </r>
  <r>
    <x v="129"/>
    <s v="0824"/>
    <n v="0"/>
    <n v="6"/>
    <n v="7"/>
    <n v="147"/>
  </r>
  <r>
    <x v="192"/>
    <s v="0903"/>
    <n v="0"/>
    <n v="2"/>
    <n v="7.3"/>
    <n v="32"/>
  </r>
  <r>
    <x v="193"/>
    <s v="0916"/>
    <n v="0"/>
    <n v="2"/>
    <n v="6.7"/>
    <n v="30"/>
  </r>
  <r>
    <x v="194"/>
    <s v="0918"/>
    <n v="0"/>
    <n v="2"/>
    <n v="6.9"/>
    <n v="50"/>
  </r>
  <r>
    <x v="195"/>
    <s v="1005"/>
    <n v="0"/>
    <n v="5"/>
    <n v="6.8"/>
    <n v="11"/>
  </r>
  <r>
    <x v="196"/>
    <s v="1014"/>
    <n v="0"/>
    <n v="5"/>
    <n v="6.5"/>
    <n v="37"/>
  </r>
  <r>
    <x v="46"/>
    <s v="1023"/>
    <n v="0"/>
    <n v="2"/>
    <n v="7.1"/>
    <n v="18"/>
  </r>
  <r>
    <x v="197"/>
    <s v="1028"/>
    <n v="0"/>
    <n v="6"/>
    <n v="6.9"/>
    <n v="24"/>
  </r>
  <r>
    <x v="168"/>
    <s v="1102"/>
    <n v="0"/>
    <n v="6"/>
    <n v="6.9"/>
    <n v="26"/>
  </r>
  <r>
    <x v="68"/>
    <s v="1103"/>
    <n v="0"/>
    <n v="2"/>
    <n v="9.1"/>
    <n v="29"/>
  </r>
  <r>
    <x v="68"/>
    <s v="1103"/>
    <n v="0"/>
    <n v="2"/>
    <n v="7.9"/>
    <n v="42.6"/>
  </r>
  <r>
    <x v="68"/>
    <s v="1103"/>
    <n v="0"/>
    <n v="2"/>
    <n v="7.7"/>
    <n v="18.600000000000001"/>
  </r>
  <r>
    <x v="68"/>
    <s v="1103"/>
    <n v="0"/>
    <n v="2"/>
    <n v="6.5"/>
    <n v="6.8"/>
  </r>
  <r>
    <x v="68"/>
    <s v="1103"/>
    <n v="0"/>
    <n v="2"/>
    <n v="6.6"/>
    <n v="25.7"/>
  </r>
  <r>
    <x v="186"/>
    <s v="1104"/>
    <n v="0"/>
    <n v="2"/>
    <n v="6.6"/>
    <n v="11"/>
  </r>
  <r>
    <x v="198"/>
    <s v="1112"/>
    <n v="0"/>
    <n v="4"/>
    <n v="6.5"/>
    <n v="59"/>
  </r>
  <r>
    <x v="94"/>
    <s v="1214"/>
    <n v="0"/>
    <n v="5"/>
    <n v="7.1"/>
    <n v="135"/>
  </r>
  <r>
    <x v="74"/>
    <s v="1227"/>
    <n v="0"/>
    <n v="2"/>
    <n v="6.6"/>
    <n v="15"/>
  </r>
  <r>
    <x v="199"/>
    <s v="0202"/>
    <n v="0"/>
    <n v="5"/>
    <n v="7.1"/>
    <n v="23"/>
  </r>
  <r>
    <x v="100"/>
    <s v="0226"/>
    <n v="0"/>
    <n v="2"/>
    <n v="6.7"/>
    <n v="12"/>
  </r>
  <r>
    <x v="101"/>
    <s v="0320"/>
    <n v="0"/>
    <n v="4"/>
    <n v="7.4"/>
    <n v="20"/>
  </r>
  <r>
    <x v="200"/>
    <s v="0321"/>
    <n v="0"/>
    <n v="5"/>
    <n v="6.6"/>
    <n v="118"/>
  </r>
  <r>
    <x v="52"/>
    <s v="0325"/>
    <n v="0"/>
    <n v="6"/>
    <n v="7.1"/>
    <n v="40.700000000000003"/>
  </r>
  <r>
    <x v="201"/>
    <s v="0417"/>
    <n v="0"/>
    <n v="6"/>
    <n v="6.7"/>
    <n v="29"/>
  </r>
  <r>
    <x v="201"/>
    <s v="0417"/>
    <n v="0"/>
    <n v="5"/>
    <n v="6.8"/>
    <n v="198"/>
  </r>
  <r>
    <x v="202"/>
    <s v="0421"/>
    <n v="0"/>
    <n v="2"/>
    <n v="6.7"/>
    <n v="16"/>
  </r>
  <r>
    <x v="203"/>
    <s v="0428"/>
    <n v="0"/>
    <n v="5"/>
    <n v="6.6"/>
    <n v="134.69999999999999"/>
  </r>
  <r>
    <x v="79"/>
    <s v="0509"/>
    <n v="0"/>
    <n v="4"/>
    <n v="7.6"/>
    <n v="35"/>
  </r>
  <r>
    <x v="204"/>
    <s v="0602"/>
    <n v="0"/>
    <n v="2"/>
    <n v="6.7"/>
    <n v="11"/>
  </r>
  <r>
    <x v="126"/>
    <s v="0711"/>
    <n v="0"/>
    <n v="4"/>
    <n v="7.4"/>
    <n v="24"/>
  </r>
  <r>
    <x v="205"/>
    <s v="0712"/>
    <n v="0"/>
    <n v="2"/>
    <n v="7.3"/>
    <n v="31"/>
  </r>
  <r>
    <x v="16"/>
    <s v="0728"/>
    <n v="0"/>
    <n v="5"/>
    <n v="6.5"/>
    <n v="41"/>
  </r>
  <r>
    <x v="43"/>
    <s v="0814"/>
    <n v="0"/>
    <n v="2"/>
    <n v="7.7"/>
    <n v="583.20000000000005"/>
  </r>
  <r>
    <x v="206"/>
    <s v="0826"/>
    <n v="0"/>
    <n v="2"/>
    <n v="6.6"/>
    <n v="91.1"/>
  </r>
  <r>
    <x v="207"/>
    <s v="0827"/>
    <n v="0"/>
    <n v="4"/>
    <n v="7.3"/>
    <n v="28"/>
  </r>
  <r>
    <x v="208"/>
    <s v="0831"/>
    <n v="0"/>
    <n v="2"/>
    <n v="7.6"/>
    <n v="28"/>
  </r>
  <r>
    <x v="165"/>
    <s v="0930"/>
    <n v="0"/>
    <n v="6"/>
    <n v="7.3"/>
    <n v="170"/>
  </r>
  <r>
    <x v="18"/>
    <s v="1001"/>
    <n v="0"/>
    <n v="8"/>
    <n v="7.2"/>
    <n v="19"/>
  </r>
  <r>
    <x v="67"/>
    <s v="1012"/>
    <n v="0"/>
    <n v="2"/>
    <n v="7.1"/>
    <n v="155"/>
  </r>
  <r>
    <x v="142"/>
    <s v="1024"/>
    <n v="0"/>
    <n v="4"/>
    <n v="6.5"/>
    <n v="17"/>
  </r>
  <r>
    <x v="197"/>
    <s v="1028"/>
    <n v="0"/>
    <n v="4"/>
    <n v="7.8"/>
    <n v="14"/>
  </r>
  <r>
    <x v="186"/>
    <s v="1104"/>
    <n v="0"/>
    <n v="8"/>
    <n v="8.6"/>
    <n v="20"/>
  </r>
  <r>
    <x v="186"/>
    <s v="1104"/>
    <n v="0"/>
    <n v="8"/>
    <n v="8.1999999999999993"/>
    <n v="25.1"/>
  </r>
  <r>
    <x v="186"/>
    <s v="1104"/>
    <n v="0"/>
    <n v="4"/>
    <n v="6.5"/>
    <n v="20"/>
  </r>
  <r>
    <x v="89"/>
    <s v="1111"/>
    <n v="0"/>
    <n v="2"/>
    <n v="6.8"/>
    <n v="13.7"/>
  </r>
  <r>
    <x v="89"/>
    <s v="1111"/>
    <n v="0"/>
    <n v="4"/>
    <n v="6.5"/>
    <n v="20"/>
  </r>
  <r>
    <x v="209"/>
    <s v="1204"/>
    <n v="0"/>
    <n v="4"/>
    <n v="7"/>
    <n v="13"/>
  </r>
  <r>
    <x v="23"/>
    <s v="1210"/>
    <n v="0"/>
    <n v="2"/>
    <n v="6.6"/>
    <n v="13"/>
  </r>
  <r>
    <x v="210"/>
    <s v="1221"/>
    <n v="0"/>
    <n v="5"/>
    <n v="6.7"/>
    <n v="200.7"/>
  </r>
  <r>
    <x v="211"/>
    <s v="0103"/>
    <n v="0"/>
    <n v="2"/>
    <n v="6.5"/>
    <n v="29"/>
  </r>
  <r>
    <x v="114"/>
    <s v="0109"/>
    <n v="0"/>
    <n v="2"/>
    <n v="6.5"/>
    <n v="112"/>
  </r>
  <r>
    <x v="48"/>
    <s v="0110"/>
    <n v="0"/>
    <n v="2"/>
    <n v="6.7"/>
    <n v="573"/>
  </r>
  <r>
    <x v="212"/>
    <s v="0130"/>
    <n v="0"/>
    <n v="6"/>
    <n v="6.8"/>
    <n v="45"/>
  </r>
  <r>
    <x v="199"/>
    <s v="0202"/>
    <n v="0"/>
    <n v="2"/>
    <n v="6.9"/>
    <n v="107"/>
  </r>
  <r>
    <x v="149"/>
    <s v="0214"/>
    <n v="1"/>
    <n v="2"/>
    <n v="6.6"/>
    <n v="11"/>
  </r>
  <r>
    <x v="7"/>
    <s v="0228"/>
    <n v="1"/>
    <n v="2"/>
    <n v="6.9"/>
    <n v="41"/>
  </r>
  <r>
    <x v="213"/>
    <s v="0409"/>
    <n v="0"/>
    <n v="2"/>
    <n v="6.5"/>
    <n v="402"/>
  </r>
  <r>
    <x v="213"/>
    <s v="0409"/>
    <n v="1"/>
    <n v="4"/>
    <n v="6.5"/>
    <n v="20"/>
  </r>
  <r>
    <x v="214"/>
    <s v="0414"/>
    <n v="1"/>
    <n v="5"/>
    <n v="6.6"/>
    <n v="31"/>
  </r>
  <r>
    <x v="215"/>
    <s v="0416"/>
    <n v="1"/>
    <n v="5"/>
    <n v="6.6"/>
    <n v="13"/>
  </r>
  <r>
    <x v="215"/>
    <s v="0416"/>
    <n v="0"/>
    <n v="2"/>
    <n v="7.7"/>
    <n v="80"/>
  </r>
  <r>
    <x v="10"/>
    <s v="0419"/>
    <n v="1"/>
    <n v="2"/>
    <n v="7.2"/>
    <n v="110"/>
  </r>
  <r>
    <x v="118"/>
    <s v="0420"/>
    <n v="0"/>
    <n v="2"/>
    <n v="6.6"/>
    <n v="14"/>
  </r>
  <r>
    <x v="77"/>
    <s v="0423"/>
    <n v="1"/>
    <n v="5"/>
    <n v="6.5"/>
    <n v="10"/>
  </r>
  <r>
    <x v="178"/>
    <s v="0501"/>
    <n v="0"/>
    <n v="4"/>
    <n v="7.5"/>
    <n v="8.6999999999999993"/>
  </r>
  <r>
    <x v="103"/>
    <s v="0514"/>
    <n v="0"/>
    <n v="5"/>
    <n v="6.8"/>
    <n v="602.20000000000005"/>
  </r>
  <r>
    <x v="216"/>
    <s v="0523"/>
    <n v="1"/>
    <n v="5"/>
    <n v="7.4"/>
    <n v="173.7"/>
  </r>
  <r>
    <x v="217"/>
    <s v="0524"/>
    <n v="1"/>
    <n v="2"/>
    <n v="8.3000000000000007"/>
    <n v="598.1"/>
  </r>
  <r>
    <x v="217"/>
    <s v="0524"/>
    <n v="1"/>
    <n v="2"/>
    <n v="6.7"/>
    <n v="624"/>
  </r>
  <r>
    <x v="204"/>
    <s v="0602"/>
    <n v="1"/>
    <n v="5"/>
    <n v="8"/>
    <n v="24"/>
  </r>
  <r>
    <x v="204"/>
    <s v="0602"/>
    <n v="0"/>
    <n v="5"/>
    <n v="7.1"/>
    <n v="10"/>
  </r>
  <r>
    <x v="204"/>
    <s v="0602"/>
    <n v="0"/>
    <n v="5"/>
    <n v="7"/>
    <n v="8.8000000000000007"/>
  </r>
  <r>
    <x v="180"/>
    <s v="0604"/>
    <n v="1"/>
    <n v="2"/>
    <n v="7"/>
    <n v="66"/>
  </r>
  <r>
    <x v="105"/>
    <s v="0613"/>
    <n v="0"/>
    <n v="2"/>
    <n v="6.7"/>
    <n v="9"/>
  </r>
  <r>
    <x v="106"/>
    <s v="0615"/>
    <n v="1"/>
    <n v="4"/>
    <n v="6.5"/>
    <n v="30"/>
  </r>
  <r>
    <x v="218"/>
    <s v="0624"/>
    <n v="1"/>
    <n v="8"/>
    <n v="6.6"/>
    <n v="10"/>
  </r>
  <r>
    <x v="82"/>
    <s v="0702"/>
    <n v="1"/>
    <n v="5"/>
    <n v="6.7"/>
    <n v="11"/>
  </r>
  <r>
    <x v="14"/>
    <s v="0707"/>
    <n v="1"/>
    <n v="5"/>
    <n v="7.3"/>
    <n v="385.5"/>
  </r>
  <r>
    <x v="14"/>
    <s v="0707"/>
    <n v="0"/>
    <n v="5"/>
    <n v="6.6"/>
    <n v="56"/>
  </r>
  <r>
    <x v="60"/>
    <s v="0715"/>
    <n v="1"/>
    <n v="3"/>
    <n v="7.3"/>
    <n v="11"/>
  </r>
  <r>
    <x v="219"/>
    <s v="0721"/>
    <n v="1"/>
    <n v="5"/>
    <n v="6.5"/>
    <n v="17"/>
  </r>
  <r>
    <x v="83"/>
    <s v="0802"/>
    <n v="1"/>
    <n v="5"/>
    <n v="6.8"/>
    <n v="12"/>
  </r>
  <r>
    <x v="83"/>
    <s v="0802"/>
    <n v="1"/>
    <n v="5"/>
    <n v="7.1"/>
    <n v="21"/>
  </r>
  <r>
    <x v="220"/>
    <s v="0813"/>
    <n v="1"/>
    <n v="6"/>
    <n v="6.7"/>
    <n v="12"/>
  </r>
  <r>
    <x v="108"/>
    <s v="0816"/>
    <n v="1"/>
    <n v="5"/>
    <n v="6.5"/>
    <n v="8.1999999999999993"/>
  </r>
  <r>
    <x v="221"/>
    <s v="0830"/>
    <n v="0"/>
    <n v="4"/>
    <n v="7"/>
    <n v="29"/>
  </r>
  <r>
    <x v="222"/>
    <s v="0902"/>
    <n v="1"/>
    <n v="6"/>
    <n v="6.9"/>
    <n v="145"/>
  </r>
  <r>
    <x v="222"/>
    <s v="0902"/>
    <n v="1"/>
    <n v="5"/>
    <n v="6.6"/>
    <n v="18"/>
  </r>
  <r>
    <x v="223"/>
    <s v="0924"/>
    <n v="0"/>
    <n v="2"/>
    <n v="7.7"/>
    <n v="15"/>
  </r>
  <r>
    <x v="64"/>
    <s v="0925"/>
    <n v="1"/>
    <n v="6"/>
    <n v="7.1"/>
    <n v="40"/>
  </r>
  <r>
    <x v="130"/>
    <s v="0928"/>
    <n v="0"/>
    <n v="2"/>
    <n v="6.8"/>
    <n v="12"/>
  </r>
  <r>
    <x v="165"/>
    <s v="0930"/>
    <n v="1"/>
    <n v="5"/>
    <n v="6.5"/>
    <n v="41.54"/>
  </r>
  <r>
    <x v="224"/>
    <s v="1003"/>
    <n v="1"/>
    <n v="5"/>
    <n v="6.5"/>
    <n v="28"/>
  </r>
  <r>
    <x v="88"/>
    <s v="1015"/>
    <n v="1"/>
    <n v="2"/>
    <n v="7.1"/>
    <n v="19.04"/>
  </r>
  <r>
    <x v="157"/>
    <s v="1016"/>
    <n v="1"/>
    <n v="5"/>
    <n v="6.8"/>
    <n v="35"/>
  </r>
  <r>
    <x v="19"/>
    <s v="1019"/>
    <n v="1"/>
    <n v="4"/>
    <n v="6.6"/>
    <n v="9.4499999999999993"/>
  </r>
  <r>
    <x v="185"/>
    <s v="1025"/>
    <n v="1"/>
    <n v="2"/>
    <n v="7.1"/>
    <n v="35"/>
  </r>
  <r>
    <x v="20"/>
    <s v="1031"/>
    <n v="1"/>
    <n v="6"/>
    <n v="6.6"/>
    <n v="27"/>
  </r>
  <r>
    <x v="143"/>
    <s v="1116"/>
    <n v="1"/>
    <n v="3"/>
    <n v="6.9"/>
    <n v="9.9700000000000006"/>
  </r>
  <r>
    <x v="112"/>
    <s v="1117"/>
    <n v="1"/>
    <n v="3"/>
    <n v="7.7"/>
    <n v="10"/>
  </r>
  <r>
    <x v="225"/>
    <s v="1123"/>
    <n v="0"/>
    <n v="5"/>
    <n v="6.5"/>
    <n v="371"/>
  </r>
  <r>
    <x v="23"/>
    <s v="1210"/>
    <n v="0"/>
    <n v="3"/>
    <n v="6.6"/>
    <n v="40"/>
  </r>
  <r>
    <x v="0"/>
    <s v="0101"/>
    <n v="1"/>
    <n v="5"/>
    <n v="6.5"/>
    <n v="187"/>
  </r>
  <r>
    <x v="133"/>
    <s v="0104"/>
    <n v="1"/>
    <n v="6"/>
    <n v="8.1999999999999993"/>
    <n v="25"/>
  </r>
  <r>
    <x v="133"/>
    <s v="0104"/>
    <n v="0"/>
    <n v="6"/>
    <n v="6.9"/>
    <n v="28.42"/>
  </r>
  <r>
    <x v="226"/>
    <s v="0105"/>
    <n v="1"/>
    <n v="5"/>
    <n v="6.6"/>
    <n v="106"/>
  </r>
  <r>
    <x v="227"/>
    <s v="0111"/>
    <n v="1"/>
    <n v="5"/>
    <n v="7.1"/>
    <n v="434"/>
  </r>
  <r>
    <x v="199"/>
    <s v="0202"/>
    <n v="1"/>
    <n v="8"/>
    <n v="6.5"/>
    <n v="44.26"/>
  </r>
  <r>
    <x v="96"/>
    <s v="0203"/>
    <n v="1"/>
    <n v="2"/>
    <n v="6.5"/>
    <n v="119"/>
  </r>
  <r>
    <x v="4"/>
    <s v="0212"/>
    <n v="0"/>
    <n v="2"/>
    <n v="6.6"/>
    <n v="614"/>
  </r>
  <r>
    <x v="228"/>
    <s v="0218"/>
    <n v="1"/>
    <n v="4"/>
    <n v="6.5"/>
    <n v="14.83"/>
  </r>
  <r>
    <x v="229"/>
    <s v="0304"/>
    <n v="0"/>
    <n v="6"/>
    <n v="6.5"/>
    <n v="24.07"/>
  </r>
  <r>
    <x v="229"/>
    <s v="0304"/>
    <n v="1"/>
    <n v="6"/>
    <n v="7.7"/>
    <n v="22.4"/>
  </r>
  <r>
    <x v="160"/>
    <s v="0308"/>
    <n v="1"/>
    <n v="8"/>
    <n v="6.9"/>
    <n v="13"/>
  </r>
  <r>
    <x v="173"/>
    <s v="0316"/>
    <n v="1"/>
    <n v="6"/>
    <n v="6.7"/>
    <n v="20"/>
  </r>
  <r>
    <x v="230"/>
    <s v="0407"/>
    <n v="1"/>
    <n v="5"/>
    <n v="6.5"/>
    <n v="20"/>
  </r>
  <r>
    <x v="177"/>
    <s v="0413"/>
    <n v="1"/>
    <n v="5"/>
    <n v="7.4"/>
    <n v="39"/>
  </r>
  <r>
    <x v="177"/>
    <s v="0413"/>
    <n v="0"/>
    <n v="5"/>
    <n v="6.6"/>
    <n v="10"/>
  </r>
  <r>
    <x v="34"/>
    <s v="0418"/>
    <n v="1"/>
    <n v="4"/>
    <n v="7.2"/>
    <n v="24"/>
  </r>
  <r>
    <x v="10"/>
    <s v="0419"/>
    <n v="1"/>
    <n v="5"/>
    <n v="6.6"/>
    <n v="29"/>
  </r>
  <r>
    <x v="10"/>
    <s v="0419"/>
    <n v="1"/>
    <n v="5"/>
    <n v="7.5"/>
    <n v="43.37"/>
  </r>
  <r>
    <x v="231"/>
    <s v="0424"/>
    <n v="1"/>
    <n v="4"/>
    <n v="6.5"/>
    <n v="10"/>
  </r>
  <r>
    <x v="232"/>
    <s v="0513"/>
    <n v="1"/>
    <n v="4"/>
    <n v="6.5"/>
    <n v="10"/>
  </r>
  <r>
    <x v="217"/>
    <s v="0524"/>
    <n v="0"/>
    <n v="3"/>
    <n v="6.9"/>
    <n v="6.43"/>
  </r>
  <r>
    <x v="12"/>
    <s v="0623"/>
    <n v="1"/>
    <n v="5"/>
    <n v="6.9"/>
    <n v="20"/>
  </r>
  <r>
    <x v="12"/>
    <s v="0623"/>
    <n v="1"/>
    <n v="4"/>
    <n v="7.9"/>
    <n v="109"/>
  </r>
  <r>
    <x v="12"/>
    <s v="0623"/>
    <n v="0"/>
    <n v="5"/>
    <n v="6.5"/>
    <n v="10"/>
  </r>
  <r>
    <x v="12"/>
    <s v="0623"/>
    <n v="0"/>
    <n v="5"/>
    <n v="6.7"/>
    <n v="26.59"/>
  </r>
  <r>
    <x v="233"/>
    <s v="0629"/>
    <n v="1"/>
    <n v="7"/>
    <n v="6.9"/>
    <n v="8"/>
  </r>
  <r>
    <x v="233"/>
    <s v="0629"/>
    <n v="1"/>
    <n v="5"/>
    <n v="6.7"/>
    <n v="18"/>
  </r>
  <r>
    <x v="82"/>
    <s v="0702"/>
    <n v="1"/>
    <n v="5"/>
    <n v="6.5"/>
    <n v="122"/>
  </r>
  <r>
    <x v="14"/>
    <s v="0707"/>
    <n v="1"/>
    <n v="4"/>
    <n v="6.9"/>
    <n v="53"/>
  </r>
  <r>
    <x v="126"/>
    <s v="0711"/>
    <n v="1"/>
    <n v="5"/>
    <n v="6.6"/>
    <n v="53.19"/>
  </r>
  <r>
    <x v="205"/>
    <s v="0712"/>
    <n v="1"/>
    <n v="5"/>
    <n v="6.6"/>
    <n v="23"/>
  </r>
  <r>
    <x v="219"/>
    <s v="0721"/>
    <n v="1"/>
    <n v="5"/>
    <n v="6.9"/>
    <n v="615.41999999999996"/>
  </r>
  <r>
    <x v="234"/>
    <s v="0812"/>
    <n v="1"/>
    <n v="4"/>
    <n v="6.6"/>
    <n v="20"/>
  </r>
  <r>
    <x v="129"/>
    <s v="0824"/>
    <n v="1"/>
    <n v="6"/>
    <n v="6.8"/>
    <n v="101"/>
  </r>
  <r>
    <x v="235"/>
    <s v="0917"/>
    <n v="1"/>
    <n v="5"/>
    <n v="6.7"/>
    <n v="130"/>
  </r>
  <r>
    <x v="224"/>
    <s v="1003"/>
    <n v="1"/>
    <n v="4"/>
    <n v="6.8"/>
    <n v="16.440999999999999"/>
  </r>
  <r>
    <x v="196"/>
    <s v="1014"/>
    <n v="1"/>
    <n v="4"/>
    <n v="7.3"/>
    <n v="40"/>
  </r>
  <r>
    <x v="186"/>
    <s v="1104"/>
    <n v="1"/>
    <n v="5"/>
    <n v="7.1"/>
    <n v="60.53"/>
  </r>
  <r>
    <x v="186"/>
    <s v="1104"/>
    <n v="1"/>
    <n v="5"/>
    <n v="6.5"/>
    <n v="20"/>
  </r>
  <r>
    <x v="186"/>
    <s v="1104"/>
    <n v="1"/>
    <n v="4"/>
    <n v="6.6"/>
    <n v="135"/>
  </r>
  <r>
    <x v="236"/>
    <s v="1107"/>
    <n v="1"/>
    <n v="2"/>
    <n v="6.5"/>
    <n v="20"/>
  </r>
  <r>
    <x v="90"/>
    <s v="1115"/>
    <n v="1"/>
    <n v="2"/>
    <n v="7.1"/>
    <n v="45"/>
  </r>
  <r>
    <x v="143"/>
    <s v="1116"/>
    <n v="1"/>
    <n v="5"/>
    <n v="6.7"/>
    <n v="22"/>
  </r>
  <r>
    <x v="237"/>
    <s v="1121"/>
    <n v="1"/>
    <n v="2"/>
    <n v="6.5"/>
    <n v="35"/>
  </r>
  <r>
    <x v="92"/>
    <s v="1126"/>
    <n v="1"/>
    <n v="2"/>
    <n v="6.8"/>
    <n v="39"/>
  </r>
  <r>
    <x v="158"/>
    <s v="1202"/>
    <n v="0"/>
    <n v="2"/>
    <n v="6.9"/>
    <n v="10"/>
  </r>
  <r>
    <x v="209"/>
    <s v="1204"/>
    <n v="1"/>
    <n v="5"/>
    <n v="7.6"/>
    <n v="22.56"/>
  </r>
  <r>
    <x v="226"/>
    <s v="0105"/>
    <n v="1"/>
    <n v="5"/>
    <n v="6.8"/>
    <n v="44"/>
  </r>
  <r>
    <x v="238"/>
    <s v="0123"/>
    <n v="1"/>
    <n v="5"/>
    <n v="6.8"/>
    <n v="219.96"/>
  </r>
  <r>
    <x v="239"/>
    <s v="0216"/>
    <n v="1"/>
    <n v="2"/>
    <n v="6.7"/>
    <n v="23"/>
  </r>
  <r>
    <x v="171"/>
    <s v="0227"/>
    <n v="0"/>
    <n v="2"/>
    <n v="7"/>
    <n v="552.05999999999995"/>
  </r>
  <r>
    <x v="240"/>
    <s v="0329"/>
    <n v="1"/>
    <n v="5"/>
    <n v="7.5"/>
    <n v="41"/>
  </r>
  <r>
    <x v="174"/>
    <s v="0330"/>
    <n v="1"/>
    <n v="5"/>
    <n v="6.5"/>
    <n v="11"/>
  </r>
  <r>
    <x v="241"/>
    <s v="0411"/>
    <n v="0"/>
    <n v="2"/>
    <n v="6.5"/>
    <n v="20"/>
  </r>
  <r>
    <x v="201"/>
    <s v="0417"/>
    <n v="1"/>
    <n v="5"/>
    <n v="6.5"/>
    <n v="10"/>
  </r>
  <r>
    <x v="242"/>
    <s v="0425"/>
    <n v="0"/>
    <n v="2"/>
    <n v="7.8"/>
    <n v="8.2200000000000006"/>
  </r>
  <r>
    <x v="242"/>
    <s v="0425"/>
    <n v="0"/>
    <n v="2"/>
    <n v="6.6"/>
    <n v="10"/>
  </r>
  <r>
    <x v="35"/>
    <s v="0426"/>
    <n v="0"/>
    <n v="2"/>
    <n v="6.7"/>
    <n v="22.91"/>
  </r>
  <r>
    <x v="120"/>
    <s v="0430"/>
    <n v="1"/>
    <n v="5"/>
    <n v="6.7"/>
    <n v="31"/>
  </r>
  <r>
    <x v="243"/>
    <s v="0505"/>
    <n v="1"/>
    <n v="5"/>
    <n v="7.5"/>
    <n v="55"/>
  </r>
  <r>
    <x v="244"/>
    <s v="0520"/>
    <n v="1"/>
    <n v="5"/>
    <n v="6.8"/>
    <n v="11"/>
  </r>
  <r>
    <x v="122"/>
    <s v="0522"/>
    <n v="1"/>
    <n v="5"/>
    <n v="6.9"/>
    <n v="11.19"/>
  </r>
  <r>
    <x v="122"/>
    <s v="0522"/>
    <n v="1"/>
    <n v="5"/>
    <n v="6.8"/>
    <n v="10"/>
  </r>
  <r>
    <x v="245"/>
    <s v="0529"/>
    <n v="1"/>
    <n v="4"/>
    <n v="6.8"/>
    <n v="72.599999999999994"/>
  </r>
  <r>
    <x v="246"/>
    <s v="0530"/>
    <n v="1"/>
    <n v="2"/>
    <n v="7.8"/>
    <n v="664"/>
  </r>
  <r>
    <x v="12"/>
    <s v="0623"/>
    <n v="0"/>
    <n v="2"/>
    <n v="6.5"/>
    <n v="460"/>
  </r>
  <r>
    <x v="247"/>
    <s v="0701"/>
    <n v="1"/>
    <n v="4"/>
    <n v="6.5"/>
    <n v="8"/>
  </r>
  <r>
    <x v="153"/>
    <s v="0705"/>
    <n v="1"/>
    <n v="5"/>
    <n v="7.1"/>
    <n v="10"/>
  </r>
  <r>
    <x v="126"/>
    <s v="0711"/>
    <n v="1"/>
    <n v="6"/>
    <n v="6.8"/>
    <n v="46"/>
  </r>
  <r>
    <x v="205"/>
    <s v="0712"/>
    <n v="0"/>
    <n v="2"/>
    <n v="7.2"/>
    <n v="22"/>
  </r>
  <r>
    <x v="137"/>
    <s v="0716"/>
    <n v="1"/>
    <n v="4"/>
    <n v="6.5"/>
    <n v="20"/>
  </r>
  <r>
    <x v="182"/>
    <s v="0718"/>
    <n v="1"/>
    <n v="5"/>
    <n v="7"/>
    <n v="11"/>
  </r>
  <r>
    <x v="248"/>
    <s v="0727"/>
    <n v="1"/>
    <n v="2"/>
    <n v="7"/>
    <n v="48"/>
  </r>
  <r>
    <x v="248"/>
    <s v="0727"/>
    <n v="1"/>
    <n v="4"/>
    <n v="6.9"/>
    <n v="29"/>
  </r>
  <r>
    <x v="162"/>
    <s v="0811"/>
    <n v="0"/>
    <n v="2"/>
    <n v="6.6"/>
    <n v="10"/>
  </r>
  <r>
    <x v="249"/>
    <s v="0912"/>
    <n v="0"/>
    <n v="2"/>
    <n v="6.9"/>
    <n v="21"/>
  </r>
  <r>
    <x v="44"/>
    <s v="0913"/>
    <n v="1"/>
    <n v="4"/>
    <n v="6.7"/>
    <n v="10"/>
  </r>
  <r>
    <x v="193"/>
    <s v="0916"/>
    <n v="1"/>
    <n v="6"/>
    <n v="8.3000000000000007"/>
    <n v="22.44"/>
  </r>
  <r>
    <x v="193"/>
    <s v="0916"/>
    <n v="0"/>
    <n v="6"/>
    <n v="7"/>
    <n v="28.41"/>
  </r>
  <r>
    <x v="235"/>
    <s v="0917"/>
    <n v="0"/>
    <n v="6"/>
    <n v="6.5"/>
    <n v="27"/>
  </r>
  <r>
    <x v="235"/>
    <s v="0917"/>
    <n v="0"/>
    <n v="6"/>
    <n v="6.7"/>
    <n v="23"/>
  </r>
  <r>
    <x v="63"/>
    <s v="0921"/>
    <n v="1"/>
    <n v="6"/>
    <n v="6.6"/>
    <n v="35"/>
  </r>
  <r>
    <x v="223"/>
    <s v="0924"/>
    <n v="0"/>
    <n v="2"/>
    <n v="6.6"/>
    <n v="18"/>
  </r>
  <r>
    <x v="250"/>
    <s v="1007"/>
    <n v="1"/>
    <n v="5"/>
    <n v="6.7"/>
    <n v="12"/>
  </r>
  <r>
    <x v="166"/>
    <s v="1008"/>
    <n v="1"/>
    <n v="5"/>
    <n v="6.6"/>
    <n v="22"/>
  </r>
  <r>
    <x v="132"/>
    <s v="1020"/>
    <n v="1"/>
    <n v="5"/>
    <n v="7.1"/>
    <n v="135"/>
  </r>
  <r>
    <x v="251"/>
    <s v="1026"/>
    <n v="0"/>
    <n v="2"/>
    <n v="7.5"/>
    <n v="231"/>
  </r>
  <r>
    <x v="168"/>
    <s v="1102"/>
    <n v="1"/>
    <n v="6"/>
    <n v="6.7"/>
    <n v="223"/>
  </r>
  <r>
    <x v="89"/>
    <s v="1111"/>
    <n v="1"/>
    <n v="6"/>
    <n v="6.9"/>
    <n v="12"/>
  </r>
  <r>
    <x v="89"/>
    <s v="1111"/>
    <n v="0"/>
    <n v="6"/>
    <n v="6.9"/>
    <n v="10"/>
  </r>
  <r>
    <x v="169"/>
    <s v="1113"/>
    <n v="0"/>
    <n v="2"/>
    <n v="6.7"/>
    <n v="12"/>
  </r>
  <r>
    <x v="112"/>
    <s v="1117"/>
    <n v="0"/>
    <n v="3"/>
    <n v="6.5"/>
    <n v="11"/>
  </r>
  <r>
    <x v="69"/>
    <s v="1118"/>
    <n v="1"/>
    <n v="5"/>
    <n v="6.8"/>
    <n v="12.59"/>
  </r>
  <r>
    <x v="252"/>
    <s v="1124"/>
    <n v="1"/>
    <n v="6"/>
    <n v="7.6"/>
    <n v="606.21"/>
  </r>
  <r>
    <x v="252"/>
    <s v="1124"/>
    <n v="0"/>
    <n v="6"/>
    <n v="7.6"/>
    <n v="620.55999999999995"/>
  </r>
  <r>
    <x v="92"/>
    <s v="1126"/>
    <n v="0"/>
    <n v="6"/>
    <n v="6.7"/>
    <n v="602.75"/>
  </r>
  <r>
    <x v="159"/>
    <s v="1205"/>
    <n v="0"/>
    <n v="2"/>
    <n v="7.3"/>
    <n v="15"/>
  </r>
  <r>
    <x v="159"/>
    <s v="1205"/>
    <n v="1"/>
    <n v="2"/>
    <n v="6.8"/>
    <n v="35"/>
  </r>
  <r>
    <x v="170"/>
    <s v="1208"/>
    <n v="1"/>
    <n v="5"/>
    <n v="6.5"/>
    <n v="6.43"/>
  </r>
  <r>
    <x v="253"/>
    <s v="1217"/>
    <n v="1"/>
    <n v="4"/>
    <n v="6.6"/>
    <n v="85"/>
  </r>
  <r>
    <x v="254"/>
    <s v="0106"/>
    <n v="0"/>
    <n v="2"/>
    <n v="6.6"/>
    <n v="50"/>
  </r>
  <r>
    <x v="114"/>
    <s v="0109"/>
    <n v="1"/>
    <n v="5"/>
    <n v="7"/>
    <n v="19"/>
  </r>
  <r>
    <x v="255"/>
    <s v="0114"/>
    <n v="1"/>
    <n v="2"/>
    <n v="6.7"/>
    <n v="46"/>
  </r>
  <r>
    <x v="50"/>
    <s v="0121"/>
    <n v="1"/>
    <n v="4"/>
    <n v="6.6"/>
    <n v="10"/>
  </r>
  <r>
    <x v="256"/>
    <s v="0124"/>
    <n v="1"/>
    <n v="4"/>
    <n v="7.1"/>
    <n v="125.6"/>
  </r>
  <r>
    <x v="212"/>
    <s v="0130"/>
    <n v="1"/>
    <n v="2"/>
    <n v="7.2"/>
    <n v="177"/>
  </r>
  <r>
    <x v="96"/>
    <s v="0203"/>
    <n v="0"/>
    <n v="2"/>
    <n v="7.8"/>
    <n v="24"/>
  </r>
  <r>
    <x v="28"/>
    <s v="0301"/>
    <n v="0"/>
    <n v="2"/>
    <n v="6.7"/>
    <n v="55"/>
  </r>
  <r>
    <x v="229"/>
    <s v="0304"/>
    <n v="1"/>
    <n v="5"/>
    <n v="6.9"/>
    <n v="26"/>
  </r>
  <r>
    <x v="177"/>
    <s v="0413"/>
    <n v="0"/>
    <n v="2"/>
    <n v="6.9"/>
    <n v="136"/>
  </r>
  <r>
    <x v="257"/>
    <s v="0415"/>
    <n v="1"/>
    <n v="2"/>
    <n v="7"/>
    <n v="10"/>
  </r>
  <r>
    <x v="215"/>
    <s v="0416"/>
    <n v="1"/>
    <n v="6"/>
    <n v="7.8"/>
    <n v="20.59"/>
  </r>
  <r>
    <x v="203"/>
    <s v="0428"/>
    <n v="1"/>
    <n v="5"/>
    <n v="7"/>
    <n v="24"/>
  </r>
  <r>
    <x v="258"/>
    <s v="0518"/>
    <n v="1"/>
    <n v="6"/>
    <n v="6.7"/>
    <n v="16"/>
  </r>
  <r>
    <x v="258"/>
    <s v="0518"/>
    <n v="1"/>
    <n v="6"/>
    <n v="6.9"/>
    <n v="29.95"/>
  </r>
  <r>
    <x v="123"/>
    <s v="0528"/>
    <n v="1"/>
    <n v="8"/>
    <n v="6.9"/>
    <n v="405.69"/>
  </r>
  <r>
    <x v="123"/>
    <s v="0528"/>
    <n v="1"/>
    <n v="7"/>
    <n v="7.2"/>
    <n v="78"/>
  </r>
  <r>
    <x v="180"/>
    <s v="0604"/>
    <n v="1"/>
    <n v="5"/>
    <n v="6.7"/>
    <n v="24"/>
  </r>
  <r>
    <x v="81"/>
    <s v="0612"/>
    <n v="0"/>
    <n v="2"/>
    <n v="6.5"/>
    <n v="13"/>
  </r>
  <r>
    <x v="124"/>
    <s v="0704"/>
    <n v="1"/>
    <n v="5"/>
    <n v="6.7"/>
    <n v="27.59"/>
  </r>
  <r>
    <x v="259"/>
    <s v="0729"/>
    <n v="1"/>
    <n v="5"/>
    <n v="7.7"/>
    <n v="196"/>
  </r>
  <r>
    <x v="234"/>
    <s v="0812"/>
    <n v="1"/>
    <n v="4"/>
    <n v="6.6"/>
    <n v="8.4499999999999993"/>
  </r>
  <r>
    <x v="234"/>
    <s v="0812"/>
    <n v="1"/>
    <n v="5"/>
    <n v="7.8"/>
    <n v="40"/>
  </r>
  <r>
    <x v="234"/>
    <s v="0812"/>
    <n v="0"/>
    <n v="5"/>
    <n v="6.5"/>
    <n v="12.26"/>
  </r>
  <r>
    <x v="129"/>
    <s v="0824"/>
    <n v="0"/>
    <n v="2"/>
    <n v="6.8"/>
    <n v="82"/>
  </r>
  <r>
    <x v="208"/>
    <s v="0831"/>
    <n v="1"/>
    <n v="5"/>
    <n v="6.8"/>
    <n v="476"/>
  </r>
  <r>
    <x v="249"/>
    <s v="0912"/>
    <n v="1"/>
    <n v="5"/>
    <n v="6.9"/>
    <n v="19.73"/>
  </r>
  <r>
    <x v="223"/>
    <s v="0924"/>
    <n v="1"/>
    <n v="5"/>
    <n v="6.9"/>
    <n v="596.4"/>
  </r>
  <r>
    <x v="111"/>
    <s v="1004"/>
    <n v="0"/>
    <n v="2"/>
    <n v="6.6"/>
    <n v="212"/>
  </r>
  <r>
    <x v="131"/>
    <s v="1017"/>
    <n v="1"/>
    <n v="5"/>
    <n v="6.8"/>
    <n v="42"/>
  </r>
  <r>
    <x v="19"/>
    <s v="1019"/>
    <n v="0"/>
    <n v="2"/>
    <n v="6.6"/>
    <n v="614"/>
  </r>
  <r>
    <x v="167"/>
    <s v="1030"/>
    <n v="0"/>
    <n v="3"/>
    <n v="6.6"/>
    <n v="8"/>
  </r>
  <r>
    <x v="260"/>
    <s v="1101"/>
    <n v="1"/>
    <n v="2"/>
    <n v="6.5"/>
    <n v="13"/>
  </r>
  <r>
    <x v="169"/>
    <s v="1113"/>
    <n v="1"/>
    <n v="5"/>
    <n v="7.8"/>
    <n v="15.11"/>
  </r>
  <r>
    <x v="169"/>
    <s v="1113"/>
    <n v="1"/>
    <n v="5"/>
    <n v="6.5"/>
    <n v="10"/>
  </r>
  <r>
    <x v="22"/>
    <s v="1114"/>
    <n v="1"/>
    <n v="5"/>
    <n v="6.5"/>
    <n v="9"/>
  </r>
  <r>
    <x v="237"/>
    <s v="1121"/>
    <n v="1"/>
    <n v="2"/>
    <n v="6.9"/>
    <n v="9"/>
  </r>
  <r>
    <x v="252"/>
    <s v="1124"/>
    <n v="1"/>
    <n v="4"/>
    <n v="6.9"/>
    <n v="10"/>
  </r>
  <r>
    <x v="70"/>
    <s v="1125"/>
    <n v="0"/>
    <n v="2"/>
    <n v="6.6"/>
    <n v="17"/>
  </r>
  <r>
    <x v="170"/>
    <s v="1208"/>
    <n v="1"/>
    <n v="5"/>
    <n v="7.2"/>
    <n v="16.37"/>
  </r>
  <r>
    <x v="253"/>
    <s v="1217"/>
    <n v="1"/>
    <n v="5"/>
    <n v="7.9"/>
    <n v="94.54"/>
  </r>
  <r>
    <x v="210"/>
    <s v="1221"/>
    <n v="0"/>
    <n v="2"/>
    <n v="6.7"/>
    <n v="152"/>
  </r>
  <r>
    <x v="72"/>
    <s v="1225"/>
    <n v="1"/>
    <n v="6"/>
    <n v="7.6"/>
    <n v="38"/>
  </r>
  <r>
    <x v="227"/>
    <s v="0111"/>
    <n v="1"/>
    <n v="5"/>
    <n v="6.6"/>
    <n v="22"/>
  </r>
  <r>
    <x v="95"/>
    <s v="0119"/>
    <n v="1"/>
    <n v="5"/>
    <n v="6.5"/>
    <n v="36"/>
  </r>
  <r>
    <x v="51"/>
    <s v="0122"/>
    <n v="1"/>
    <n v="5"/>
    <n v="7.9"/>
    <n v="135"/>
  </r>
  <r>
    <x v="261"/>
    <s v="0206"/>
    <n v="1"/>
    <n v="4"/>
    <n v="6.8"/>
    <n v="5"/>
  </r>
  <r>
    <x v="262"/>
    <s v="0221"/>
    <n v="0"/>
    <n v="6"/>
    <n v="6.5"/>
    <n v="595.98"/>
  </r>
  <r>
    <x v="6"/>
    <s v="0224"/>
    <n v="1"/>
    <n v="5"/>
    <n v="6.9"/>
    <n v="414.5"/>
  </r>
  <r>
    <x v="28"/>
    <s v="0301"/>
    <n v="1"/>
    <n v="5"/>
    <n v="6.9"/>
    <n v="12"/>
  </r>
  <r>
    <x v="229"/>
    <s v="0304"/>
    <n v="0"/>
    <n v="1"/>
    <n v="6.5"/>
    <n v="29"/>
  </r>
  <r>
    <x v="240"/>
    <s v="0329"/>
    <n v="1"/>
    <n v="2"/>
    <n v="6.6"/>
    <n v="17"/>
  </r>
  <r>
    <x v="241"/>
    <s v="0411"/>
    <n v="1"/>
    <n v="5"/>
    <n v="6.8"/>
    <n v="10"/>
  </r>
  <r>
    <x v="231"/>
    <s v="0424"/>
    <n v="1"/>
    <n v="6"/>
    <n v="6.9"/>
    <n v="28"/>
  </r>
  <r>
    <x v="203"/>
    <s v="0428"/>
    <n v="1"/>
    <n v="2"/>
    <n v="6.9"/>
    <n v="26"/>
  </r>
  <r>
    <x v="245"/>
    <s v="0529"/>
    <n v="0"/>
    <n v="2"/>
    <n v="6.6"/>
    <n v="12"/>
  </r>
  <r>
    <x v="190"/>
    <s v="0607"/>
    <n v="1"/>
    <n v="2"/>
    <n v="6.5"/>
    <n v="9"/>
  </r>
  <r>
    <x v="263"/>
    <s v="0614"/>
    <n v="1"/>
    <n v="4"/>
    <n v="6.9"/>
    <n v="93"/>
  </r>
  <r>
    <x v="40"/>
    <s v="0622"/>
    <n v="1"/>
    <n v="6"/>
    <n v="6.8"/>
    <n v="38.119999999999997"/>
  </r>
  <r>
    <x v="126"/>
    <s v="0711"/>
    <n v="1"/>
    <n v="5"/>
    <n v="6.5"/>
    <n v="110.57"/>
  </r>
  <r>
    <x v="127"/>
    <s v="0717"/>
    <n v="1"/>
    <n v="2"/>
    <n v="7.7"/>
    <n v="10"/>
  </r>
  <r>
    <x v="264"/>
    <s v="0720"/>
    <n v="0"/>
    <n v="2"/>
    <n v="6.6"/>
    <n v="7"/>
  </r>
  <r>
    <x v="138"/>
    <s v="0808"/>
    <n v="0"/>
    <n v="2"/>
    <n v="6.5"/>
    <n v="9"/>
  </r>
  <r>
    <x v="42"/>
    <s v="0809"/>
    <n v="1"/>
    <n v="4"/>
    <n v="8.1999999999999993"/>
    <n v="47.39"/>
  </r>
  <r>
    <x v="61"/>
    <s v="0810"/>
    <n v="1"/>
    <n v="4"/>
    <n v="6.5"/>
    <n v="119"/>
  </r>
  <r>
    <x v="183"/>
    <s v="0905"/>
    <n v="1"/>
    <n v="5"/>
    <n v="6.8"/>
    <n v="169"/>
  </r>
  <r>
    <x v="265"/>
    <s v="0919"/>
    <n v="0"/>
    <n v="4"/>
    <n v="7.1"/>
    <n v="48"/>
  </r>
  <r>
    <x v="18"/>
    <s v="1001"/>
    <n v="1"/>
    <n v="2"/>
    <n v="7.3"/>
    <n v="627.16999999999996"/>
  </r>
  <r>
    <x v="266"/>
    <s v="1002"/>
    <n v="1"/>
    <n v="2"/>
    <n v="6.5"/>
    <n v="15"/>
  </r>
  <r>
    <x v="195"/>
    <s v="1005"/>
    <n v="1"/>
    <n v="7"/>
    <n v="6.5"/>
    <n v="15"/>
  </r>
  <r>
    <x v="142"/>
    <s v="1024"/>
    <n v="0"/>
    <n v="2"/>
    <n v="6.7"/>
    <n v="553.80999999999995"/>
  </r>
  <r>
    <x v="20"/>
    <s v="1031"/>
    <n v="1"/>
    <n v="5"/>
    <n v="6.7"/>
    <n v="24"/>
  </r>
  <r>
    <x v="236"/>
    <s v="1107"/>
    <n v="1"/>
    <n v="5"/>
    <n v="6.6"/>
    <n v="10"/>
  </r>
  <r>
    <x v="169"/>
    <s v="1113"/>
    <n v="1"/>
    <n v="4"/>
    <n v="6.5"/>
    <n v="19.36"/>
  </r>
  <r>
    <x v="113"/>
    <s v="1119"/>
    <n v="1"/>
    <n v="5"/>
    <n v="6.6"/>
    <n v="13"/>
  </r>
  <r>
    <x v="113"/>
    <s v="1119"/>
    <n v="1"/>
    <n v="5"/>
    <n v="7"/>
    <n v="10"/>
  </r>
  <r>
    <x v="267"/>
    <s v="1211"/>
    <n v="0"/>
    <n v="2"/>
    <n v="7.3"/>
    <n v="19"/>
  </r>
  <r>
    <x v="268"/>
    <s v="1213"/>
    <n v="1"/>
    <n v="7"/>
    <n v="6.5"/>
    <n v="17"/>
  </r>
  <r>
    <x v="269"/>
    <s v="1215"/>
    <n v="0"/>
    <n v="2"/>
    <n v="6.5"/>
    <n v="90"/>
  </r>
  <r>
    <x v="255"/>
    <s v="0114"/>
    <n v="1"/>
    <n v="6"/>
    <n v="7.1"/>
    <n v="39"/>
  </r>
  <r>
    <x v="238"/>
    <s v="0123"/>
    <n v="1"/>
    <n v="4"/>
    <n v="7.9"/>
    <n v="14.06"/>
  </r>
  <r>
    <x v="270"/>
    <s v="0204"/>
    <n v="0"/>
    <n v="6"/>
    <n v="6.8"/>
    <n v="559"/>
  </r>
  <r>
    <x v="239"/>
    <s v="0216"/>
    <n v="1"/>
    <n v="4"/>
    <n v="7.2"/>
    <n v="22"/>
  </r>
  <r>
    <x v="150"/>
    <s v="0225"/>
    <n v="1"/>
    <n v="5"/>
    <n v="7.5"/>
    <n v="25.21"/>
  </r>
  <r>
    <x v="271"/>
    <s v="0326"/>
    <n v="1"/>
    <n v="5"/>
    <n v="6.7"/>
    <n v="40"/>
  </r>
  <r>
    <x v="240"/>
    <s v="0329"/>
    <n v="1"/>
    <n v="5"/>
    <n v="6.9"/>
    <n v="35"/>
  </r>
  <r>
    <x v="272"/>
    <s v="0405"/>
    <n v="1"/>
    <n v="4"/>
    <n v="6.9"/>
    <n v="5.81"/>
  </r>
  <r>
    <x v="273"/>
    <s v="0508"/>
    <n v="0"/>
    <n v="2"/>
    <n v="6.9"/>
    <n v="34"/>
  </r>
  <r>
    <x v="79"/>
    <s v="0509"/>
    <n v="1"/>
    <n v="2"/>
    <n v="6.6"/>
    <n v="35"/>
  </r>
  <r>
    <x v="102"/>
    <s v="0512"/>
    <n v="1"/>
    <n v="5"/>
    <n v="7.5"/>
    <n v="10"/>
  </r>
  <r>
    <x v="102"/>
    <s v="0512"/>
    <n v="1"/>
    <n v="5"/>
    <n v="6.6"/>
    <n v="10"/>
  </r>
  <r>
    <x v="274"/>
    <s v="0603"/>
    <n v="1"/>
    <n v="5"/>
    <n v="6.7"/>
    <n v="20.49"/>
  </r>
  <r>
    <x v="80"/>
    <s v="0609"/>
    <n v="1"/>
    <n v="5"/>
    <n v="7.9"/>
    <n v="670.81"/>
  </r>
  <r>
    <x v="275"/>
    <s v="0803"/>
    <n v="1"/>
    <n v="5"/>
    <n v="6.8"/>
    <n v="22.86"/>
  </r>
  <r>
    <x v="139"/>
    <s v="0815"/>
    <n v="1"/>
    <n v="4"/>
    <n v="6.5"/>
    <n v="33.93"/>
  </r>
  <r>
    <x v="276"/>
    <s v="0817"/>
    <n v="0"/>
    <n v="2"/>
    <n v="6.5"/>
    <n v="529"/>
  </r>
  <r>
    <x v="277"/>
    <s v="0819"/>
    <n v="1"/>
    <n v="5"/>
    <n v="8.1999999999999993"/>
    <n v="600"/>
  </r>
  <r>
    <x v="277"/>
    <s v="0819"/>
    <n v="0"/>
    <n v="2"/>
    <n v="6.9"/>
    <n v="21"/>
  </r>
  <r>
    <x v="62"/>
    <s v="0821"/>
    <n v="1"/>
    <n v="6"/>
    <n v="7.3"/>
    <n v="146.82"/>
  </r>
  <r>
    <x v="62"/>
    <s v="0821"/>
    <n v="1"/>
    <n v="5"/>
    <n v="6.5"/>
    <n v="9"/>
  </r>
  <r>
    <x v="129"/>
    <s v="0824"/>
    <n v="0"/>
    <n v="6"/>
    <n v="7.1"/>
    <n v="630"/>
  </r>
  <r>
    <x v="278"/>
    <s v="0829"/>
    <n v="1"/>
    <n v="5"/>
    <n v="7.1"/>
    <n v="21.43"/>
  </r>
  <r>
    <x v="109"/>
    <s v="0909"/>
    <n v="1"/>
    <n v="5"/>
    <n v="6.5"/>
    <n v="68"/>
  </r>
  <r>
    <x v="164"/>
    <s v="0911"/>
    <n v="1"/>
    <n v="8"/>
    <n v="6.7"/>
    <n v="10"/>
  </r>
  <r>
    <x v="193"/>
    <s v="0916"/>
    <n v="0"/>
    <n v="5"/>
    <n v="6.5"/>
    <n v="576"/>
  </r>
  <r>
    <x v="130"/>
    <s v="0928"/>
    <n v="0"/>
    <n v="2"/>
    <n v="7.5"/>
    <n v="20"/>
  </r>
  <r>
    <x v="165"/>
    <s v="0930"/>
    <n v="1"/>
    <n v="5"/>
    <n v="6.7"/>
    <n v="550"/>
  </r>
  <r>
    <x v="18"/>
    <s v="1001"/>
    <n v="1"/>
    <n v="4"/>
    <n v="7.5"/>
    <n v="19"/>
  </r>
  <r>
    <x v="141"/>
    <s v="1009"/>
    <n v="0"/>
    <n v="5"/>
    <n v="6.9"/>
    <n v="115"/>
  </r>
  <r>
    <x v="45"/>
    <s v="1010"/>
    <n v="1"/>
    <n v="5"/>
    <n v="7"/>
    <n v="39"/>
  </r>
  <r>
    <x v="45"/>
    <s v="1010"/>
    <n v="1"/>
    <n v="2"/>
    <n v="6.5"/>
    <n v="20"/>
  </r>
  <r>
    <x v="279"/>
    <s v="1013"/>
    <n v="1"/>
    <n v="2"/>
    <n v="6.7"/>
    <n v="461"/>
  </r>
  <r>
    <x v="157"/>
    <s v="1016"/>
    <n v="1"/>
    <n v="5"/>
    <n v="6.5"/>
    <n v="17"/>
  </r>
  <r>
    <x v="280"/>
    <s v="1022"/>
    <n v="1"/>
    <n v="4"/>
    <n v="6.5"/>
    <n v="10"/>
  </r>
  <r>
    <x v="280"/>
    <s v="1022"/>
    <n v="1"/>
    <n v="4"/>
    <n v="6.8"/>
    <n v="10"/>
  </r>
  <r>
    <x v="280"/>
    <s v="1022"/>
    <n v="0"/>
    <n v="4"/>
    <n v="6.5"/>
    <n v="10"/>
  </r>
  <r>
    <x v="185"/>
    <s v="1025"/>
    <n v="0"/>
    <n v="3"/>
    <n v="6.8"/>
    <n v="14"/>
  </r>
  <r>
    <x v="198"/>
    <s v="1112"/>
    <n v="1"/>
    <n v="7"/>
    <n v="7.1"/>
    <n v="133"/>
  </r>
  <r>
    <x v="69"/>
    <s v="1118"/>
    <n v="1"/>
    <n v="5"/>
    <n v="6.8"/>
    <n v="540"/>
  </r>
  <r>
    <x v="281"/>
    <s v="1130"/>
    <n v="1"/>
    <n v="4"/>
    <n v="7.1"/>
    <n v="46.7"/>
  </r>
  <r>
    <x v="148"/>
    <s v="1220"/>
    <n v="1"/>
    <n v="2"/>
    <n v="7.3"/>
    <n v="16.559999999999999"/>
  </r>
  <r>
    <x v="282"/>
    <s v="1229"/>
    <n v="1"/>
    <n v="2"/>
    <n v="7"/>
    <n v="60.21"/>
  </r>
  <r>
    <x v="283"/>
    <s v="0102"/>
    <n v="1"/>
    <n v="4"/>
    <n v="6.7"/>
    <n v="66"/>
  </r>
  <r>
    <x v="211"/>
    <s v="0103"/>
    <n v="1"/>
    <n v="6"/>
    <n v="7"/>
    <n v="267"/>
  </r>
  <r>
    <x v="134"/>
    <s v="0108"/>
    <n v="1"/>
    <n v="6"/>
    <n v="6.8"/>
    <n v="25"/>
  </r>
  <r>
    <x v="114"/>
    <s v="0109"/>
    <n v="1"/>
    <n v="5"/>
    <n v="6.6"/>
    <n v="591"/>
  </r>
  <r>
    <x v="284"/>
    <s v="0115"/>
    <n v="1"/>
    <n v="5"/>
    <n v="6.6"/>
    <n v="35"/>
  </r>
  <r>
    <x v="49"/>
    <s v="0120"/>
    <n v="1"/>
    <n v="6"/>
    <n v="6.7"/>
    <n v="63"/>
  </r>
  <r>
    <x v="51"/>
    <s v="0122"/>
    <n v="0"/>
    <n v="4"/>
    <n v="6.7"/>
    <n v="13"/>
  </r>
  <r>
    <x v="285"/>
    <s v="0208"/>
    <n v="0"/>
    <n v="2"/>
    <n v="6.9"/>
    <n v="49"/>
  </r>
  <r>
    <x v="115"/>
    <s v="0222"/>
    <n v="1"/>
    <n v="6"/>
    <n v="7.5"/>
    <n v="145"/>
  </r>
  <r>
    <x v="241"/>
    <s v="0411"/>
    <n v="1"/>
    <n v="5"/>
    <n v="6.6"/>
    <n v="10"/>
  </r>
  <r>
    <x v="178"/>
    <s v="0501"/>
    <n v="0"/>
    <n v="6"/>
    <n v="6.8"/>
    <n v="570.41"/>
  </r>
  <r>
    <x v="103"/>
    <s v="0514"/>
    <n v="1"/>
    <n v="5"/>
    <n v="7.6"/>
    <n v="10"/>
  </r>
  <r>
    <x v="55"/>
    <s v="0526"/>
    <n v="1"/>
    <n v="6"/>
    <n v="8"/>
    <n v="122.57"/>
  </r>
  <r>
    <x v="246"/>
    <s v="0530"/>
    <n v="1"/>
    <n v="4"/>
    <n v="6.6"/>
    <n v="57.92"/>
  </r>
  <r>
    <x v="286"/>
    <s v="0601"/>
    <n v="1"/>
    <n v="2"/>
    <n v="6.6"/>
    <n v="43.21"/>
  </r>
  <r>
    <x v="287"/>
    <s v="0605"/>
    <n v="1"/>
    <n v="5"/>
    <n v="7.1"/>
    <n v="146"/>
  </r>
  <r>
    <x v="190"/>
    <s v="0607"/>
    <n v="0"/>
    <n v="4"/>
    <n v="7.1"/>
    <n v="8"/>
  </r>
  <r>
    <x v="106"/>
    <s v="0615"/>
    <n v="1"/>
    <n v="5"/>
    <n v="7.3"/>
    <n v="46"/>
  </r>
  <r>
    <x v="218"/>
    <s v="0624"/>
    <n v="1"/>
    <n v="2"/>
    <n v="7.3"/>
    <n v="212"/>
  </r>
  <r>
    <x v="14"/>
    <s v="0707"/>
    <n v="0"/>
    <n v="2"/>
    <n v="6.9"/>
    <n v="35"/>
  </r>
  <r>
    <x v="181"/>
    <s v="0714"/>
    <n v="1"/>
    <n v="2"/>
    <n v="7.2"/>
    <n v="18.98"/>
  </r>
  <r>
    <x v="181"/>
    <s v="0714"/>
    <n v="0"/>
    <n v="5"/>
    <n v="6.6"/>
    <n v="10"/>
  </r>
  <r>
    <x v="41"/>
    <s v="0731"/>
    <n v="1"/>
    <n v="5"/>
    <n v="6.6"/>
    <n v="181"/>
  </r>
  <r>
    <x v="162"/>
    <s v="0811"/>
    <n v="0"/>
    <n v="5"/>
    <n v="6.5"/>
    <n v="577"/>
  </r>
  <r>
    <x v="207"/>
    <s v="0827"/>
    <n v="1"/>
    <n v="3"/>
    <n v="6.6"/>
    <n v="16"/>
  </r>
  <r>
    <x v="85"/>
    <s v="0904"/>
    <n v="1"/>
    <n v="3"/>
    <n v="6.5"/>
    <n v="38"/>
  </r>
  <r>
    <x v="64"/>
    <s v="0925"/>
    <n v="1"/>
    <n v="2"/>
    <n v="6.5"/>
    <n v="12.26"/>
  </r>
  <r>
    <x v="66"/>
    <s v="0929"/>
    <n v="1"/>
    <n v="6"/>
    <n v="6.7"/>
    <n v="11"/>
  </r>
  <r>
    <x v="288"/>
    <s v="1029"/>
    <n v="1"/>
    <n v="2"/>
    <n v="6.6"/>
    <n v="15"/>
  </r>
  <r>
    <x v="20"/>
    <s v="1031"/>
    <n v="1"/>
    <n v="2"/>
    <n v="6.5"/>
    <n v="10"/>
  </r>
  <r>
    <x v="22"/>
    <s v="1114"/>
    <n v="1"/>
    <n v="2"/>
    <n v="7.1"/>
    <n v="33"/>
  </r>
  <r>
    <x v="209"/>
    <s v="1204"/>
    <n v="1"/>
    <n v="2"/>
    <n v="6.8"/>
    <n v="15.46"/>
  </r>
  <r>
    <x v="269"/>
    <s v="1215"/>
    <n v="1"/>
    <n v="2"/>
    <n v="6.8"/>
    <n v="18"/>
  </r>
  <r>
    <x v="114"/>
    <s v="0109"/>
    <n v="1"/>
    <n v="6"/>
    <n v="6.8"/>
    <n v="21"/>
  </r>
  <r>
    <x v="114"/>
    <s v="0109"/>
    <n v="0"/>
    <n v="6"/>
    <n v="6.5"/>
    <n v="16"/>
  </r>
  <r>
    <x v="256"/>
    <s v="0124"/>
    <n v="0"/>
    <n v="2"/>
    <n v="6.7"/>
    <n v="10"/>
  </r>
  <r>
    <x v="75"/>
    <s v="0128"/>
    <n v="1"/>
    <n v="4"/>
    <n v="7.7"/>
    <n v="14.86"/>
  </r>
  <r>
    <x v="289"/>
    <s v="0205"/>
    <n v="0"/>
    <n v="3"/>
    <n v="6.5"/>
    <n v="10"/>
  </r>
  <r>
    <x v="5"/>
    <s v="0213"/>
    <n v="1"/>
    <n v="2"/>
    <n v="7"/>
    <n v="143"/>
  </r>
  <r>
    <x v="290"/>
    <s v="0306"/>
    <n v="1"/>
    <n v="6"/>
    <n v="6.8"/>
    <n v="112"/>
  </r>
  <r>
    <x v="52"/>
    <s v="0325"/>
    <n v="1"/>
    <n v="2"/>
    <n v="7.5"/>
    <n v="57.8"/>
  </r>
  <r>
    <x v="33"/>
    <s v="0331"/>
    <n v="0"/>
    <n v="4"/>
    <n v="6.5"/>
    <n v="12.06"/>
  </r>
  <r>
    <x v="291"/>
    <s v="0515"/>
    <n v="0"/>
    <n v="4"/>
    <n v="6.5"/>
    <n v="2.7"/>
  </r>
  <r>
    <x v="287"/>
    <s v="0605"/>
    <n v="0"/>
    <n v="2"/>
    <n v="6.8"/>
    <n v="96"/>
  </r>
  <r>
    <x v="190"/>
    <s v="0607"/>
    <n v="0"/>
    <n v="2"/>
    <n v="6.6"/>
    <n v="533.76"/>
  </r>
  <r>
    <x v="105"/>
    <s v="0613"/>
    <n v="1"/>
    <n v="2"/>
    <n v="6.6"/>
    <n v="165"/>
  </r>
  <r>
    <x v="39"/>
    <s v="0618"/>
    <n v="1"/>
    <n v="8"/>
    <n v="7.4"/>
    <n v="10"/>
  </r>
  <r>
    <x v="12"/>
    <s v="0623"/>
    <n v="1"/>
    <n v="4"/>
    <n v="7.4"/>
    <n v="20"/>
  </r>
  <r>
    <x v="127"/>
    <s v="0717"/>
    <n v="1"/>
    <n v="5"/>
    <n v="7"/>
    <n v="73"/>
  </r>
  <r>
    <x v="292"/>
    <s v="0722"/>
    <n v="1"/>
    <n v="4"/>
    <n v="7.8"/>
    <n v="28"/>
  </r>
  <r>
    <x v="293"/>
    <s v="0818"/>
    <n v="1"/>
    <n v="2"/>
    <n v="6.6"/>
    <n v="10"/>
  </r>
  <r>
    <x v="293"/>
    <s v="0818"/>
    <n v="0"/>
    <n v="2"/>
    <n v="6.8"/>
    <n v="22"/>
  </r>
  <r>
    <x v="293"/>
    <s v="0818"/>
    <n v="0"/>
    <n v="2"/>
    <n v="6.9"/>
    <n v="26"/>
  </r>
  <r>
    <x v="62"/>
    <s v="0821"/>
    <n v="0"/>
    <n v="2"/>
    <n v="6.9"/>
    <n v="624"/>
  </r>
  <r>
    <x v="221"/>
    <s v="0830"/>
    <n v="0"/>
    <n v="8"/>
    <n v="6.5"/>
    <n v="10"/>
  </r>
  <r>
    <x v="194"/>
    <s v="0918"/>
    <n v="1"/>
    <n v="8"/>
    <n v="6.9"/>
    <n v="10"/>
  </r>
  <r>
    <x v="19"/>
    <s v="1019"/>
    <n v="1"/>
    <n v="4"/>
    <n v="7.6"/>
    <n v="28.37"/>
  </r>
  <r>
    <x v="167"/>
    <s v="1030"/>
    <n v="0"/>
    <n v="3"/>
    <n v="7"/>
    <n v="21"/>
  </r>
  <r>
    <x v="159"/>
    <s v="1205"/>
    <n v="1"/>
    <n v="5"/>
    <n v="6.6"/>
    <n v="107"/>
  </r>
  <r>
    <x v="74"/>
    <s v="1227"/>
    <n v="1"/>
    <n v="6"/>
    <n v="6.7"/>
    <n v="10"/>
  </r>
  <r>
    <x v="226"/>
    <s v="0105"/>
    <n v="1"/>
    <n v="2"/>
    <n v="6.9"/>
    <n v="43"/>
  </r>
  <r>
    <x v="50"/>
    <s v="0121"/>
    <n v="1"/>
    <n v="2"/>
    <n v="7"/>
    <n v="80"/>
  </r>
  <r>
    <x v="238"/>
    <s v="0123"/>
    <n v="1"/>
    <n v="7"/>
    <n v="6.9"/>
    <n v="15"/>
  </r>
  <r>
    <x v="294"/>
    <s v="0210"/>
    <n v="1"/>
    <n v="5"/>
    <n v="7.3"/>
    <n v="527"/>
  </r>
  <r>
    <x v="5"/>
    <s v="0213"/>
    <n v="1"/>
    <n v="2"/>
    <n v="7.1"/>
    <n v="43.98"/>
  </r>
  <r>
    <x v="173"/>
    <s v="0316"/>
    <n v="1"/>
    <n v="2"/>
    <n v="6.6"/>
    <n v="13.23"/>
  </r>
  <r>
    <x v="101"/>
    <s v="0320"/>
    <n v="1"/>
    <n v="2"/>
    <n v="7"/>
    <n v="43"/>
  </r>
  <r>
    <x v="175"/>
    <s v="0403"/>
    <n v="1"/>
    <n v="5"/>
    <n v="7.3"/>
    <n v="10"/>
  </r>
  <r>
    <x v="175"/>
    <s v="0403"/>
    <n v="1"/>
    <n v="5"/>
    <n v="7.4"/>
    <n v="43"/>
  </r>
  <r>
    <x v="175"/>
    <s v="0403"/>
    <n v="1"/>
    <n v="5"/>
    <n v="8.1"/>
    <n v="28.93"/>
  </r>
  <r>
    <x v="175"/>
    <s v="0403"/>
    <n v="0"/>
    <n v="5"/>
    <n v="6.5"/>
    <n v="24"/>
  </r>
  <r>
    <x v="231"/>
    <s v="0424"/>
    <n v="0"/>
    <n v="5"/>
    <n v="6.5"/>
    <n v="301"/>
  </r>
  <r>
    <x v="242"/>
    <s v="0425"/>
    <n v="0"/>
    <n v="5"/>
    <n v="6.5"/>
    <n v="246"/>
  </r>
  <r>
    <x v="103"/>
    <s v="0514"/>
    <n v="0"/>
    <n v="2"/>
    <n v="6.7"/>
    <n v="11"/>
  </r>
  <r>
    <x v="54"/>
    <s v="0521"/>
    <n v="1"/>
    <n v="5"/>
    <n v="6.5"/>
    <n v="10"/>
  </r>
  <r>
    <x v="54"/>
    <s v="0521"/>
    <n v="0"/>
    <n v="2"/>
    <n v="7.3"/>
    <n v="10"/>
  </r>
  <r>
    <x v="58"/>
    <s v="0620"/>
    <n v="1"/>
    <n v="5"/>
    <n v="6.5"/>
    <n v="25"/>
  </r>
  <r>
    <x v="219"/>
    <s v="0721"/>
    <n v="1"/>
    <n v="6"/>
    <n v="6.7"/>
    <n v="10"/>
  </r>
  <r>
    <x v="155"/>
    <s v="0723"/>
    <n v="1"/>
    <n v="2"/>
    <n v="6.7"/>
    <n v="110"/>
  </r>
  <r>
    <x v="259"/>
    <s v="0729"/>
    <n v="1"/>
    <n v="4"/>
    <n v="8.1999999999999993"/>
    <n v="46.66"/>
  </r>
  <r>
    <x v="259"/>
    <s v="0729"/>
    <n v="1"/>
    <n v="4"/>
    <n v="8.1999999999999993"/>
    <n v="35"/>
  </r>
  <r>
    <x v="42"/>
    <s v="0809"/>
    <n v="1"/>
    <n v="4"/>
    <n v="7"/>
    <n v="20"/>
  </r>
  <r>
    <x v="43"/>
    <s v="0814"/>
    <n v="1"/>
    <n v="4"/>
    <n v="6.9"/>
    <n v="33.299999999999997"/>
  </r>
  <r>
    <x v="43"/>
    <s v="0814"/>
    <n v="1"/>
    <n v="4"/>
    <n v="6.9"/>
    <n v="20.74"/>
  </r>
  <r>
    <x v="43"/>
    <s v="0814"/>
    <n v="1"/>
    <n v="4"/>
    <n v="7.2"/>
    <n v="10"/>
  </r>
  <r>
    <x v="108"/>
    <s v="0816"/>
    <n v="1"/>
    <n v="7"/>
    <n v="6.9"/>
    <n v="16.7"/>
  </r>
  <r>
    <x v="293"/>
    <s v="0818"/>
    <n v="1"/>
    <n v="5"/>
    <n v="6.9"/>
    <n v="93"/>
  </r>
  <r>
    <x v="295"/>
    <s v="0822"/>
    <n v="1"/>
    <n v="7"/>
    <n v="6.6"/>
    <n v="7"/>
  </r>
  <r>
    <x v="295"/>
    <s v="0822"/>
    <n v="1"/>
    <n v="7"/>
    <n v="7.1"/>
    <n v="6"/>
  </r>
  <r>
    <x v="86"/>
    <s v="0910"/>
    <n v="1"/>
    <n v="5"/>
    <n v="6.9"/>
    <n v="535"/>
  </r>
  <r>
    <x v="296"/>
    <s v="0922"/>
    <n v="1"/>
    <n v="4"/>
    <n v="6.5"/>
    <n v="21"/>
  </r>
  <r>
    <x v="266"/>
    <s v="1002"/>
    <n v="1"/>
    <n v="5"/>
    <n v="7.7"/>
    <n v="10"/>
  </r>
  <r>
    <x v="297"/>
    <s v="1011"/>
    <n v="1"/>
    <n v="2"/>
    <n v="6.6"/>
    <n v="12"/>
  </r>
  <r>
    <x v="260"/>
    <s v="1101"/>
    <n v="0"/>
    <n v="2"/>
    <n v="6.7"/>
    <n v="10"/>
  </r>
  <r>
    <x v="298"/>
    <s v="1108"/>
    <n v="1"/>
    <n v="2"/>
    <n v="7.1"/>
    <n v="55.14"/>
  </r>
  <r>
    <x v="299"/>
    <s v="1110"/>
    <n v="1"/>
    <n v="4"/>
    <n v="6.9"/>
    <n v="51.6"/>
  </r>
  <r>
    <x v="93"/>
    <s v="1128"/>
    <n v="1"/>
    <n v="6"/>
    <n v="7.5"/>
    <n v="126"/>
  </r>
  <r>
    <x v="159"/>
    <s v="1205"/>
    <n v="0"/>
    <n v="8"/>
    <n v="6.7"/>
    <n v="10"/>
  </r>
  <r>
    <x v="170"/>
    <s v="1208"/>
    <n v="1"/>
    <n v="7"/>
    <n v="7.5"/>
    <n v="47.23"/>
  </r>
  <r>
    <x v="170"/>
    <s v="1208"/>
    <n v="0"/>
    <n v="7"/>
    <n v="8.1"/>
    <n v="22.79"/>
  </r>
  <r>
    <x v="94"/>
    <s v="1214"/>
    <n v="1"/>
    <n v="2"/>
    <n v="7.3"/>
    <n v="14.27"/>
  </r>
  <r>
    <x v="282"/>
    <s v="1229"/>
    <n v="0"/>
    <n v="2"/>
    <n v="7.3"/>
    <n v="165.49"/>
  </r>
  <r>
    <x v="255"/>
    <s v="0114"/>
    <n v="0"/>
    <n v="2"/>
    <n v="6.6"/>
    <n v="33"/>
  </r>
  <r>
    <x v="300"/>
    <s v="0129"/>
    <n v="1"/>
    <n v="5"/>
    <n v="6.5"/>
    <n v="8"/>
  </r>
  <r>
    <x v="96"/>
    <s v="0203"/>
    <n v="1"/>
    <n v="5"/>
    <n v="6.6"/>
    <n v="24"/>
  </r>
  <r>
    <x v="239"/>
    <s v="0216"/>
    <n v="1"/>
    <n v="5"/>
    <n v="6.8"/>
    <n v="535"/>
  </r>
  <r>
    <x v="29"/>
    <s v="0302"/>
    <n v="0"/>
    <n v="6"/>
    <n v="6.5"/>
    <n v="110"/>
  </r>
  <r>
    <x v="301"/>
    <s v="0313"/>
    <n v="0"/>
    <n v="2"/>
    <n v="6.7"/>
    <n v="28"/>
  </r>
  <r>
    <x v="173"/>
    <s v="0316"/>
    <n v="1"/>
    <n v="2"/>
    <n v="7.3"/>
    <n v="41"/>
  </r>
  <r>
    <x v="302"/>
    <s v="0322"/>
    <n v="1"/>
    <n v="2"/>
    <n v="6.7"/>
    <n v="24"/>
  </r>
  <r>
    <x v="174"/>
    <s v="0330"/>
    <n v="1"/>
    <n v="5"/>
    <n v="6.9"/>
    <n v="10"/>
  </r>
  <r>
    <x v="33"/>
    <s v="0331"/>
    <n v="1"/>
    <n v="5"/>
    <n v="7"/>
    <n v="10"/>
  </r>
  <r>
    <x v="202"/>
    <s v="0421"/>
    <n v="1"/>
    <n v="4"/>
    <n v="6.6"/>
    <n v="27"/>
  </r>
  <r>
    <x v="79"/>
    <s v="0509"/>
    <n v="0"/>
    <n v="2"/>
    <n v="6.6"/>
    <n v="12"/>
  </r>
  <r>
    <x v="104"/>
    <s v="0519"/>
    <n v="1"/>
    <n v="8"/>
    <n v="6.9"/>
    <n v="10"/>
  </r>
  <r>
    <x v="55"/>
    <s v="0526"/>
    <n v="1"/>
    <n v="6"/>
    <n v="7.2"/>
    <n v="236"/>
  </r>
  <r>
    <x v="247"/>
    <s v="0701"/>
    <n v="0"/>
    <n v="2"/>
    <n v="6.6"/>
    <n v="13"/>
  </r>
  <r>
    <x v="248"/>
    <s v="0727"/>
    <n v="1"/>
    <n v="2"/>
    <n v="7"/>
    <n v="33.728999999999999"/>
  </r>
  <r>
    <x v="303"/>
    <s v="0806"/>
    <n v="0"/>
    <n v="6"/>
    <n v="6.5"/>
    <n v="622.73"/>
  </r>
  <r>
    <x v="43"/>
    <s v="0814"/>
    <n v="1"/>
    <n v="8"/>
    <n v="6.6"/>
    <n v="30"/>
  </r>
  <r>
    <x v="164"/>
    <s v="0911"/>
    <n v="1"/>
    <n v="5"/>
    <n v="6.8"/>
    <n v="630.37900000000002"/>
  </r>
  <r>
    <x v="164"/>
    <s v="0911"/>
    <n v="1"/>
    <n v="5"/>
    <n v="7"/>
    <n v="660"/>
  </r>
  <r>
    <x v="164"/>
    <s v="0911"/>
    <n v="1"/>
    <n v="8"/>
    <n v="6.6"/>
    <n v="624.46400000000006"/>
  </r>
  <r>
    <x v="304"/>
    <s v="0914"/>
    <n v="1"/>
    <n v="5"/>
    <n v="7"/>
    <n v="137"/>
  </r>
  <r>
    <x v="235"/>
    <s v="0917"/>
    <n v="1"/>
    <n v="2"/>
    <n v="6.5"/>
    <n v="10"/>
  </r>
  <r>
    <x v="194"/>
    <s v="0918"/>
    <n v="1"/>
    <n v="2"/>
    <n v="6.9"/>
    <n v="10"/>
  </r>
  <r>
    <x v="265"/>
    <s v="0919"/>
    <n v="1"/>
    <n v="4"/>
    <n v="7.6"/>
    <n v="26.943000000000001"/>
  </r>
  <r>
    <x v="296"/>
    <s v="0922"/>
    <n v="1"/>
    <n v="4"/>
    <n v="6.8"/>
    <n v="20"/>
  </r>
  <r>
    <x v="195"/>
    <s v="1005"/>
    <n v="1"/>
    <n v="6"/>
    <n v="6.8"/>
    <n v="220"/>
  </r>
  <r>
    <x v="141"/>
    <s v="1009"/>
    <n v="1"/>
    <n v="5"/>
    <n v="7.6"/>
    <n v="116"/>
  </r>
  <r>
    <x v="132"/>
    <s v="1020"/>
    <n v="1"/>
    <n v="4"/>
    <n v="6.7"/>
    <n v="20"/>
  </r>
  <r>
    <x v="260"/>
    <s v="1101"/>
    <n v="0"/>
    <n v="2"/>
    <n v="6.6"/>
    <n v="21"/>
  </r>
  <r>
    <x v="260"/>
    <s v="1101"/>
    <n v="1"/>
    <n v="4"/>
    <n v="6.8"/>
    <n v="20"/>
  </r>
  <r>
    <x v="260"/>
    <s v="1101"/>
    <n v="1"/>
    <n v="4"/>
    <n v="6.7"/>
    <n v="33"/>
  </r>
  <r>
    <x v="260"/>
    <s v="1101"/>
    <n v="1"/>
    <n v="4"/>
    <n v="6.7"/>
    <n v="33"/>
  </r>
  <r>
    <x v="260"/>
    <s v="1101"/>
    <n v="1"/>
    <n v="4"/>
    <n v="6.6"/>
    <n v="19"/>
  </r>
  <r>
    <x v="260"/>
    <s v="1101"/>
    <n v="1"/>
    <n v="4"/>
    <n v="6.5"/>
    <n v="37"/>
  </r>
  <r>
    <x v="260"/>
    <s v="1101"/>
    <n v="1"/>
    <n v="4"/>
    <n v="6.5"/>
    <n v="37"/>
  </r>
  <r>
    <x v="89"/>
    <s v="1111"/>
    <n v="1"/>
    <n v="5"/>
    <n v="7.3"/>
    <n v="37"/>
  </r>
  <r>
    <x v="69"/>
    <s v="1118"/>
    <n v="0"/>
    <n v="2"/>
    <n v="6.9"/>
    <n v="25"/>
  </r>
  <r>
    <x v="91"/>
    <s v="1122"/>
    <n v="1"/>
    <n v="5"/>
    <n v="7"/>
    <n v="14"/>
  </r>
  <r>
    <x v="267"/>
    <s v="1211"/>
    <n v="1"/>
    <n v="5"/>
    <n v="7"/>
    <n v="579"/>
  </r>
  <r>
    <x v="305"/>
    <m/>
    <m/>
    <m/>
    <m/>
    <m/>
  </r>
  <r>
    <x v="305"/>
    <m/>
    <m/>
    <m/>
    <m/>
    <m/>
  </r>
  <r>
    <x v="305"/>
    <m/>
    <m/>
    <m/>
    <m/>
    <m/>
  </r>
  <r>
    <x v="305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6">
  <r>
    <x v="0"/>
    <x v="0"/>
    <n v="2"/>
    <n v="7.5"/>
    <n v="33"/>
  </r>
  <r>
    <x v="0"/>
    <x v="0"/>
    <n v="2"/>
    <n v="6.8"/>
    <n v="33"/>
  </r>
  <r>
    <x v="0"/>
    <x v="0"/>
    <n v="4"/>
    <n v="7.7"/>
    <n v="60"/>
  </r>
  <r>
    <x v="0"/>
    <x v="0"/>
    <n v="2"/>
    <n v="6.9"/>
    <n v="28"/>
  </r>
  <r>
    <x v="0"/>
    <x v="0"/>
    <n v="2"/>
    <n v="7.7"/>
    <n v="16"/>
  </r>
  <r>
    <x v="1"/>
    <x v="0"/>
    <n v="2"/>
    <n v="6.5"/>
    <n v="123.8"/>
  </r>
  <r>
    <x v="1"/>
    <x v="0"/>
    <n v="4"/>
    <n v="6.6"/>
    <n v="10"/>
  </r>
  <r>
    <x v="1"/>
    <x v="0"/>
    <n v="2"/>
    <n v="7.4"/>
    <n v="36"/>
  </r>
  <r>
    <x v="1"/>
    <x v="0"/>
    <n v="2"/>
    <n v="7.1"/>
    <n v="35"/>
  </r>
  <r>
    <x v="1"/>
    <x v="0"/>
    <n v="4"/>
    <n v="6.8"/>
    <n v="51.798000000000002"/>
  </r>
  <r>
    <x v="2"/>
    <x v="0"/>
    <n v="2"/>
    <n v="6.5"/>
    <n v="33"/>
  </r>
  <r>
    <x v="2"/>
    <x v="0"/>
    <n v="2"/>
    <n v="6.8"/>
    <n v="50"/>
  </r>
  <r>
    <x v="3"/>
    <x v="0"/>
    <n v="5"/>
    <n v="6.7"/>
    <n v="17"/>
  </r>
  <r>
    <x v="4"/>
    <x v="0"/>
    <n v="6"/>
    <n v="6.6"/>
    <n v="62"/>
  </r>
  <r>
    <x v="5"/>
    <x v="0"/>
    <n v="6"/>
    <n v="8.4"/>
    <n v="33"/>
  </r>
  <r>
    <x v="5"/>
    <x v="0"/>
    <n v="6"/>
    <n v="6.7"/>
    <n v="24"/>
  </r>
  <r>
    <x v="6"/>
    <x v="0"/>
    <n v="6"/>
    <n v="7.6"/>
    <n v="33"/>
  </r>
  <r>
    <x v="6"/>
    <x v="0"/>
    <n v="3"/>
    <n v="6.5"/>
    <n v="10"/>
  </r>
  <r>
    <x v="6"/>
    <x v="0"/>
    <n v="4"/>
    <n v="6.6"/>
    <n v="131.80000000000001"/>
  </r>
  <r>
    <x v="7"/>
    <x v="0"/>
    <n v="5"/>
    <n v="7.1"/>
    <n v="103"/>
  </r>
  <r>
    <x v="8"/>
    <x v="0"/>
    <n v="4"/>
    <n v="6.9"/>
    <n v="36.4"/>
  </r>
  <r>
    <x v="8"/>
    <x v="0"/>
    <n v="2"/>
    <n v="7.5"/>
    <n v="33"/>
  </r>
  <r>
    <x v="8"/>
    <x v="0"/>
    <n v="5"/>
    <n v="7"/>
    <n v="33"/>
  </r>
  <r>
    <x v="9"/>
    <x v="0"/>
    <n v="2"/>
    <n v="6.5"/>
    <n v="33"/>
  </r>
  <r>
    <x v="9"/>
    <x v="0"/>
    <n v="2"/>
    <n v="7.8"/>
    <n v="10"/>
  </r>
  <r>
    <x v="10"/>
    <x v="0"/>
    <n v="5"/>
    <n v="7"/>
    <n v="37"/>
  </r>
  <r>
    <x v="10"/>
    <x v="0"/>
    <n v="2"/>
    <n v="6.8"/>
    <n v="14"/>
  </r>
  <r>
    <x v="10"/>
    <x v="0"/>
    <n v="5"/>
    <n v="6.8"/>
    <n v="16"/>
  </r>
  <r>
    <x v="1"/>
    <x v="0"/>
    <n v="5"/>
    <n v="7.2"/>
    <n v="21"/>
  </r>
  <r>
    <x v="1"/>
    <x v="0"/>
    <n v="2"/>
    <n v="7.4"/>
    <n v="30"/>
  </r>
  <r>
    <x v="2"/>
    <x v="0"/>
    <n v="5"/>
    <n v="6.6"/>
    <n v="10"/>
  </r>
  <r>
    <x v="2"/>
    <x v="0"/>
    <n v="2"/>
    <n v="6.5"/>
    <n v="5"/>
  </r>
  <r>
    <x v="2"/>
    <x v="0"/>
    <n v="2"/>
    <n v="7.4"/>
    <n v="225.6"/>
  </r>
  <r>
    <x v="2"/>
    <x v="0"/>
    <n v="4"/>
    <n v="7.9"/>
    <n v="4.2"/>
  </r>
  <r>
    <x v="2"/>
    <x v="0"/>
    <n v="6"/>
    <n v="6.5"/>
    <n v="125.1"/>
  </r>
  <r>
    <x v="2"/>
    <x v="0"/>
    <n v="2"/>
    <n v="7.1"/>
    <n v="32.799999999999997"/>
  </r>
  <r>
    <x v="3"/>
    <x v="0"/>
    <n v="4"/>
    <n v="6.8"/>
    <n v="24.9"/>
  </r>
  <r>
    <x v="3"/>
    <x v="0"/>
    <n v="6"/>
    <n v="6.7"/>
    <n v="62"/>
  </r>
  <r>
    <x v="3"/>
    <x v="0"/>
    <n v="4"/>
    <n v="7.1"/>
    <n v="85.7"/>
  </r>
  <r>
    <x v="4"/>
    <x v="0"/>
    <n v="5"/>
    <n v="6.6"/>
    <n v="39"/>
  </r>
  <r>
    <x v="4"/>
    <x v="0"/>
    <n v="2"/>
    <n v="7.5"/>
    <n v="31"/>
  </r>
  <r>
    <x v="5"/>
    <x v="0"/>
    <n v="5"/>
    <n v="6.7"/>
    <n v="33"/>
  </r>
  <r>
    <x v="5"/>
    <x v="0"/>
    <n v="6"/>
    <n v="6.6"/>
    <n v="54"/>
  </r>
  <r>
    <x v="5"/>
    <x v="0"/>
    <n v="2"/>
    <n v="6.5"/>
    <n v="10"/>
  </r>
  <r>
    <x v="6"/>
    <x v="0"/>
    <n v="4"/>
    <n v="6.5"/>
    <n v="10"/>
  </r>
  <r>
    <x v="11"/>
    <x v="0"/>
    <n v="5"/>
    <n v="7.6"/>
    <n v="13"/>
  </r>
  <r>
    <x v="11"/>
    <x v="0"/>
    <n v="5"/>
    <n v="6.5"/>
    <n v="30"/>
  </r>
  <r>
    <x v="7"/>
    <x v="0"/>
    <n v="2"/>
    <n v="6.5"/>
    <n v="21"/>
  </r>
  <r>
    <x v="8"/>
    <x v="0"/>
    <n v="5"/>
    <n v="6.7"/>
    <n v="11"/>
  </r>
  <r>
    <x v="8"/>
    <x v="0"/>
    <n v="2"/>
    <n v="7.6"/>
    <n v="10"/>
  </r>
  <r>
    <x v="8"/>
    <x v="0"/>
    <n v="2"/>
    <n v="6.7"/>
    <n v="10"/>
  </r>
  <r>
    <x v="8"/>
    <x v="0"/>
    <n v="4"/>
    <n v="6.6"/>
    <n v="4.2"/>
  </r>
  <r>
    <x v="10"/>
    <x v="0"/>
    <n v="5"/>
    <n v="6.7"/>
    <n v="34"/>
  </r>
  <r>
    <x v="0"/>
    <x v="0"/>
    <n v="2"/>
    <n v="6.7"/>
    <n v="10"/>
  </r>
  <r>
    <x v="0"/>
    <x v="0"/>
    <n v="5"/>
    <n v="7.3"/>
    <n v="33"/>
  </r>
  <r>
    <x v="0"/>
    <x v="0"/>
    <n v="4"/>
    <n v="6.5"/>
    <n v="24"/>
  </r>
  <r>
    <x v="0"/>
    <x v="0"/>
    <n v="4"/>
    <n v="7.6"/>
    <n v="24"/>
  </r>
  <r>
    <x v="2"/>
    <x v="0"/>
    <n v="2"/>
    <n v="6.5"/>
    <n v="33"/>
  </r>
  <r>
    <x v="3"/>
    <x v="0"/>
    <n v="3"/>
    <n v="7.6"/>
    <n v="10"/>
  </r>
  <r>
    <x v="4"/>
    <x v="0"/>
    <n v="1"/>
    <n v="6.8"/>
    <n v="12"/>
  </r>
  <r>
    <x v="4"/>
    <x v="0"/>
    <n v="2"/>
    <n v="7"/>
    <n v="68"/>
  </r>
  <r>
    <x v="4"/>
    <x v="0"/>
    <n v="2"/>
    <n v="7"/>
    <n v="31"/>
  </r>
  <r>
    <x v="5"/>
    <x v="0"/>
    <n v="5"/>
    <n v="6.6"/>
    <n v="113.7"/>
  </r>
  <r>
    <x v="5"/>
    <x v="0"/>
    <n v="2"/>
    <n v="6.9"/>
    <n v="174.8"/>
  </r>
  <r>
    <x v="5"/>
    <x v="0"/>
    <n v="6"/>
    <n v="6.8"/>
    <n v="33"/>
  </r>
  <r>
    <x v="6"/>
    <x v="0"/>
    <n v="5"/>
    <n v="6.6"/>
    <n v="33"/>
  </r>
  <r>
    <x v="6"/>
    <x v="0"/>
    <n v="5"/>
    <n v="6.5"/>
    <n v="33"/>
  </r>
  <r>
    <x v="11"/>
    <x v="0"/>
    <n v="2"/>
    <n v="6.7"/>
    <n v="32"/>
  </r>
  <r>
    <x v="11"/>
    <x v="0"/>
    <n v="5"/>
    <n v="7.2"/>
    <n v="28"/>
  </r>
  <r>
    <x v="7"/>
    <x v="0"/>
    <n v="2"/>
    <n v="6.6"/>
    <n v="10"/>
  </r>
  <r>
    <x v="7"/>
    <x v="0"/>
    <n v="2"/>
    <n v="8.16"/>
    <n v="27"/>
  </r>
  <r>
    <x v="7"/>
    <x v="0"/>
    <n v="2"/>
    <n v="7.4"/>
    <n v="33"/>
  </r>
  <r>
    <x v="7"/>
    <x v="0"/>
    <n v="2"/>
    <n v="7.3"/>
    <n v="16"/>
  </r>
  <r>
    <x v="7"/>
    <x v="0"/>
    <n v="2"/>
    <n v="6.5"/>
    <n v="25"/>
  </r>
  <r>
    <x v="8"/>
    <x v="0"/>
    <n v="5"/>
    <n v="6.7"/>
    <n v="71.900000000000006"/>
  </r>
  <r>
    <x v="8"/>
    <x v="0"/>
    <n v="2"/>
    <n v="6.8"/>
    <n v="10"/>
  </r>
  <r>
    <x v="8"/>
    <x v="0"/>
    <n v="2"/>
    <n v="7"/>
    <n v="10"/>
  </r>
  <r>
    <x v="9"/>
    <x v="0"/>
    <n v="5"/>
    <n v="6.8"/>
    <n v="40.200000000000003"/>
  </r>
  <r>
    <x v="9"/>
    <x v="0"/>
    <n v="2"/>
    <n v="6.5"/>
    <n v="35"/>
  </r>
  <r>
    <x v="9"/>
    <x v="0"/>
    <n v="5"/>
    <n v="6.6"/>
    <n v="35"/>
  </r>
  <r>
    <x v="10"/>
    <x v="0"/>
    <n v="4"/>
    <n v="6.5"/>
    <n v="8.3819999999999997"/>
  </r>
  <r>
    <x v="10"/>
    <x v="0"/>
    <n v="4"/>
    <n v="6.5"/>
    <n v="33"/>
  </r>
  <r>
    <x v="10"/>
    <x v="0"/>
    <n v="2"/>
    <n v="6.6"/>
    <n v="10"/>
  </r>
  <r>
    <x v="10"/>
    <x v="0"/>
    <n v="5"/>
    <n v="7.3"/>
    <n v="10"/>
  </r>
  <r>
    <x v="0"/>
    <x v="0"/>
    <n v="2"/>
    <n v="6.7"/>
    <n v="17.399999999999999"/>
  </r>
  <r>
    <x v="1"/>
    <x v="0"/>
    <n v="4"/>
    <n v="6.7"/>
    <n v="10"/>
  </r>
  <r>
    <x v="2"/>
    <x v="0"/>
    <n v="6"/>
    <n v="6.6"/>
    <n v="21"/>
  </r>
  <r>
    <x v="3"/>
    <x v="0"/>
    <n v="2"/>
    <n v="6.7"/>
    <n v="65.8"/>
  </r>
  <r>
    <x v="4"/>
    <x v="0"/>
    <n v="2"/>
    <n v="7"/>
    <n v="16.600000000000001"/>
  </r>
  <r>
    <x v="4"/>
    <x v="0"/>
    <n v="2"/>
    <n v="6.6"/>
    <n v="187.1"/>
  </r>
  <r>
    <x v="4"/>
    <x v="0"/>
    <n v="2"/>
    <n v="7.2"/>
    <n v="14"/>
  </r>
  <r>
    <x v="4"/>
    <x v="0"/>
    <n v="2"/>
    <n v="7.4"/>
    <n v="10"/>
  </r>
  <r>
    <x v="5"/>
    <x v="0"/>
    <n v="2"/>
    <n v="6.6"/>
    <n v="10"/>
  </r>
  <r>
    <x v="5"/>
    <x v="0"/>
    <n v="2"/>
    <n v="6.8"/>
    <n v="35"/>
  </r>
  <r>
    <x v="6"/>
    <x v="0"/>
    <n v="2"/>
    <n v="7.3"/>
    <n v="10"/>
  </r>
  <r>
    <x v="6"/>
    <x v="0"/>
    <n v="2"/>
    <n v="6.5"/>
    <n v="13.4"/>
  </r>
  <r>
    <x v="11"/>
    <x v="0"/>
    <n v="2"/>
    <n v="6.7"/>
    <n v="25.7"/>
  </r>
  <r>
    <x v="11"/>
    <x v="0"/>
    <n v="5"/>
    <n v="6.8"/>
    <n v="36"/>
  </r>
  <r>
    <x v="11"/>
    <x v="0"/>
    <n v="2"/>
    <n v="6.5"/>
    <n v="105"/>
  </r>
  <r>
    <x v="11"/>
    <x v="0"/>
    <n v="6"/>
    <n v="6.5"/>
    <n v="5"/>
  </r>
  <r>
    <x v="7"/>
    <x v="0"/>
    <n v="5"/>
    <n v="6.5"/>
    <n v="228.4"/>
  </r>
  <r>
    <x v="7"/>
    <x v="0"/>
    <n v="4"/>
    <n v="7"/>
    <n v="35"/>
  </r>
  <r>
    <x v="8"/>
    <x v="0"/>
    <n v="2"/>
    <n v="6.9"/>
    <n v="188.6"/>
  </r>
  <r>
    <x v="8"/>
    <x v="0"/>
    <n v="2"/>
    <n v="6.7"/>
    <n v="94"/>
  </r>
  <r>
    <x v="8"/>
    <x v="0"/>
    <n v="2"/>
    <n v="6.6"/>
    <n v="16"/>
  </r>
  <r>
    <x v="9"/>
    <x v="0"/>
    <n v="5"/>
    <n v="6.7"/>
    <n v="10"/>
  </r>
  <r>
    <x v="9"/>
    <x v="0"/>
    <n v="2"/>
    <n v="7.5"/>
    <n v="10"/>
  </r>
  <r>
    <x v="9"/>
    <x v="0"/>
    <n v="6"/>
    <n v="7.2"/>
    <n v="15"/>
  </r>
  <r>
    <x v="9"/>
    <x v="0"/>
    <n v="5"/>
    <n v="7.1"/>
    <n v="10"/>
  </r>
  <r>
    <x v="9"/>
    <x v="0"/>
    <n v="2"/>
    <n v="7.1"/>
    <n v="10"/>
  </r>
  <r>
    <x v="9"/>
    <x v="0"/>
    <n v="2"/>
    <n v="7"/>
    <n v="39"/>
  </r>
  <r>
    <x v="10"/>
    <x v="0"/>
    <n v="4"/>
    <n v="6.8"/>
    <n v="10"/>
  </r>
  <r>
    <x v="10"/>
    <x v="0"/>
    <n v="5"/>
    <n v="8.1"/>
    <n v="10"/>
  </r>
  <r>
    <x v="10"/>
    <x v="0"/>
    <n v="2"/>
    <n v="6.6"/>
    <n v="16.100000000000001"/>
  </r>
  <r>
    <x v="10"/>
    <x v="0"/>
    <n v="2"/>
    <n v="9.1"/>
    <n v="30"/>
  </r>
  <r>
    <x v="10"/>
    <x v="0"/>
    <n v="2"/>
    <n v="7.2"/>
    <n v="39.200000000000003"/>
  </r>
  <r>
    <x v="0"/>
    <x v="0"/>
    <n v="2"/>
    <n v="6.6"/>
    <n v="27.8"/>
  </r>
  <r>
    <x v="1"/>
    <x v="0"/>
    <n v="2"/>
    <n v="7.1"/>
    <n v="201.7"/>
  </r>
  <r>
    <x v="1"/>
    <x v="0"/>
    <n v="4"/>
    <n v="6.6"/>
    <n v="27"/>
  </r>
  <r>
    <x v="1"/>
    <x v="0"/>
    <n v="2"/>
    <n v="6.5"/>
    <n v="29"/>
  </r>
  <r>
    <x v="1"/>
    <x v="0"/>
    <n v="2"/>
    <n v="6.5"/>
    <n v="39.700000000000003"/>
  </r>
  <r>
    <x v="1"/>
    <x v="0"/>
    <n v="2"/>
    <n v="6.5"/>
    <n v="10"/>
  </r>
  <r>
    <x v="1"/>
    <x v="0"/>
    <n v="2"/>
    <n v="6.8"/>
    <n v="36"/>
  </r>
  <r>
    <x v="2"/>
    <x v="0"/>
    <n v="2"/>
    <n v="6.6"/>
    <n v="10"/>
  </r>
  <r>
    <x v="2"/>
    <x v="0"/>
    <n v="2"/>
    <n v="8.6"/>
    <n v="30"/>
  </r>
  <r>
    <x v="4"/>
    <x v="0"/>
    <n v="2"/>
    <n v="7.1"/>
    <n v="525"/>
  </r>
  <r>
    <x v="4"/>
    <x v="0"/>
    <n v="2"/>
    <n v="6.7"/>
    <n v="21"/>
  </r>
  <r>
    <x v="4"/>
    <x v="0"/>
    <n v="1"/>
    <n v="6.8"/>
    <n v="22"/>
  </r>
  <r>
    <x v="4"/>
    <x v="0"/>
    <n v="2"/>
    <n v="6.7"/>
    <n v="34"/>
  </r>
  <r>
    <x v="4"/>
    <x v="0"/>
    <n v="2"/>
    <n v="6.9"/>
    <n v="30"/>
  </r>
  <r>
    <x v="5"/>
    <x v="0"/>
    <n v="6"/>
    <n v="7.8"/>
    <n v="115.6"/>
  </r>
  <r>
    <x v="5"/>
    <x v="0"/>
    <n v="4"/>
    <n v="7.2"/>
    <n v="16"/>
  </r>
  <r>
    <x v="6"/>
    <x v="0"/>
    <n v="2"/>
    <n v="7.2"/>
    <n v="16"/>
  </r>
  <r>
    <x v="11"/>
    <x v="0"/>
    <n v="5"/>
    <n v="6.7"/>
    <n v="206.3"/>
  </r>
  <r>
    <x v="11"/>
    <x v="0"/>
    <n v="2"/>
    <n v="7.6"/>
    <n v="26"/>
  </r>
  <r>
    <x v="11"/>
    <x v="0"/>
    <n v="2"/>
    <n v="7.2"/>
    <n v="36"/>
  </r>
  <r>
    <x v="7"/>
    <x v="0"/>
    <n v="5"/>
    <n v="7.6"/>
    <n v="90"/>
  </r>
  <r>
    <x v="7"/>
    <x v="0"/>
    <n v="6"/>
    <n v="7.5"/>
    <n v="115"/>
  </r>
  <r>
    <x v="7"/>
    <x v="0"/>
    <n v="5"/>
    <n v="6.6"/>
    <n v="25"/>
  </r>
  <r>
    <x v="8"/>
    <x v="0"/>
    <n v="2"/>
    <n v="6.7"/>
    <n v="19"/>
  </r>
  <r>
    <x v="8"/>
    <x v="0"/>
    <n v="2"/>
    <n v="6.5"/>
    <n v="30"/>
  </r>
  <r>
    <x v="9"/>
    <x v="0"/>
    <n v="6"/>
    <n v="6.8"/>
    <n v="147"/>
  </r>
  <r>
    <x v="9"/>
    <x v="0"/>
    <n v="2"/>
    <n v="6.5"/>
    <n v="21"/>
  </r>
  <r>
    <x v="10"/>
    <x v="0"/>
    <n v="2"/>
    <n v="6.5"/>
    <n v="224.6"/>
  </r>
  <r>
    <x v="0"/>
    <x v="0"/>
    <n v="5"/>
    <n v="6.8"/>
    <n v="38"/>
  </r>
  <r>
    <x v="1"/>
    <x v="0"/>
    <n v="1"/>
    <n v="7"/>
    <n v="11"/>
  </r>
  <r>
    <x v="2"/>
    <x v="0"/>
    <n v="5"/>
    <n v="8"/>
    <n v="55"/>
  </r>
  <r>
    <x v="2"/>
    <x v="0"/>
    <n v="5"/>
    <n v="8"/>
    <n v="60.5"/>
  </r>
  <r>
    <x v="2"/>
    <x v="0"/>
    <n v="2"/>
    <n v="6.7"/>
    <n v="30.1"/>
  </r>
  <r>
    <x v="3"/>
    <x v="0"/>
    <n v="4"/>
    <n v="6.6"/>
    <n v="14"/>
  </r>
  <r>
    <x v="3"/>
    <x v="0"/>
    <n v="2"/>
    <n v="7.6"/>
    <n v="22"/>
  </r>
  <r>
    <x v="3"/>
    <x v="0"/>
    <n v="2"/>
    <n v="6.6"/>
    <n v="11"/>
  </r>
  <r>
    <x v="3"/>
    <x v="0"/>
    <n v="6"/>
    <n v="6.7"/>
    <n v="12"/>
  </r>
  <r>
    <x v="3"/>
    <x v="0"/>
    <n v="6"/>
    <n v="6.5"/>
    <n v="12"/>
  </r>
  <r>
    <x v="4"/>
    <x v="0"/>
    <n v="2"/>
    <n v="6.8"/>
    <n v="12"/>
  </r>
  <r>
    <x v="4"/>
    <x v="0"/>
    <n v="2"/>
    <n v="6.6"/>
    <n v="19"/>
  </r>
  <r>
    <x v="4"/>
    <x v="0"/>
    <n v="5"/>
    <n v="6.5"/>
    <n v="34"/>
  </r>
  <r>
    <x v="6"/>
    <x v="0"/>
    <n v="5"/>
    <n v="6.5"/>
    <n v="14"/>
  </r>
  <r>
    <x v="6"/>
    <x v="0"/>
    <n v="5"/>
    <n v="6.8"/>
    <n v="150"/>
  </r>
  <r>
    <x v="6"/>
    <x v="0"/>
    <n v="5"/>
    <n v="6.6"/>
    <n v="11"/>
  </r>
  <r>
    <x v="6"/>
    <x v="0"/>
    <n v="2"/>
    <n v="7.7"/>
    <n v="20"/>
  </r>
  <r>
    <x v="11"/>
    <x v="0"/>
    <n v="3"/>
    <n v="6.7"/>
    <n v="66"/>
  </r>
  <r>
    <x v="11"/>
    <x v="0"/>
    <n v="2"/>
    <n v="6.5"/>
    <n v="43"/>
  </r>
  <r>
    <x v="7"/>
    <x v="0"/>
    <n v="5"/>
    <n v="6.9"/>
    <n v="28"/>
  </r>
  <r>
    <x v="8"/>
    <x v="0"/>
    <n v="4"/>
    <n v="6.7"/>
    <n v="38.182000000000002"/>
  </r>
  <r>
    <x v="8"/>
    <x v="0"/>
    <n v="5"/>
    <n v="6.7"/>
    <n v="32"/>
  </r>
  <r>
    <x v="8"/>
    <x v="0"/>
    <n v="6"/>
    <n v="6.7"/>
    <n v="23"/>
  </r>
  <r>
    <x v="9"/>
    <x v="0"/>
    <n v="2"/>
    <n v="8.3000000000000007"/>
    <n v="10"/>
  </r>
  <r>
    <x v="10"/>
    <x v="0"/>
    <n v="2"/>
    <n v="7.1"/>
    <n v="10"/>
  </r>
  <r>
    <x v="10"/>
    <x v="0"/>
    <n v="2"/>
    <n v="6.9"/>
    <n v="10"/>
  </r>
  <r>
    <x v="0"/>
    <x v="0"/>
    <n v="5"/>
    <n v="8.1"/>
    <n v="24"/>
  </r>
  <r>
    <x v="0"/>
    <x v="0"/>
    <n v="5"/>
    <n v="6.6"/>
    <n v="10"/>
  </r>
  <r>
    <x v="0"/>
    <x v="0"/>
    <n v="5"/>
    <n v="6.9"/>
    <n v="10"/>
  </r>
  <r>
    <x v="0"/>
    <x v="0"/>
    <n v="5"/>
    <n v="7.2"/>
    <n v="120"/>
  </r>
  <r>
    <x v="0"/>
    <x v="0"/>
    <n v="8"/>
    <n v="8.1"/>
    <n v="10"/>
  </r>
  <r>
    <x v="0"/>
    <x v="0"/>
    <n v="2"/>
    <n v="7.5"/>
    <n v="22"/>
  </r>
  <r>
    <x v="1"/>
    <x v="0"/>
    <n v="5"/>
    <n v="7.2"/>
    <n v="35"/>
  </r>
  <r>
    <x v="1"/>
    <x v="0"/>
    <n v="2"/>
    <n v="6.7"/>
    <n v="12"/>
  </r>
  <r>
    <x v="2"/>
    <x v="0"/>
    <n v="5"/>
    <n v="7.1"/>
    <n v="34"/>
  </r>
  <r>
    <x v="2"/>
    <x v="0"/>
    <n v="2"/>
    <n v="6.7"/>
    <n v="8"/>
  </r>
  <r>
    <x v="5"/>
    <x v="0"/>
    <n v="6"/>
    <n v="6.7"/>
    <n v="23"/>
  </r>
  <r>
    <x v="6"/>
    <x v="0"/>
    <n v="2"/>
    <n v="6.6"/>
    <n v="12"/>
  </r>
  <r>
    <x v="6"/>
    <x v="0"/>
    <n v="2"/>
    <n v="6.8"/>
    <n v="350.4"/>
  </r>
  <r>
    <x v="6"/>
    <x v="0"/>
    <n v="2"/>
    <n v="6.9"/>
    <n v="25"/>
  </r>
  <r>
    <x v="11"/>
    <x v="0"/>
    <n v="2"/>
    <n v="7.5"/>
    <n v="280"/>
  </r>
  <r>
    <x v="11"/>
    <x v="0"/>
    <n v="6"/>
    <n v="8"/>
    <n v="39"/>
  </r>
  <r>
    <x v="11"/>
    <x v="0"/>
    <n v="5"/>
    <n v="6.5"/>
    <n v="15"/>
  </r>
  <r>
    <x v="7"/>
    <x v="0"/>
    <n v="2"/>
    <n v="6.5"/>
    <n v="28.9"/>
  </r>
  <r>
    <x v="7"/>
    <x v="0"/>
    <n v="2"/>
    <n v="7"/>
    <n v="22"/>
  </r>
  <r>
    <x v="7"/>
    <x v="0"/>
    <n v="2"/>
    <n v="6.7"/>
    <n v="30"/>
  </r>
  <r>
    <x v="7"/>
    <x v="0"/>
    <n v="5"/>
    <n v="6.8"/>
    <n v="40"/>
  </r>
  <r>
    <x v="8"/>
    <x v="0"/>
    <n v="6"/>
    <n v="6.8"/>
    <n v="15"/>
  </r>
  <r>
    <x v="8"/>
    <x v="0"/>
    <n v="5"/>
    <n v="6.8"/>
    <n v="18"/>
  </r>
  <r>
    <x v="8"/>
    <x v="0"/>
    <n v="2"/>
    <n v="6.8"/>
    <n v="21"/>
  </r>
  <r>
    <x v="9"/>
    <x v="0"/>
    <n v="6"/>
    <n v="7.7"/>
    <n v="40"/>
  </r>
  <r>
    <x v="9"/>
    <x v="0"/>
    <n v="6"/>
    <n v="6.8"/>
    <n v="26"/>
  </r>
  <r>
    <x v="9"/>
    <x v="0"/>
    <n v="6"/>
    <n v="6.8"/>
    <n v="122.9"/>
  </r>
  <r>
    <x v="9"/>
    <x v="0"/>
    <n v="5"/>
    <n v="6.8"/>
    <n v="53"/>
  </r>
  <r>
    <x v="9"/>
    <x v="0"/>
    <n v="2"/>
    <n v="6.5"/>
    <n v="20"/>
  </r>
  <r>
    <x v="9"/>
    <x v="0"/>
    <n v="2"/>
    <n v="6.5"/>
    <n v="18"/>
  </r>
  <r>
    <x v="9"/>
    <x v="0"/>
    <n v="5"/>
    <n v="6.6"/>
    <n v="16"/>
  </r>
  <r>
    <x v="9"/>
    <x v="0"/>
    <n v="4"/>
    <n v="7.4"/>
    <n v="156"/>
  </r>
  <r>
    <x v="10"/>
    <x v="0"/>
    <n v="2"/>
    <n v="8.4"/>
    <n v="34"/>
  </r>
  <r>
    <x v="10"/>
    <x v="0"/>
    <n v="2"/>
    <n v="7.9"/>
    <n v="35"/>
  </r>
  <r>
    <x v="10"/>
    <x v="0"/>
    <n v="2"/>
    <n v="7.8"/>
    <n v="40.5"/>
  </r>
  <r>
    <x v="10"/>
    <x v="0"/>
    <n v="6"/>
    <n v="6.7"/>
    <n v="45"/>
  </r>
  <r>
    <x v="10"/>
    <x v="0"/>
    <n v="5"/>
    <n v="6.6"/>
    <n v="20"/>
  </r>
  <r>
    <x v="1"/>
    <x v="0"/>
    <n v="3"/>
    <n v="6.9"/>
    <n v="29"/>
  </r>
  <r>
    <x v="1"/>
    <x v="0"/>
    <n v="3"/>
    <n v="6.5"/>
    <n v="28"/>
  </r>
  <r>
    <x v="1"/>
    <x v="0"/>
    <n v="2"/>
    <n v="7.4"/>
    <n v="26"/>
  </r>
  <r>
    <x v="1"/>
    <x v="0"/>
    <n v="2"/>
    <n v="6.5"/>
    <n v="22"/>
  </r>
  <r>
    <x v="1"/>
    <x v="0"/>
    <n v="2"/>
    <n v="7.2"/>
    <n v="25"/>
  </r>
  <r>
    <x v="1"/>
    <x v="0"/>
    <n v="2"/>
    <n v="6.6"/>
    <n v="25"/>
  </r>
  <r>
    <x v="1"/>
    <x v="0"/>
    <n v="2"/>
    <n v="6.7"/>
    <n v="25"/>
  </r>
  <r>
    <x v="2"/>
    <x v="0"/>
    <n v="2"/>
    <n v="6.9"/>
    <n v="24"/>
  </r>
  <r>
    <x v="2"/>
    <x v="0"/>
    <n v="2"/>
    <n v="7.2"/>
    <n v="10"/>
  </r>
  <r>
    <x v="4"/>
    <x v="0"/>
    <n v="2"/>
    <n v="6.7"/>
    <n v="27.4"/>
  </r>
  <r>
    <x v="5"/>
    <x v="0"/>
    <n v="2"/>
    <n v="6.9"/>
    <n v="7.8"/>
  </r>
  <r>
    <x v="5"/>
    <x v="0"/>
    <n v="2"/>
    <n v="6.6"/>
    <n v="17"/>
  </r>
  <r>
    <x v="6"/>
    <x v="0"/>
    <n v="2"/>
    <n v="6.9"/>
    <n v="27"/>
  </r>
  <r>
    <x v="6"/>
    <x v="0"/>
    <n v="2"/>
    <n v="7"/>
    <n v="22"/>
  </r>
  <r>
    <x v="6"/>
    <x v="0"/>
    <n v="2"/>
    <n v="6.9"/>
    <n v="25.5"/>
  </r>
  <r>
    <x v="6"/>
    <x v="0"/>
    <n v="2"/>
    <n v="6.8"/>
    <n v="108"/>
  </r>
  <r>
    <x v="11"/>
    <x v="0"/>
    <n v="5"/>
    <n v="6.9"/>
    <n v="110"/>
  </r>
  <r>
    <x v="11"/>
    <x v="0"/>
    <n v="2"/>
    <n v="6.7"/>
    <n v="12"/>
  </r>
  <r>
    <x v="7"/>
    <x v="0"/>
    <n v="5"/>
    <n v="7.3"/>
    <n v="33"/>
  </r>
  <r>
    <x v="8"/>
    <x v="0"/>
    <n v="4"/>
    <n v="6.7"/>
    <n v="24"/>
  </r>
  <r>
    <x v="9"/>
    <x v="0"/>
    <n v="2"/>
    <n v="6.6"/>
    <n v="96"/>
  </r>
  <r>
    <x v="9"/>
    <x v="0"/>
    <n v="2"/>
    <n v="6.8"/>
    <n v="25"/>
  </r>
  <r>
    <x v="9"/>
    <x v="0"/>
    <n v="2"/>
    <n v="7.4"/>
    <n v="30"/>
  </r>
  <r>
    <x v="10"/>
    <x v="0"/>
    <n v="4"/>
    <n v="6.5"/>
    <n v="83"/>
  </r>
  <r>
    <x v="10"/>
    <x v="0"/>
    <n v="2"/>
    <n v="7.9"/>
    <n v="19"/>
  </r>
  <r>
    <x v="0"/>
    <x v="0"/>
    <n v="2"/>
    <n v="6.6"/>
    <n v="9"/>
  </r>
  <r>
    <x v="1"/>
    <x v="0"/>
    <n v="2"/>
    <n v="7"/>
    <n v="46"/>
  </r>
  <r>
    <x v="2"/>
    <x v="0"/>
    <n v="2"/>
    <n v="7.7"/>
    <n v="17"/>
  </r>
  <r>
    <x v="2"/>
    <x v="0"/>
    <n v="2"/>
    <n v="6.6"/>
    <n v="204.8"/>
  </r>
  <r>
    <x v="2"/>
    <x v="0"/>
    <n v="2"/>
    <n v="7.4"/>
    <n v="23"/>
  </r>
  <r>
    <x v="2"/>
    <x v="0"/>
    <n v="4"/>
    <n v="6.9"/>
    <n v="10"/>
  </r>
  <r>
    <x v="2"/>
    <x v="0"/>
    <n v="5"/>
    <n v="7.6"/>
    <n v="31"/>
  </r>
  <r>
    <x v="4"/>
    <x v="0"/>
    <n v="4"/>
    <n v="7.3"/>
    <n v="19"/>
  </r>
  <r>
    <x v="5"/>
    <x v="0"/>
    <n v="5"/>
    <n v="6.7"/>
    <n v="64"/>
  </r>
  <r>
    <x v="6"/>
    <x v="0"/>
    <n v="5"/>
    <n v="7.7"/>
    <n v="45"/>
  </r>
  <r>
    <x v="6"/>
    <x v="0"/>
    <n v="5"/>
    <n v="7.8"/>
    <n v="35"/>
  </r>
  <r>
    <x v="6"/>
    <x v="0"/>
    <n v="5"/>
    <n v="7.4"/>
    <n v="31.1"/>
  </r>
  <r>
    <x v="6"/>
    <x v="0"/>
    <n v="5"/>
    <n v="7.8"/>
    <n v="12"/>
  </r>
  <r>
    <x v="11"/>
    <x v="0"/>
    <n v="5"/>
    <n v="6.8"/>
    <n v="35"/>
  </r>
  <r>
    <x v="11"/>
    <x v="0"/>
    <n v="2"/>
    <n v="6.6"/>
    <n v="18"/>
  </r>
  <r>
    <x v="11"/>
    <x v="0"/>
    <n v="2"/>
    <n v="6.7"/>
    <n v="20"/>
  </r>
  <r>
    <x v="7"/>
    <x v="0"/>
    <n v="2"/>
    <n v="7.1"/>
    <n v="292"/>
  </r>
  <r>
    <x v="7"/>
    <x v="0"/>
    <n v="5"/>
    <n v="7.3"/>
    <n v="595"/>
  </r>
  <r>
    <x v="7"/>
    <x v="0"/>
    <n v="5"/>
    <n v="8.1"/>
    <n v="18"/>
  </r>
  <r>
    <x v="7"/>
    <x v="0"/>
    <n v="2"/>
    <n v="7.6"/>
    <n v="81"/>
  </r>
  <r>
    <x v="8"/>
    <x v="0"/>
    <n v="2"/>
    <n v="7.5"/>
    <n v="24"/>
  </r>
  <r>
    <x v="8"/>
    <x v="0"/>
    <n v="2"/>
    <n v="6.9"/>
    <n v="130"/>
  </r>
  <r>
    <x v="8"/>
    <x v="0"/>
    <n v="2"/>
    <n v="6.8"/>
    <n v="34"/>
  </r>
  <r>
    <x v="9"/>
    <x v="0"/>
    <n v="2"/>
    <n v="7.2"/>
    <n v="20"/>
  </r>
  <r>
    <x v="9"/>
    <x v="0"/>
    <n v="6"/>
    <n v="6.5"/>
    <n v="27"/>
  </r>
  <r>
    <x v="10"/>
    <x v="0"/>
    <n v="2"/>
    <n v="6.6"/>
    <n v="53"/>
  </r>
  <r>
    <x v="1"/>
    <x v="0"/>
    <n v="5"/>
    <n v="6.6"/>
    <n v="33"/>
  </r>
  <r>
    <x v="1"/>
    <x v="0"/>
    <n v="2"/>
    <n v="7"/>
    <n v="25"/>
  </r>
  <r>
    <x v="1"/>
    <x v="0"/>
    <n v="6"/>
    <n v="8.8000000000000007"/>
    <n v="22.9"/>
  </r>
  <r>
    <x v="1"/>
    <x v="0"/>
    <n v="6"/>
    <n v="7.4"/>
    <n v="35"/>
  </r>
  <r>
    <x v="2"/>
    <x v="0"/>
    <n v="5"/>
    <n v="6.6"/>
    <n v="10"/>
  </r>
  <r>
    <x v="2"/>
    <x v="0"/>
    <n v="5"/>
    <n v="7.1"/>
    <n v="10"/>
  </r>
  <r>
    <x v="2"/>
    <x v="0"/>
    <n v="5"/>
    <n v="7"/>
    <n v="12"/>
  </r>
  <r>
    <x v="2"/>
    <x v="0"/>
    <n v="2"/>
    <n v="6.5"/>
    <n v="32"/>
  </r>
  <r>
    <x v="2"/>
    <x v="0"/>
    <n v="6"/>
    <n v="6.7"/>
    <n v="18"/>
  </r>
  <r>
    <x v="2"/>
    <x v="0"/>
    <n v="2"/>
    <n v="6.6"/>
    <n v="34"/>
  </r>
  <r>
    <x v="3"/>
    <x v="0"/>
    <n v="5"/>
    <n v="6.5"/>
    <n v="176"/>
  </r>
  <r>
    <x v="3"/>
    <x v="0"/>
    <n v="4"/>
    <n v="7.2"/>
    <n v="9.9870000000000001"/>
  </r>
  <r>
    <x v="3"/>
    <x v="0"/>
    <n v="5"/>
    <n v="6.5"/>
    <n v="220"/>
  </r>
  <r>
    <x v="3"/>
    <x v="0"/>
    <n v="5"/>
    <n v="7"/>
    <n v="44"/>
  </r>
  <r>
    <x v="3"/>
    <x v="0"/>
    <n v="2"/>
    <n v="6.9"/>
    <n v="17"/>
  </r>
  <r>
    <x v="4"/>
    <x v="0"/>
    <n v="5"/>
    <n v="6.8"/>
    <n v="15.4"/>
  </r>
  <r>
    <x v="4"/>
    <x v="0"/>
    <n v="6"/>
    <n v="6.6"/>
    <n v="18"/>
  </r>
  <r>
    <x v="4"/>
    <x v="0"/>
    <n v="2"/>
    <n v="6.8"/>
    <n v="26"/>
  </r>
  <r>
    <x v="4"/>
    <x v="0"/>
    <n v="5"/>
    <n v="7.2"/>
    <n v="31"/>
  </r>
  <r>
    <x v="5"/>
    <x v="0"/>
    <n v="2"/>
    <n v="7.8"/>
    <n v="31"/>
  </r>
  <r>
    <x v="5"/>
    <x v="0"/>
    <n v="2"/>
    <n v="7"/>
    <n v="18"/>
  </r>
  <r>
    <x v="5"/>
    <x v="0"/>
    <n v="2"/>
    <n v="6.6"/>
    <n v="10.5"/>
  </r>
  <r>
    <x v="5"/>
    <x v="0"/>
    <n v="5"/>
    <n v="6.7"/>
    <n v="35"/>
  </r>
  <r>
    <x v="6"/>
    <x v="0"/>
    <n v="6"/>
    <n v="6.6"/>
    <n v="22"/>
  </r>
  <r>
    <x v="6"/>
    <x v="0"/>
    <n v="5"/>
    <n v="6.9"/>
    <n v="28"/>
  </r>
  <r>
    <x v="6"/>
    <x v="0"/>
    <n v="5"/>
    <n v="7.3"/>
    <n v="35"/>
  </r>
  <r>
    <x v="6"/>
    <x v="0"/>
    <n v="2"/>
    <n v="7.6"/>
    <n v="578"/>
  </r>
  <r>
    <x v="7"/>
    <x v="0"/>
    <n v="2"/>
    <n v="7.2"/>
    <n v="38"/>
  </r>
  <r>
    <x v="7"/>
    <x v="0"/>
    <n v="2"/>
    <n v="7"/>
    <n v="26"/>
  </r>
  <r>
    <x v="8"/>
    <x v="0"/>
    <n v="4"/>
    <n v="6.5"/>
    <n v="28.736999999999998"/>
  </r>
  <r>
    <x v="8"/>
    <x v="0"/>
    <n v="5"/>
    <n v="7.3"/>
    <n v="25"/>
  </r>
  <r>
    <x v="8"/>
    <x v="0"/>
    <n v="4"/>
    <n v="6.7"/>
    <n v="13"/>
  </r>
  <r>
    <x v="8"/>
    <x v="0"/>
    <n v="2"/>
    <n v="7.8"/>
    <n v="20.100000000000001"/>
  </r>
  <r>
    <x v="9"/>
    <x v="0"/>
    <n v="6"/>
    <n v="6.9"/>
    <n v="11"/>
  </r>
  <r>
    <x v="9"/>
    <x v="0"/>
    <n v="6"/>
    <n v="7"/>
    <n v="18"/>
  </r>
  <r>
    <x v="9"/>
    <x v="0"/>
    <n v="5"/>
    <n v="6.9"/>
    <n v="21"/>
  </r>
  <r>
    <x v="10"/>
    <x v="0"/>
    <n v="4"/>
    <n v="7"/>
    <n v="13"/>
  </r>
  <r>
    <x v="10"/>
    <x v="0"/>
    <n v="2"/>
    <n v="7.5"/>
    <n v="35"/>
  </r>
  <r>
    <x v="10"/>
    <x v="0"/>
    <n v="6"/>
    <n v="7.1"/>
    <n v="206.7"/>
  </r>
  <r>
    <x v="10"/>
    <x v="0"/>
    <n v="2"/>
    <n v="6.7"/>
    <n v="12"/>
  </r>
  <r>
    <x v="10"/>
    <x v="0"/>
    <n v="5"/>
    <n v="7.3"/>
    <n v="16"/>
  </r>
  <r>
    <x v="0"/>
    <x v="0"/>
    <n v="5"/>
    <n v="7"/>
    <n v="9"/>
  </r>
  <r>
    <x v="0"/>
    <x v="0"/>
    <n v="2"/>
    <n v="7.2"/>
    <n v="68"/>
  </r>
  <r>
    <x v="1"/>
    <x v="0"/>
    <n v="6"/>
    <n v="7.2"/>
    <n v="24"/>
  </r>
  <r>
    <x v="1"/>
    <x v="0"/>
    <n v="6"/>
    <n v="6.7"/>
    <n v="21"/>
  </r>
  <r>
    <x v="2"/>
    <x v="0"/>
    <n v="5"/>
    <n v="7"/>
    <n v="185.1"/>
  </r>
  <r>
    <x v="2"/>
    <x v="0"/>
    <n v="2"/>
    <n v="6.9"/>
    <n v="8"/>
  </r>
  <r>
    <x v="3"/>
    <x v="0"/>
    <n v="5"/>
    <n v="6.8"/>
    <n v="79"/>
  </r>
  <r>
    <x v="4"/>
    <x v="0"/>
    <n v="2"/>
    <n v="6.7"/>
    <n v="91"/>
  </r>
  <r>
    <x v="5"/>
    <x v="0"/>
    <n v="5"/>
    <n v="7.6"/>
    <n v="17"/>
  </r>
  <r>
    <x v="5"/>
    <x v="0"/>
    <n v="2"/>
    <n v="6.7"/>
    <n v="33"/>
  </r>
  <r>
    <x v="6"/>
    <x v="0"/>
    <n v="4"/>
    <n v="6.6"/>
    <n v="166.2"/>
  </r>
  <r>
    <x v="6"/>
    <x v="0"/>
    <n v="2"/>
    <n v="7.1"/>
    <n v="42"/>
  </r>
  <r>
    <x v="6"/>
    <x v="0"/>
    <n v="5"/>
    <n v="6.6"/>
    <n v="10"/>
  </r>
  <r>
    <x v="11"/>
    <x v="0"/>
    <n v="5"/>
    <n v="7.2"/>
    <n v="32"/>
  </r>
  <r>
    <x v="11"/>
    <x v="0"/>
    <n v="5"/>
    <n v="6.5"/>
    <n v="35"/>
  </r>
  <r>
    <x v="11"/>
    <x v="0"/>
    <n v="5"/>
    <n v="7.1"/>
    <n v="28"/>
  </r>
  <r>
    <x v="11"/>
    <x v="0"/>
    <n v="6"/>
    <n v="7"/>
    <n v="147"/>
  </r>
  <r>
    <x v="7"/>
    <x v="0"/>
    <n v="2"/>
    <n v="7.3"/>
    <n v="32"/>
  </r>
  <r>
    <x v="7"/>
    <x v="0"/>
    <n v="2"/>
    <n v="6.7"/>
    <n v="30"/>
  </r>
  <r>
    <x v="7"/>
    <x v="0"/>
    <n v="2"/>
    <n v="6.9"/>
    <n v="50"/>
  </r>
  <r>
    <x v="8"/>
    <x v="0"/>
    <n v="5"/>
    <n v="6.8"/>
    <n v="11"/>
  </r>
  <r>
    <x v="8"/>
    <x v="0"/>
    <n v="5"/>
    <n v="6.5"/>
    <n v="37"/>
  </r>
  <r>
    <x v="8"/>
    <x v="0"/>
    <n v="2"/>
    <n v="7.1"/>
    <n v="18"/>
  </r>
  <r>
    <x v="8"/>
    <x v="0"/>
    <n v="6"/>
    <n v="6.9"/>
    <n v="24"/>
  </r>
  <r>
    <x v="9"/>
    <x v="0"/>
    <n v="6"/>
    <n v="6.9"/>
    <n v="26"/>
  </r>
  <r>
    <x v="9"/>
    <x v="0"/>
    <n v="2"/>
    <n v="9.1"/>
    <n v="29"/>
  </r>
  <r>
    <x v="9"/>
    <x v="0"/>
    <n v="2"/>
    <n v="7.9"/>
    <n v="42.6"/>
  </r>
  <r>
    <x v="9"/>
    <x v="0"/>
    <n v="2"/>
    <n v="7.7"/>
    <n v="18.600000000000001"/>
  </r>
  <r>
    <x v="9"/>
    <x v="0"/>
    <n v="2"/>
    <n v="6.5"/>
    <n v="6.8"/>
  </r>
  <r>
    <x v="9"/>
    <x v="0"/>
    <n v="2"/>
    <n v="6.6"/>
    <n v="25.7"/>
  </r>
  <r>
    <x v="9"/>
    <x v="0"/>
    <n v="2"/>
    <n v="6.6"/>
    <n v="11"/>
  </r>
  <r>
    <x v="9"/>
    <x v="0"/>
    <n v="4"/>
    <n v="6.5"/>
    <n v="59"/>
  </r>
  <r>
    <x v="10"/>
    <x v="0"/>
    <n v="5"/>
    <n v="7.1"/>
    <n v="135"/>
  </r>
  <r>
    <x v="10"/>
    <x v="0"/>
    <n v="2"/>
    <n v="6.6"/>
    <n v="15"/>
  </r>
  <r>
    <x v="1"/>
    <x v="0"/>
    <n v="5"/>
    <n v="7.1"/>
    <n v="23"/>
  </r>
  <r>
    <x v="1"/>
    <x v="0"/>
    <n v="2"/>
    <n v="6.7"/>
    <n v="12"/>
  </r>
  <r>
    <x v="2"/>
    <x v="0"/>
    <n v="4"/>
    <n v="7.4"/>
    <n v="20"/>
  </r>
  <r>
    <x v="2"/>
    <x v="0"/>
    <n v="5"/>
    <n v="6.6"/>
    <n v="118"/>
  </r>
  <r>
    <x v="2"/>
    <x v="0"/>
    <n v="6"/>
    <n v="7.1"/>
    <n v="40.700000000000003"/>
  </r>
  <r>
    <x v="3"/>
    <x v="0"/>
    <n v="6"/>
    <n v="6.7"/>
    <n v="29"/>
  </r>
  <r>
    <x v="3"/>
    <x v="0"/>
    <n v="5"/>
    <n v="6.8"/>
    <n v="198"/>
  </r>
  <r>
    <x v="3"/>
    <x v="0"/>
    <n v="2"/>
    <n v="6.7"/>
    <n v="16"/>
  </r>
  <r>
    <x v="3"/>
    <x v="0"/>
    <n v="5"/>
    <n v="6.6"/>
    <n v="134.69999999999999"/>
  </r>
  <r>
    <x v="4"/>
    <x v="0"/>
    <n v="4"/>
    <n v="7.6"/>
    <n v="35"/>
  </r>
  <r>
    <x v="5"/>
    <x v="0"/>
    <n v="2"/>
    <n v="6.7"/>
    <n v="11"/>
  </r>
  <r>
    <x v="6"/>
    <x v="0"/>
    <n v="4"/>
    <n v="7.4"/>
    <n v="24"/>
  </r>
  <r>
    <x v="6"/>
    <x v="0"/>
    <n v="2"/>
    <n v="7.3"/>
    <n v="31"/>
  </r>
  <r>
    <x v="6"/>
    <x v="0"/>
    <n v="5"/>
    <n v="6.5"/>
    <n v="41"/>
  </r>
  <r>
    <x v="11"/>
    <x v="0"/>
    <n v="2"/>
    <n v="7.7"/>
    <n v="583.20000000000005"/>
  </r>
  <r>
    <x v="11"/>
    <x v="0"/>
    <n v="2"/>
    <n v="6.6"/>
    <n v="91.1"/>
  </r>
  <r>
    <x v="11"/>
    <x v="0"/>
    <n v="4"/>
    <n v="7.3"/>
    <n v="28"/>
  </r>
  <r>
    <x v="11"/>
    <x v="0"/>
    <n v="2"/>
    <n v="7.6"/>
    <n v="28"/>
  </r>
  <r>
    <x v="7"/>
    <x v="0"/>
    <n v="6"/>
    <n v="7.3"/>
    <n v="170"/>
  </r>
  <r>
    <x v="8"/>
    <x v="0"/>
    <n v="8"/>
    <n v="7.2"/>
    <n v="19"/>
  </r>
  <r>
    <x v="8"/>
    <x v="0"/>
    <n v="2"/>
    <n v="7.1"/>
    <n v="155"/>
  </r>
  <r>
    <x v="8"/>
    <x v="0"/>
    <n v="4"/>
    <n v="6.5"/>
    <n v="17"/>
  </r>
  <r>
    <x v="8"/>
    <x v="0"/>
    <n v="4"/>
    <n v="7.8"/>
    <n v="14"/>
  </r>
  <r>
    <x v="9"/>
    <x v="0"/>
    <n v="8"/>
    <n v="8.6"/>
    <n v="20"/>
  </r>
  <r>
    <x v="9"/>
    <x v="0"/>
    <n v="8"/>
    <n v="8.1999999999999993"/>
    <n v="25.1"/>
  </r>
  <r>
    <x v="9"/>
    <x v="0"/>
    <n v="4"/>
    <n v="6.5"/>
    <n v="20"/>
  </r>
  <r>
    <x v="9"/>
    <x v="0"/>
    <n v="2"/>
    <n v="6.8"/>
    <n v="13.7"/>
  </r>
  <r>
    <x v="9"/>
    <x v="0"/>
    <n v="4"/>
    <n v="6.5"/>
    <n v="20"/>
  </r>
  <r>
    <x v="10"/>
    <x v="0"/>
    <n v="4"/>
    <n v="7"/>
    <n v="13"/>
  </r>
  <r>
    <x v="10"/>
    <x v="0"/>
    <n v="2"/>
    <n v="6.6"/>
    <n v="13"/>
  </r>
  <r>
    <x v="10"/>
    <x v="0"/>
    <n v="5"/>
    <n v="6.7"/>
    <n v="200.7"/>
  </r>
  <r>
    <x v="0"/>
    <x v="0"/>
    <n v="2"/>
    <n v="6.5"/>
    <n v="29"/>
  </r>
  <r>
    <x v="0"/>
    <x v="0"/>
    <n v="2"/>
    <n v="6.5"/>
    <n v="112"/>
  </r>
  <r>
    <x v="0"/>
    <x v="0"/>
    <n v="2"/>
    <n v="6.7"/>
    <n v="573"/>
  </r>
  <r>
    <x v="0"/>
    <x v="0"/>
    <n v="6"/>
    <n v="6.8"/>
    <n v="45"/>
  </r>
  <r>
    <x v="1"/>
    <x v="0"/>
    <n v="2"/>
    <n v="6.9"/>
    <n v="107"/>
  </r>
  <r>
    <x v="1"/>
    <x v="1"/>
    <n v="2"/>
    <n v="6.6"/>
    <n v="11"/>
  </r>
  <r>
    <x v="1"/>
    <x v="1"/>
    <n v="2"/>
    <n v="6.9"/>
    <n v="41"/>
  </r>
  <r>
    <x v="3"/>
    <x v="0"/>
    <n v="2"/>
    <n v="6.5"/>
    <n v="402"/>
  </r>
  <r>
    <x v="3"/>
    <x v="1"/>
    <n v="4"/>
    <n v="6.5"/>
    <n v="20"/>
  </r>
  <r>
    <x v="3"/>
    <x v="1"/>
    <n v="5"/>
    <n v="6.6"/>
    <n v="31"/>
  </r>
  <r>
    <x v="3"/>
    <x v="1"/>
    <n v="5"/>
    <n v="6.6"/>
    <n v="13"/>
  </r>
  <r>
    <x v="3"/>
    <x v="0"/>
    <n v="2"/>
    <n v="7.7"/>
    <n v="80"/>
  </r>
  <r>
    <x v="3"/>
    <x v="1"/>
    <n v="2"/>
    <n v="7.2"/>
    <n v="110"/>
  </r>
  <r>
    <x v="3"/>
    <x v="0"/>
    <n v="2"/>
    <n v="6.6"/>
    <n v="14"/>
  </r>
  <r>
    <x v="3"/>
    <x v="1"/>
    <n v="5"/>
    <n v="6.5"/>
    <n v="10"/>
  </r>
  <r>
    <x v="4"/>
    <x v="0"/>
    <n v="4"/>
    <n v="7.5"/>
    <n v="8.6999999999999993"/>
  </r>
  <r>
    <x v="4"/>
    <x v="0"/>
    <n v="5"/>
    <n v="6.8"/>
    <n v="602.20000000000005"/>
  </r>
  <r>
    <x v="4"/>
    <x v="1"/>
    <n v="5"/>
    <n v="7.4"/>
    <n v="173.7"/>
  </r>
  <r>
    <x v="4"/>
    <x v="1"/>
    <n v="2"/>
    <n v="8.3000000000000007"/>
    <n v="598.1"/>
  </r>
  <r>
    <x v="4"/>
    <x v="1"/>
    <n v="2"/>
    <n v="6.7"/>
    <n v="624"/>
  </r>
  <r>
    <x v="5"/>
    <x v="1"/>
    <n v="5"/>
    <n v="8"/>
    <n v="24"/>
  </r>
  <r>
    <x v="5"/>
    <x v="0"/>
    <n v="5"/>
    <n v="7.1"/>
    <n v="10"/>
  </r>
  <r>
    <x v="5"/>
    <x v="0"/>
    <n v="5"/>
    <n v="7"/>
    <n v="8.8000000000000007"/>
  </r>
  <r>
    <x v="5"/>
    <x v="1"/>
    <n v="2"/>
    <n v="7"/>
    <n v="66"/>
  </r>
  <r>
    <x v="5"/>
    <x v="0"/>
    <n v="2"/>
    <n v="6.7"/>
    <n v="9"/>
  </r>
  <r>
    <x v="5"/>
    <x v="1"/>
    <n v="4"/>
    <n v="6.5"/>
    <n v="30"/>
  </r>
  <r>
    <x v="5"/>
    <x v="1"/>
    <n v="8"/>
    <n v="6.6"/>
    <n v="10"/>
  </r>
  <r>
    <x v="6"/>
    <x v="1"/>
    <n v="5"/>
    <n v="6.7"/>
    <n v="11"/>
  </r>
  <r>
    <x v="6"/>
    <x v="1"/>
    <n v="5"/>
    <n v="7.3"/>
    <n v="385.5"/>
  </r>
  <r>
    <x v="6"/>
    <x v="0"/>
    <n v="5"/>
    <n v="6.6"/>
    <n v="56"/>
  </r>
  <r>
    <x v="6"/>
    <x v="1"/>
    <n v="3"/>
    <n v="7.3"/>
    <n v="11"/>
  </r>
  <r>
    <x v="6"/>
    <x v="1"/>
    <n v="5"/>
    <n v="6.5"/>
    <n v="17"/>
  </r>
  <r>
    <x v="11"/>
    <x v="1"/>
    <n v="5"/>
    <n v="6.8"/>
    <n v="12"/>
  </r>
  <r>
    <x v="11"/>
    <x v="1"/>
    <n v="5"/>
    <n v="7.1"/>
    <n v="21"/>
  </r>
  <r>
    <x v="11"/>
    <x v="1"/>
    <n v="6"/>
    <n v="6.7"/>
    <n v="12"/>
  </r>
  <r>
    <x v="11"/>
    <x v="1"/>
    <n v="5"/>
    <n v="6.5"/>
    <n v="8.1999999999999993"/>
  </r>
  <r>
    <x v="11"/>
    <x v="0"/>
    <n v="4"/>
    <n v="7"/>
    <n v="29"/>
  </r>
  <r>
    <x v="7"/>
    <x v="1"/>
    <n v="6"/>
    <n v="6.9"/>
    <n v="145"/>
  </r>
  <r>
    <x v="7"/>
    <x v="1"/>
    <n v="5"/>
    <n v="6.6"/>
    <n v="18"/>
  </r>
  <r>
    <x v="7"/>
    <x v="0"/>
    <n v="2"/>
    <n v="7.7"/>
    <n v="15"/>
  </r>
  <r>
    <x v="7"/>
    <x v="1"/>
    <n v="6"/>
    <n v="7.1"/>
    <n v="40"/>
  </r>
  <r>
    <x v="7"/>
    <x v="0"/>
    <n v="2"/>
    <n v="6.8"/>
    <n v="12"/>
  </r>
  <r>
    <x v="7"/>
    <x v="1"/>
    <n v="5"/>
    <n v="6.5"/>
    <n v="41.54"/>
  </r>
  <r>
    <x v="8"/>
    <x v="1"/>
    <n v="5"/>
    <n v="6.5"/>
    <n v="28"/>
  </r>
  <r>
    <x v="8"/>
    <x v="1"/>
    <n v="2"/>
    <n v="7.1"/>
    <n v="19.04"/>
  </r>
  <r>
    <x v="8"/>
    <x v="1"/>
    <n v="5"/>
    <n v="6.8"/>
    <n v="35"/>
  </r>
  <r>
    <x v="8"/>
    <x v="1"/>
    <n v="4"/>
    <n v="6.6"/>
    <n v="9.4499999999999993"/>
  </r>
  <r>
    <x v="8"/>
    <x v="1"/>
    <n v="2"/>
    <n v="7.1"/>
    <n v="35"/>
  </r>
  <r>
    <x v="8"/>
    <x v="1"/>
    <n v="6"/>
    <n v="6.6"/>
    <n v="27"/>
  </r>
  <r>
    <x v="9"/>
    <x v="1"/>
    <n v="3"/>
    <n v="6.9"/>
    <n v="9.9700000000000006"/>
  </r>
  <r>
    <x v="9"/>
    <x v="1"/>
    <n v="3"/>
    <n v="7.7"/>
    <n v="10"/>
  </r>
  <r>
    <x v="9"/>
    <x v="0"/>
    <n v="5"/>
    <n v="6.5"/>
    <n v="371"/>
  </r>
  <r>
    <x v="10"/>
    <x v="0"/>
    <n v="3"/>
    <n v="6.6"/>
    <n v="40"/>
  </r>
  <r>
    <x v="0"/>
    <x v="1"/>
    <n v="5"/>
    <n v="6.5"/>
    <n v="187"/>
  </r>
  <r>
    <x v="0"/>
    <x v="1"/>
    <n v="6"/>
    <n v="8.1999999999999993"/>
    <n v="25"/>
  </r>
  <r>
    <x v="0"/>
    <x v="0"/>
    <n v="6"/>
    <n v="6.9"/>
    <n v="28.42"/>
  </r>
  <r>
    <x v="0"/>
    <x v="1"/>
    <n v="5"/>
    <n v="6.6"/>
    <n v="106"/>
  </r>
  <r>
    <x v="0"/>
    <x v="1"/>
    <n v="5"/>
    <n v="7.1"/>
    <n v="434"/>
  </r>
  <r>
    <x v="1"/>
    <x v="1"/>
    <n v="8"/>
    <n v="6.5"/>
    <n v="44.26"/>
  </r>
  <r>
    <x v="1"/>
    <x v="1"/>
    <n v="2"/>
    <n v="6.5"/>
    <n v="119"/>
  </r>
  <r>
    <x v="1"/>
    <x v="0"/>
    <n v="2"/>
    <n v="6.6"/>
    <n v="614"/>
  </r>
  <r>
    <x v="1"/>
    <x v="1"/>
    <n v="4"/>
    <n v="6.5"/>
    <n v="14.83"/>
  </r>
  <r>
    <x v="2"/>
    <x v="0"/>
    <n v="6"/>
    <n v="6.5"/>
    <n v="24.07"/>
  </r>
  <r>
    <x v="2"/>
    <x v="1"/>
    <n v="6"/>
    <n v="7.7"/>
    <n v="22.4"/>
  </r>
  <r>
    <x v="2"/>
    <x v="1"/>
    <n v="8"/>
    <n v="6.9"/>
    <n v="13"/>
  </r>
  <r>
    <x v="2"/>
    <x v="1"/>
    <n v="6"/>
    <n v="6.7"/>
    <n v="20"/>
  </r>
  <r>
    <x v="3"/>
    <x v="1"/>
    <n v="5"/>
    <n v="6.5"/>
    <n v="20"/>
  </r>
  <r>
    <x v="3"/>
    <x v="1"/>
    <n v="5"/>
    <n v="7.4"/>
    <n v="39"/>
  </r>
  <r>
    <x v="3"/>
    <x v="0"/>
    <n v="5"/>
    <n v="6.6"/>
    <n v="10"/>
  </r>
  <r>
    <x v="3"/>
    <x v="1"/>
    <n v="4"/>
    <n v="7.2"/>
    <n v="24"/>
  </r>
  <r>
    <x v="3"/>
    <x v="1"/>
    <n v="5"/>
    <n v="6.6"/>
    <n v="29"/>
  </r>
  <r>
    <x v="3"/>
    <x v="1"/>
    <n v="5"/>
    <n v="7.5"/>
    <n v="43.37"/>
  </r>
  <r>
    <x v="3"/>
    <x v="1"/>
    <n v="4"/>
    <n v="6.5"/>
    <n v="10"/>
  </r>
  <r>
    <x v="4"/>
    <x v="1"/>
    <n v="4"/>
    <n v="6.5"/>
    <n v="10"/>
  </r>
  <r>
    <x v="4"/>
    <x v="0"/>
    <n v="3"/>
    <n v="6.9"/>
    <n v="6.43"/>
  </r>
  <r>
    <x v="5"/>
    <x v="1"/>
    <n v="5"/>
    <n v="6.9"/>
    <n v="20"/>
  </r>
  <r>
    <x v="5"/>
    <x v="1"/>
    <n v="4"/>
    <n v="7.9"/>
    <n v="109"/>
  </r>
  <r>
    <x v="5"/>
    <x v="0"/>
    <n v="5"/>
    <n v="6.5"/>
    <n v="10"/>
  </r>
  <r>
    <x v="5"/>
    <x v="0"/>
    <n v="5"/>
    <n v="6.7"/>
    <n v="26.59"/>
  </r>
  <r>
    <x v="5"/>
    <x v="1"/>
    <n v="7"/>
    <n v="6.9"/>
    <n v="8"/>
  </r>
  <r>
    <x v="5"/>
    <x v="1"/>
    <n v="5"/>
    <n v="6.7"/>
    <n v="18"/>
  </r>
  <r>
    <x v="6"/>
    <x v="1"/>
    <n v="5"/>
    <n v="6.5"/>
    <n v="122"/>
  </r>
  <r>
    <x v="6"/>
    <x v="1"/>
    <n v="4"/>
    <n v="6.9"/>
    <n v="53"/>
  </r>
  <r>
    <x v="6"/>
    <x v="1"/>
    <n v="5"/>
    <n v="6.6"/>
    <n v="53.19"/>
  </r>
  <r>
    <x v="6"/>
    <x v="1"/>
    <n v="5"/>
    <n v="6.6"/>
    <n v="23"/>
  </r>
  <r>
    <x v="6"/>
    <x v="1"/>
    <n v="5"/>
    <n v="6.9"/>
    <n v="615.41999999999996"/>
  </r>
  <r>
    <x v="11"/>
    <x v="1"/>
    <n v="4"/>
    <n v="6.6"/>
    <n v="20"/>
  </r>
  <r>
    <x v="11"/>
    <x v="1"/>
    <n v="6"/>
    <n v="6.8"/>
    <n v="101"/>
  </r>
  <r>
    <x v="7"/>
    <x v="1"/>
    <n v="5"/>
    <n v="6.7"/>
    <n v="130"/>
  </r>
  <r>
    <x v="8"/>
    <x v="1"/>
    <n v="4"/>
    <n v="6.8"/>
    <n v="16.440999999999999"/>
  </r>
  <r>
    <x v="8"/>
    <x v="1"/>
    <n v="4"/>
    <n v="7.3"/>
    <n v="40"/>
  </r>
  <r>
    <x v="9"/>
    <x v="1"/>
    <n v="5"/>
    <n v="7.1"/>
    <n v="60.53"/>
  </r>
  <r>
    <x v="9"/>
    <x v="1"/>
    <n v="5"/>
    <n v="6.5"/>
    <n v="20"/>
  </r>
  <r>
    <x v="9"/>
    <x v="1"/>
    <n v="4"/>
    <n v="6.6"/>
    <n v="135"/>
  </r>
  <r>
    <x v="9"/>
    <x v="1"/>
    <n v="2"/>
    <n v="6.5"/>
    <n v="20"/>
  </r>
  <r>
    <x v="9"/>
    <x v="1"/>
    <n v="2"/>
    <n v="7.1"/>
    <n v="45"/>
  </r>
  <r>
    <x v="9"/>
    <x v="1"/>
    <n v="5"/>
    <n v="6.7"/>
    <n v="22"/>
  </r>
  <r>
    <x v="9"/>
    <x v="1"/>
    <n v="2"/>
    <n v="6.5"/>
    <n v="35"/>
  </r>
  <r>
    <x v="9"/>
    <x v="1"/>
    <n v="2"/>
    <n v="6.8"/>
    <n v="39"/>
  </r>
  <r>
    <x v="10"/>
    <x v="0"/>
    <n v="2"/>
    <n v="6.9"/>
    <n v="10"/>
  </r>
  <r>
    <x v="10"/>
    <x v="1"/>
    <n v="5"/>
    <n v="7.6"/>
    <n v="22.56"/>
  </r>
  <r>
    <x v="0"/>
    <x v="1"/>
    <n v="5"/>
    <n v="6.8"/>
    <n v="44"/>
  </r>
  <r>
    <x v="0"/>
    <x v="1"/>
    <n v="5"/>
    <n v="6.8"/>
    <n v="219.96"/>
  </r>
  <r>
    <x v="1"/>
    <x v="1"/>
    <n v="2"/>
    <n v="6.7"/>
    <n v="23"/>
  </r>
  <r>
    <x v="1"/>
    <x v="0"/>
    <n v="2"/>
    <n v="7"/>
    <n v="552.05999999999995"/>
  </r>
  <r>
    <x v="2"/>
    <x v="1"/>
    <n v="5"/>
    <n v="7.5"/>
    <n v="41"/>
  </r>
  <r>
    <x v="2"/>
    <x v="1"/>
    <n v="5"/>
    <n v="6.5"/>
    <n v="11"/>
  </r>
  <r>
    <x v="3"/>
    <x v="0"/>
    <n v="2"/>
    <n v="6.5"/>
    <n v="20"/>
  </r>
  <r>
    <x v="3"/>
    <x v="1"/>
    <n v="5"/>
    <n v="6.5"/>
    <n v="10"/>
  </r>
  <r>
    <x v="3"/>
    <x v="0"/>
    <n v="2"/>
    <n v="7.8"/>
    <n v="8.2200000000000006"/>
  </r>
  <r>
    <x v="3"/>
    <x v="0"/>
    <n v="2"/>
    <n v="6.6"/>
    <n v="10"/>
  </r>
  <r>
    <x v="3"/>
    <x v="0"/>
    <n v="2"/>
    <n v="6.7"/>
    <n v="22.91"/>
  </r>
  <r>
    <x v="3"/>
    <x v="1"/>
    <n v="5"/>
    <n v="6.7"/>
    <n v="31"/>
  </r>
  <r>
    <x v="4"/>
    <x v="1"/>
    <n v="5"/>
    <n v="7.5"/>
    <n v="55"/>
  </r>
  <r>
    <x v="4"/>
    <x v="1"/>
    <n v="5"/>
    <n v="6.8"/>
    <n v="11"/>
  </r>
  <r>
    <x v="4"/>
    <x v="1"/>
    <n v="5"/>
    <n v="6.9"/>
    <n v="11.19"/>
  </r>
  <r>
    <x v="4"/>
    <x v="1"/>
    <n v="5"/>
    <n v="6.8"/>
    <n v="10"/>
  </r>
  <r>
    <x v="4"/>
    <x v="1"/>
    <n v="4"/>
    <n v="6.8"/>
    <n v="72.599999999999994"/>
  </r>
  <r>
    <x v="4"/>
    <x v="1"/>
    <n v="2"/>
    <n v="7.8"/>
    <n v="664"/>
  </r>
  <r>
    <x v="5"/>
    <x v="0"/>
    <n v="2"/>
    <n v="6.5"/>
    <n v="460"/>
  </r>
  <r>
    <x v="6"/>
    <x v="1"/>
    <n v="4"/>
    <n v="6.5"/>
    <n v="8"/>
  </r>
  <r>
    <x v="6"/>
    <x v="1"/>
    <n v="5"/>
    <n v="7.1"/>
    <n v="10"/>
  </r>
  <r>
    <x v="6"/>
    <x v="1"/>
    <n v="6"/>
    <n v="6.8"/>
    <n v="46"/>
  </r>
  <r>
    <x v="6"/>
    <x v="0"/>
    <n v="2"/>
    <n v="7.2"/>
    <n v="22"/>
  </r>
  <r>
    <x v="6"/>
    <x v="1"/>
    <n v="4"/>
    <n v="6.5"/>
    <n v="20"/>
  </r>
  <r>
    <x v="6"/>
    <x v="1"/>
    <n v="5"/>
    <n v="7"/>
    <n v="11"/>
  </r>
  <r>
    <x v="6"/>
    <x v="1"/>
    <n v="2"/>
    <n v="7"/>
    <n v="48"/>
  </r>
  <r>
    <x v="6"/>
    <x v="1"/>
    <n v="4"/>
    <n v="6.9"/>
    <n v="29"/>
  </r>
  <r>
    <x v="11"/>
    <x v="0"/>
    <n v="2"/>
    <n v="6.6"/>
    <n v="10"/>
  </r>
  <r>
    <x v="7"/>
    <x v="0"/>
    <n v="2"/>
    <n v="6.9"/>
    <n v="21"/>
  </r>
  <r>
    <x v="7"/>
    <x v="1"/>
    <n v="4"/>
    <n v="6.7"/>
    <n v="10"/>
  </r>
  <r>
    <x v="7"/>
    <x v="1"/>
    <n v="6"/>
    <n v="8.3000000000000007"/>
    <n v="22.44"/>
  </r>
  <r>
    <x v="7"/>
    <x v="0"/>
    <n v="6"/>
    <n v="7"/>
    <n v="28.41"/>
  </r>
  <r>
    <x v="7"/>
    <x v="0"/>
    <n v="6"/>
    <n v="6.5"/>
    <n v="27"/>
  </r>
  <r>
    <x v="7"/>
    <x v="0"/>
    <n v="6"/>
    <n v="6.7"/>
    <n v="23"/>
  </r>
  <r>
    <x v="7"/>
    <x v="1"/>
    <n v="6"/>
    <n v="6.6"/>
    <n v="35"/>
  </r>
  <r>
    <x v="7"/>
    <x v="0"/>
    <n v="2"/>
    <n v="6.6"/>
    <n v="18"/>
  </r>
  <r>
    <x v="8"/>
    <x v="1"/>
    <n v="5"/>
    <n v="6.7"/>
    <n v="12"/>
  </r>
  <r>
    <x v="8"/>
    <x v="1"/>
    <n v="5"/>
    <n v="6.6"/>
    <n v="22"/>
  </r>
  <r>
    <x v="8"/>
    <x v="1"/>
    <n v="5"/>
    <n v="7.1"/>
    <n v="135"/>
  </r>
  <r>
    <x v="8"/>
    <x v="0"/>
    <n v="2"/>
    <n v="7.5"/>
    <n v="231"/>
  </r>
  <r>
    <x v="9"/>
    <x v="1"/>
    <n v="6"/>
    <n v="6.7"/>
    <n v="223"/>
  </r>
  <r>
    <x v="9"/>
    <x v="1"/>
    <n v="6"/>
    <n v="6.9"/>
    <n v="12"/>
  </r>
  <r>
    <x v="9"/>
    <x v="0"/>
    <n v="6"/>
    <n v="6.9"/>
    <n v="10"/>
  </r>
  <r>
    <x v="9"/>
    <x v="0"/>
    <n v="2"/>
    <n v="6.7"/>
    <n v="12"/>
  </r>
  <r>
    <x v="9"/>
    <x v="0"/>
    <n v="3"/>
    <n v="6.5"/>
    <n v="11"/>
  </r>
  <r>
    <x v="9"/>
    <x v="1"/>
    <n v="5"/>
    <n v="6.8"/>
    <n v="12.59"/>
  </r>
  <r>
    <x v="9"/>
    <x v="1"/>
    <n v="6"/>
    <n v="7.6"/>
    <n v="606.21"/>
  </r>
  <r>
    <x v="9"/>
    <x v="0"/>
    <n v="6"/>
    <n v="7.6"/>
    <n v="620.55999999999995"/>
  </r>
  <r>
    <x v="9"/>
    <x v="0"/>
    <n v="6"/>
    <n v="6.7"/>
    <n v="602.75"/>
  </r>
  <r>
    <x v="10"/>
    <x v="0"/>
    <n v="2"/>
    <n v="7.3"/>
    <n v="15"/>
  </r>
  <r>
    <x v="10"/>
    <x v="1"/>
    <n v="2"/>
    <n v="6.8"/>
    <n v="35"/>
  </r>
  <r>
    <x v="10"/>
    <x v="1"/>
    <n v="5"/>
    <n v="6.5"/>
    <n v="6.43"/>
  </r>
  <r>
    <x v="10"/>
    <x v="1"/>
    <n v="4"/>
    <n v="6.6"/>
    <n v="85"/>
  </r>
  <r>
    <x v="0"/>
    <x v="0"/>
    <n v="2"/>
    <n v="6.6"/>
    <n v="50"/>
  </r>
  <r>
    <x v="0"/>
    <x v="1"/>
    <n v="5"/>
    <n v="7"/>
    <n v="19"/>
  </r>
  <r>
    <x v="0"/>
    <x v="1"/>
    <n v="2"/>
    <n v="6.7"/>
    <n v="46"/>
  </r>
  <r>
    <x v="0"/>
    <x v="1"/>
    <n v="4"/>
    <n v="6.6"/>
    <n v="10"/>
  </r>
  <r>
    <x v="0"/>
    <x v="1"/>
    <n v="4"/>
    <n v="7.1"/>
    <n v="125.6"/>
  </r>
  <r>
    <x v="0"/>
    <x v="1"/>
    <n v="2"/>
    <n v="7.2"/>
    <n v="177"/>
  </r>
  <r>
    <x v="1"/>
    <x v="0"/>
    <n v="2"/>
    <n v="7.8"/>
    <n v="24"/>
  </r>
  <r>
    <x v="2"/>
    <x v="0"/>
    <n v="2"/>
    <n v="6.7"/>
    <n v="55"/>
  </r>
  <r>
    <x v="2"/>
    <x v="1"/>
    <n v="5"/>
    <n v="6.9"/>
    <n v="26"/>
  </r>
  <r>
    <x v="3"/>
    <x v="0"/>
    <n v="2"/>
    <n v="6.9"/>
    <n v="136"/>
  </r>
  <r>
    <x v="3"/>
    <x v="1"/>
    <n v="2"/>
    <n v="7"/>
    <n v="10"/>
  </r>
  <r>
    <x v="3"/>
    <x v="1"/>
    <n v="6"/>
    <n v="7.8"/>
    <n v="20.59"/>
  </r>
  <r>
    <x v="3"/>
    <x v="1"/>
    <n v="5"/>
    <n v="7"/>
    <n v="24"/>
  </r>
  <r>
    <x v="4"/>
    <x v="1"/>
    <n v="6"/>
    <n v="6.7"/>
    <n v="16"/>
  </r>
  <r>
    <x v="4"/>
    <x v="1"/>
    <n v="6"/>
    <n v="6.9"/>
    <n v="29.95"/>
  </r>
  <r>
    <x v="4"/>
    <x v="1"/>
    <n v="8"/>
    <n v="6.9"/>
    <n v="405.69"/>
  </r>
  <r>
    <x v="4"/>
    <x v="1"/>
    <n v="7"/>
    <n v="7.2"/>
    <n v="78"/>
  </r>
  <r>
    <x v="5"/>
    <x v="1"/>
    <n v="5"/>
    <n v="6.7"/>
    <n v="24"/>
  </r>
  <r>
    <x v="5"/>
    <x v="0"/>
    <n v="2"/>
    <n v="6.5"/>
    <n v="13"/>
  </r>
  <r>
    <x v="6"/>
    <x v="1"/>
    <n v="5"/>
    <n v="6.7"/>
    <n v="27.59"/>
  </r>
  <r>
    <x v="6"/>
    <x v="1"/>
    <n v="5"/>
    <n v="7.7"/>
    <n v="196"/>
  </r>
  <r>
    <x v="11"/>
    <x v="1"/>
    <n v="4"/>
    <n v="6.6"/>
    <n v="8.4499999999999993"/>
  </r>
  <r>
    <x v="11"/>
    <x v="1"/>
    <n v="5"/>
    <n v="7.8"/>
    <n v="40"/>
  </r>
  <r>
    <x v="11"/>
    <x v="0"/>
    <n v="5"/>
    <n v="6.5"/>
    <n v="12.26"/>
  </r>
  <r>
    <x v="11"/>
    <x v="0"/>
    <n v="2"/>
    <n v="6.8"/>
    <n v="82"/>
  </r>
  <r>
    <x v="11"/>
    <x v="1"/>
    <n v="5"/>
    <n v="6.8"/>
    <n v="476"/>
  </r>
  <r>
    <x v="7"/>
    <x v="1"/>
    <n v="5"/>
    <n v="6.9"/>
    <n v="19.73"/>
  </r>
  <r>
    <x v="7"/>
    <x v="1"/>
    <n v="5"/>
    <n v="6.9"/>
    <n v="596.4"/>
  </r>
  <r>
    <x v="8"/>
    <x v="0"/>
    <n v="2"/>
    <n v="6.6"/>
    <n v="212"/>
  </r>
  <r>
    <x v="8"/>
    <x v="1"/>
    <n v="5"/>
    <n v="6.8"/>
    <n v="42"/>
  </r>
  <r>
    <x v="8"/>
    <x v="0"/>
    <n v="2"/>
    <n v="6.6"/>
    <n v="614"/>
  </r>
  <r>
    <x v="8"/>
    <x v="0"/>
    <n v="3"/>
    <n v="6.6"/>
    <n v="8"/>
  </r>
  <r>
    <x v="9"/>
    <x v="1"/>
    <n v="2"/>
    <n v="6.5"/>
    <n v="13"/>
  </r>
  <r>
    <x v="9"/>
    <x v="1"/>
    <n v="5"/>
    <n v="7.8"/>
    <n v="15.11"/>
  </r>
  <r>
    <x v="9"/>
    <x v="1"/>
    <n v="5"/>
    <n v="6.5"/>
    <n v="10"/>
  </r>
  <r>
    <x v="9"/>
    <x v="1"/>
    <n v="5"/>
    <n v="6.5"/>
    <n v="9"/>
  </r>
  <r>
    <x v="9"/>
    <x v="1"/>
    <n v="2"/>
    <n v="6.9"/>
    <n v="9"/>
  </r>
  <r>
    <x v="9"/>
    <x v="1"/>
    <n v="4"/>
    <n v="6.9"/>
    <n v="10"/>
  </r>
  <r>
    <x v="9"/>
    <x v="0"/>
    <n v="2"/>
    <n v="6.6"/>
    <n v="17"/>
  </r>
  <r>
    <x v="10"/>
    <x v="1"/>
    <n v="5"/>
    <n v="7.2"/>
    <n v="16.37"/>
  </r>
  <r>
    <x v="10"/>
    <x v="1"/>
    <n v="5"/>
    <n v="7.9"/>
    <n v="94.54"/>
  </r>
  <r>
    <x v="10"/>
    <x v="0"/>
    <n v="2"/>
    <n v="6.7"/>
    <n v="152"/>
  </r>
  <r>
    <x v="10"/>
    <x v="1"/>
    <n v="6"/>
    <n v="7.6"/>
    <n v="38"/>
  </r>
  <r>
    <x v="0"/>
    <x v="1"/>
    <n v="5"/>
    <n v="6.6"/>
    <n v="22"/>
  </r>
  <r>
    <x v="0"/>
    <x v="1"/>
    <n v="5"/>
    <n v="6.5"/>
    <n v="36"/>
  </r>
  <r>
    <x v="0"/>
    <x v="1"/>
    <n v="5"/>
    <n v="7.9"/>
    <n v="135"/>
  </r>
  <r>
    <x v="1"/>
    <x v="1"/>
    <n v="4"/>
    <n v="6.8"/>
    <n v="5"/>
  </r>
  <r>
    <x v="1"/>
    <x v="0"/>
    <n v="6"/>
    <n v="6.5"/>
    <n v="595.98"/>
  </r>
  <r>
    <x v="1"/>
    <x v="1"/>
    <n v="5"/>
    <n v="6.9"/>
    <n v="414.5"/>
  </r>
  <r>
    <x v="2"/>
    <x v="1"/>
    <n v="5"/>
    <n v="6.9"/>
    <n v="12"/>
  </r>
  <r>
    <x v="2"/>
    <x v="0"/>
    <n v="1"/>
    <n v="6.5"/>
    <n v="29"/>
  </r>
  <r>
    <x v="2"/>
    <x v="1"/>
    <n v="2"/>
    <n v="6.6"/>
    <n v="17"/>
  </r>
  <r>
    <x v="3"/>
    <x v="1"/>
    <n v="5"/>
    <n v="6.8"/>
    <n v="10"/>
  </r>
  <r>
    <x v="3"/>
    <x v="1"/>
    <n v="6"/>
    <n v="6.9"/>
    <n v="28"/>
  </r>
  <r>
    <x v="3"/>
    <x v="1"/>
    <n v="2"/>
    <n v="6.9"/>
    <n v="26"/>
  </r>
  <r>
    <x v="4"/>
    <x v="0"/>
    <n v="2"/>
    <n v="6.6"/>
    <n v="12"/>
  </r>
  <r>
    <x v="5"/>
    <x v="1"/>
    <n v="2"/>
    <n v="6.5"/>
    <n v="9"/>
  </r>
  <r>
    <x v="5"/>
    <x v="1"/>
    <n v="4"/>
    <n v="6.9"/>
    <n v="93"/>
  </r>
  <r>
    <x v="5"/>
    <x v="1"/>
    <n v="6"/>
    <n v="6.8"/>
    <n v="38.119999999999997"/>
  </r>
  <r>
    <x v="6"/>
    <x v="1"/>
    <n v="5"/>
    <n v="6.5"/>
    <n v="110.57"/>
  </r>
  <r>
    <x v="6"/>
    <x v="1"/>
    <n v="2"/>
    <n v="7.7"/>
    <n v="10"/>
  </r>
  <r>
    <x v="6"/>
    <x v="0"/>
    <n v="2"/>
    <n v="6.6"/>
    <n v="7"/>
  </r>
  <r>
    <x v="11"/>
    <x v="0"/>
    <n v="2"/>
    <n v="6.5"/>
    <n v="9"/>
  </r>
  <r>
    <x v="11"/>
    <x v="1"/>
    <n v="4"/>
    <n v="8.1999999999999993"/>
    <n v="47.39"/>
  </r>
  <r>
    <x v="11"/>
    <x v="1"/>
    <n v="4"/>
    <n v="6.5"/>
    <n v="119"/>
  </r>
  <r>
    <x v="7"/>
    <x v="1"/>
    <n v="5"/>
    <n v="6.8"/>
    <n v="169"/>
  </r>
  <r>
    <x v="7"/>
    <x v="0"/>
    <n v="4"/>
    <n v="7.1"/>
    <n v="48"/>
  </r>
  <r>
    <x v="8"/>
    <x v="1"/>
    <n v="2"/>
    <n v="7.3"/>
    <n v="627.16999999999996"/>
  </r>
  <r>
    <x v="8"/>
    <x v="1"/>
    <n v="2"/>
    <n v="6.5"/>
    <n v="15"/>
  </r>
  <r>
    <x v="8"/>
    <x v="1"/>
    <n v="7"/>
    <n v="6.5"/>
    <n v="15"/>
  </r>
  <r>
    <x v="8"/>
    <x v="0"/>
    <n v="2"/>
    <n v="6.7"/>
    <n v="553.80999999999995"/>
  </r>
  <r>
    <x v="8"/>
    <x v="1"/>
    <n v="5"/>
    <n v="6.7"/>
    <n v="24"/>
  </r>
  <r>
    <x v="9"/>
    <x v="1"/>
    <n v="5"/>
    <n v="6.6"/>
    <n v="10"/>
  </r>
  <r>
    <x v="9"/>
    <x v="1"/>
    <n v="4"/>
    <n v="6.5"/>
    <n v="19.36"/>
  </r>
  <r>
    <x v="9"/>
    <x v="1"/>
    <n v="5"/>
    <n v="6.6"/>
    <n v="13"/>
  </r>
  <r>
    <x v="9"/>
    <x v="1"/>
    <n v="5"/>
    <n v="7"/>
    <n v="10"/>
  </r>
  <r>
    <x v="10"/>
    <x v="0"/>
    <n v="2"/>
    <n v="7.3"/>
    <n v="19"/>
  </r>
  <r>
    <x v="10"/>
    <x v="1"/>
    <n v="7"/>
    <n v="6.5"/>
    <n v="17"/>
  </r>
  <r>
    <x v="10"/>
    <x v="0"/>
    <n v="2"/>
    <n v="6.5"/>
    <n v="90"/>
  </r>
  <r>
    <x v="0"/>
    <x v="1"/>
    <n v="6"/>
    <n v="7.1"/>
    <n v="39"/>
  </r>
  <r>
    <x v="0"/>
    <x v="1"/>
    <n v="4"/>
    <n v="7.9"/>
    <n v="14.06"/>
  </r>
  <r>
    <x v="1"/>
    <x v="0"/>
    <n v="6"/>
    <n v="6.8"/>
    <n v="559"/>
  </r>
  <r>
    <x v="1"/>
    <x v="1"/>
    <n v="4"/>
    <n v="7.2"/>
    <n v="22"/>
  </r>
  <r>
    <x v="1"/>
    <x v="1"/>
    <n v="5"/>
    <n v="7.5"/>
    <n v="25.21"/>
  </r>
  <r>
    <x v="2"/>
    <x v="1"/>
    <n v="5"/>
    <n v="6.7"/>
    <n v="40"/>
  </r>
  <r>
    <x v="2"/>
    <x v="1"/>
    <n v="5"/>
    <n v="6.9"/>
    <n v="35"/>
  </r>
  <r>
    <x v="3"/>
    <x v="1"/>
    <n v="4"/>
    <n v="6.9"/>
    <n v="5.81"/>
  </r>
  <r>
    <x v="4"/>
    <x v="0"/>
    <n v="2"/>
    <n v="6.9"/>
    <n v="34"/>
  </r>
  <r>
    <x v="4"/>
    <x v="1"/>
    <n v="2"/>
    <n v="6.6"/>
    <n v="35"/>
  </r>
  <r>
    <x v="4"/>
    <x v="1"/>
    <n v="5"/>
    <n v="7.5"/>
    <n v="10"/>
  </r>
  <r>
    <x v="4"/>
    <x v="1"/>
    <n v="5"/>
    <n v="6.6"/>
    <n v="10"/>
  </r>
  <r>
    <x v="5"/>
    <x v="1"/>
    <n v="5"/>
    <n v="6.7"/>
    <n v="20.49"/>
  </r>
  <r>
    <x v="5"/>
    <x v="1"/>
    <n v="5"/>
    <n v="7.9"/>
    <n v="670.81"/>
  </r>
  <r>
    <x v="11"/>
    <x v="1"/>
    <n v="5"/>
    <n v="6.8"/>
    <n v="22.86"/>
  </r>
  <r>
    <x v="11"/>
    <x v="1"/>
    <n v="4"/>
    <n v="6.5"/>
    <n v="33.93"/>
  </r>
  <r>
    <x v="11"/>
    <x v="0"/>
    <n v="2"/>
    <n v="6.5"/>
    <n v="529"/>
  </r>
  <r>
    <x v="11"/>
    <x v="1"/>
    <n v="5"/>
    <n v="8.1999999999999993"/>
    <n v="600"/>
  </r>
  <r>
    <x v="11"/>
    <x v="0"/>
    <n v="2"/>
    <n v="6.9"/>
    <n v="21"/>
  </r>
  <r>
    <x v="11"/>
    <x v="1"/>
    <n v="6"/>
    <n v="7.3"/>
    <n v="146.82"/>
  </r>
  <r>
    <x v="11"/>
    <x v="1"/>
    <n v="5"/>
    <n v="6.5"/>
    <n v="9"/>
  </r>
  <r>
    <x v="11"/>
    <x v="0"/>
    <n v="6"/>
    <n v="7.1"/>
    <n v="630"/>
  </r>
  <r>
    <x v="11"/>
    <x v="1"/>
    <n v="5"/>
    <n v="7.1"/>
    <n v="21.43"/>
  </r>
  <r>
    <x v="7"/>
    <x v="1"/>
    <n v="5"/>
    <n v="6.5"/>
    <n v="68"/>
  </r>
  <r>
    <x v="7"/>
    <x v="1"/>
    <n v="8"/>
    <n v="6.7"/>
    <n v="10"/>
  </r>
  <r>
    <x v="7"/>
    <x v="0"/>
    <n v="5"/>
    <n v="6.5"/>
    <n v="576"/>
  </r>
  <r>
    <x v="7"/>
    <x v="0"/>
    <n v="2"/>
    <n v="7.5"/>
    <n v="20"/>
  </r>
  <r>
    <x v="7"/>
    <x v="1"/>
    <n v="5"/>
    <n v="6.7"/>
    <n v="550"/>
  </r>
  <r>
    <x v="8"/>
    <x v="1"/>
    <n v="4"/>
    <n v="7.5"/>
    <n v="19"/>
  </r>
  <r>
    <x v="8"/>
    <x v="0"/>
    <n v="5"/>
    <n v="6.9"/>
    <n v="115"/>
  </r>
  <r>
    <x v="8"/>
    <x v="1"/>
    <n v="5"/>
    <n v="7"/>
    <n v="39"/>
  </r>
  <r>
    <x v="8"/>
    <x v="1"/>
    <n v="2"/>
    <n v="6.5"/>
    <n v="20"/>
  </r>
  <r>
    <x v="8"/>
    <x v="1"/>
    <n v="2"/>
    <n v="6.7"/>
    <n v="461"/>
  </r>
  <r>
    <x v="8"/>
    <x v="1"/>
    <n v="5"/>
    <n v="6.5"/>
    <n v="17"/>
  </r>
  <r>
    <x v="8"/>
    <x v="1"/>
    <n v="4"/>
    <n v="6.5"/>
    <n v="10"/>
  </r>
  <r>
    <x v="8"/>
    <x v="1"/>
    <n v="4"/>
    <n v="6.8"/>
    <n v="10"/>
  </r>
  <r>
    <x v="8"/>
    <x v="0"/>
    <n v="4"/>
    <n v="6.5"/>
    <n v="10"/>
  </r>
  <r>
    <x v="8"/>
    <x v="0"/>
    <n v="3"/>
    <n v="6.8"/>
    <n v="14"/>
  </r>
  <r>
    <x v="9"/>
    <x v="1"/>
    <n v="7"/>
    <n v="7.1"/>
    <n v="133"/>
  </r>
  <r>
    <x v="9"/>
    <x v="1"/>
    <n v="5"/>
    <n v="6.8"/>
    <n v="540"/>
  </r>
  <r>
    <x v="9"/>
    <x v="1"/>
    <n v="4"/>
    <n v="7.1"/>
    <n v="46.7"/>
  </r>
  <r>
    <x v="10"/>
    <x v="1"/>
    <n v="2"/>
    <n v="7.3"/>
    <n v="16.559999999999999"/>
  </r>
  <r>
    <x v="10"/>
    <x v="1"/>
    <n v="2"/>
    <n v="7"/>
    <n v="60.21"/>
  </r>
  <r>
    <x v="0"/>
    <x v="1"/>
    <n v="4"/>
    <n v="6.7"/>
    <n v="66"/>
  </r>
  <r>
    <x v="0"/>
    <x v="1"/>
    <n v="6"/>
    <n v="7"/>
    <n v="267"/>
  </r>
  <r>
    <x v="0"/>
    <x v="1"/>
    <n v="6"/>
    <n v="6.8"/>
    <n v="25"/>
  </r>
  <r>
    <x v="0"/>
    <x v="1"/>
    <n v="5"/>
    <n v="6.6"/>
    <n v="591"/>
  </r>
  <r>
    <x v="0"/>
    <x v="1"/>
    <n v="5"/>
    <n v="6.6"/>
    <n v="35"/>
  </r>
  <r>
    <x v="0"/>
    <x v="1"/>
    <n v="6"/>
    <n v="6.7"/>
    <n v="63"/>
  </r>
  <r>
    <x v="0"/>
    <x v="0"/>
    <n v="4"/>
    <n v="6.7"/>
    <n v="13"/>
  </r>
  <r>
    <x v="1"/>
    <x v="0"/>
    <n v="2"/>
    <n v="6.9"/>
    <n v="49"/>
  </r>
  <r>
    <x v="1"/>
    <x v="1"/>
    <n v="6"/>
    <n v="7.5"/>
    <n v="145"/>
  </r>
  <r>
    <x v="3"/>
    <x v="1"/>
    <n v="5"/>
    <n v="6.6"/>
    <n v="10"/>
  </r>
  <r>
    <x v="4"/>
    <x v="0"/>
    <n v="6"/>
    <n v="6.8"/>
    <n v="570.41"/>
  </r>
  <r>
    <x v="4"/>
    <x v="1"/>
    <n v="5"/>
    <n v="7.6"/>
    <n v="10"/>
  </r>
  <r>
    <x v="4"/>
    <x v="1"/>
    <n v="6"/>
    <n v="8"/>
    <n v="122.57"/>
  </r>
  <r>
    <x v="4"/>
    <x v="1"/>
    <n v="4"/>
    <n v="6.6"/>
    <n v="57.92"/>
  </r>
  <r>
    <x v="5"/>
    <x v="1"/>
    <n v="2"/>
    <n v="6.6"/>
    <n v="43.21"/>
  </r>
  <r>
    <x v="5"/>
    <x v="1"/>
    <n v="5"/>
    <n v="7.1"/>
    <n v="146"/>
  </r>
  <r>
    <x v="5"/>
    <x v="0"/>
    <n v="4"/>
    <n v="7.1"/>
    <n v="8"/>
  </r>
  <r>
    <x v="5"/>
    <x v="1"/>
    <n v="5"/>
    <n v="7.3"/>
    <n v="46"/>
  </r>
  <r>
    <x v="5"/>
    <x v="1"/>
    <n v="2"/>
    <n v="7.3"/>
    <n v="212"/>
  </r>
  <r>
    <x v="6"/>
    <x v="0"/>
    <n v="2"/>
    <n v="6.9"/>
    <n v="35"/>
  </r>
  <r>
    <x v="6"/>
    <x v="1"/>
    <n v="2"/>
    <n v="7.2"/>
    <n v="18.98"/>
  </r>
  <r>
    <x v="6"/>
    <x v="0"/>
    <n v="5"/>
    <n v="6.6"/>
    <n v="10"/>
  </r>
  <r>
    <x v="6"/>
    <x v="1"/>
    <n v="5"/>
    <n v="6.6"/>
    <n v="181"/>
  </r>
  <r>
    <x v="11"/>
    <x v="0"/>
    <n v="5"/>
    <n v="6.5"/>
    <n v="577"/>
  </r>
  <r>
    <x v="11"/>
    <x v="1"/>
    <n v="3"/>
    <n v="6.6"/>
    <n v="16"/>
  </r>
  <r>
    <x v="7"/>
    <x v="1"/>
    <n v="3"/>
    <n v="6.5"/>
    <n v="38"/>
  </r>
  <r>
    <x v="7"/>
    <x v="1"/>
    <n v="2"/>
    <n v="6.5"/>
    <n v="12.26"/>
  </r>
  <r>
    <x v="7"/>
    <x v="1"/>
    <n v="6"/>
    <n v="6.7"/>
    <n v="11"/>
  </r>
  <r>
    <x v="8"/>
    <x v="1"/>
    <n v="2"/>
    <n v="6.6"/>
    <n v="15"/>
  </r>
  <r>
    <x v="8"/>
    <x v="1"/>
    <n v="2"/>
    <n v="6.5"/>
    <n v="10"/>
  </r>
  <r>
    <x v="9"/>
    <x v="1"/>
    <n v="2"/>
    <n v="7.1"/>
    <n v="33"/>
  </r>
  <r>
    <x v="10"/>
    <x v="1"/>
    <n v="2"/>
    <n v="6.8"/>
    <n v="15.46"/>
  </r>
  <r>
    <x v="10"/>
    <x v="1"/>
    <n v="2"/>
    <n v="6.8"/>
    <n v="18"/>
  </r>
  <r>
    <x v="0"/>
    <x v="1"/>
    <n v="6"/>
    <n v="6.8"/>
    <n v="21"/>
  </r>
  <r>
    <x v="0"/>
    <x v="0"/>
    <n v="6"/>
    <n v="6.5"/>
    <n v="16"/>
  </r>
  <r>
    <x v="0"/>
    <x v="0"/>
    <n v="2"/>
    <n v="6.7"/>
    <n v="10"/>
  </r>
  <r>
    <x v="0"/>
    <x v="1"/>
    <n v="4"/>
    <n v="7.7"/>
    <n v="14.86"/>
  </r>
  <r>
    <x v="1"/>
    <x v="0"/>
    <n v="3"/>
    <n v="6.5"/>
    <n v="10"/>
  </r>
  <r>
    <x v="1"/>
    <x v="1"/>
    <n v="2"/>
    <n v="7"/>
    <n v="143"/>
  </r>
  <r>
    <x v="2"/>
    <x v="1"/>
    <n v="6"/>
    <n v="6.8"/>
    <n v="112"/>
  </r>
  <r>
    <x v="2"/>
    <x v="1"/>
    <n v="2"/>
    <n v="7.5"/>
    <n v="57.8"/>
  </r>
  <r>
    <x v="2"/>
    <x v="0"/>
    <n v="4"/>
    <n v="6.5"/>
    <n v="12.06"/>
  </r>
  <r>
    <x v="4"/>
    <x v="0"/>
    <n v="4"/>
    <n v="6.5"/>
    <n v="2.7"/>
  </r>
  <r>
    <x v="5"/>
    <x v="0"/>
    <n v="2"/>
    <n v="6.8"/>
    <n v="96"/>
  </r>
  <r>
    <x v="5"/>
    <x v="0"/>
    <n v="2"/>
    <n v="6.6"/>
    <n v="533.76"/>
  </r>
  <r>
    <x v="5"/>
    <x v="1"/>
    <n v="2"/>
    <n v="6.6"/>
    <n v="165"/>
  </r>
  <r>
    <x v="5"/>
    <x v="1"/>
    <n v="8"/>
    <n v="7.4"/>
    <n v="10"/>
  </r>
  <r>
    <x v="5"/>
    <x v="1"/>
    <n v="4"/>
    <n v="7.4"/>
    <n v="20"/>
  </r>
  <r>
    <x v="6"/>
    <x v="1"/>
    <n v="5"/>
    <n v="7"/>
    <n v="73"/>
  </r>
  <r>
    <x v="6"/>
    <x v="1"/>
    <n v="4"/>
    <n v="7.8"/>
    <n v="28"/>
  </r>
  <r>
    <x v="11"/>
    <x v="1"/>
    <n v="2"/>
    <n v="6.6"/>
    <n v="10"/>
  </r>
  <r>
    <x v="11"/>
    <x v="0"/>
    <n v="2"/>
    <n v="6.8"/>
    <n v="22"/>
  </r>
  <r>
    <x v="11"/>
    <x v="0"/>
    <n v="2"/>
    <n v="6.9"/>
    <n v="26"/>
  </r>
  <r>
    <x v="11"/>
    <x v="0"/>
    <n v="2"/>
    <n v="6.9"/>
    <n v="624"/>
  </r>
  <r>
    <x v="11"/>
    <x v="0"/>
    <n v="8"/>
    <n v="6.5"/>
    <n v="10"/>
  </r>
  <r>
    <x v="7"/>
    <x v="1"/>
    <n v="8"/>
    <n v="6.9"/>
    <n v="10"/>
  </r>
  <r>
    <x v="8"/>
    <x v="1"/>
    <n v="4"/>
    <n v="7.6"/>
    <n v="28.37"/>
  </r>
  <r>
    <x v="8"/>
    <x v="0"/>
    <n v="3"/>
    <n v="7"/>
    <n v="21"/>
  </r>
  <r>
    <x v="10"/>
    <x v="1"/>
    <n v="5"/>
    <n v="6.6"/>
    <n v="107"/>
  </r>
  <r>
    <x v="10"/>
    <x v="1"/>
    <n v="6"/>
    <n v="6.7"/>
    <n v="10"/>
  </r>
  <r>
    <x v="0"/>
    <x v="1"/>
    <n v="2"/>
    <n v="6.9"/>
    <n v="43"/>
  </r>
  <r>
    <x v="0"/>
    <x v="1"/>
    <n v="2"/>
    <n v="7"/>
    <n v="80"/>
  </r>
  <r>
    <x v="0"/>
    <x v="1"/>
    <n v="7"/>
    <n v="6.9"/>
    <n v="15"/>
  </r>
  <r>
    <x v="1"/>
    <x v="1"/>
    <n v="5"/>
    <n v="7.3"/>
    <n v="527"/>
  </r>
  <r>
    <x v="1"/>
    <x v="1"/>
    <n v="2"/>
    <n v="7.1"/>
    <n v="43.98"/>
  </r>
  <r>
    <x v="2"/>
    <x v="1"/>
    <n v="2"/>
    <n v="6.6"/>
    <n v="13.23"/>
  </r>
  <r>
    <x v="2"/>
    <x v="1"/>
    <n v="2"/>
    <n v="7"/>
    <n v="43"/>
  </r>
  <r>
    <x v="3"/>
    <x v="1"/>
    <n v="5"/>
    <n v="7.3"/>
    <n v="10"/>
  </r>
  <r>
    <x v="3"/>
    <x v="1"/>
    <n v="5"/>
    <n v="7.4"/>
    <n v="43"/>
  </r>
  <r>
    <x v="3"/>
    <x v="1"/>
    <n v="5"/>
    <n v="8.1"/>
    <n v="28.93"/>
  </r>
  <r>
    <x v="3"/>
    <x v="0"/>
    <n v="5"/>
    <n v="6.5"/>
    <n v="24"/>
  </r>
  <r>
    <x v="3"/>
    <x v="0"/>
    <n v="5"/>
    <n v="6.5"/>
    <n v="301"/>
  </r>
  <r>
    <x v="3"/>
    <x v="0"/>
    <n v="5"/>
    <n v="6.5"/>
    <n v="246"/>
  </r>
  <r>
    <x v="4"/>
    <x v="0"/>
    <n v="2"/>
    <n v="6.7"/>
    <n v="11"/>
  </r>
  <r>
    <x v="4"/>
    <x v="1"/>
    <n v="5"/>
    <n v="6.5"/>
    <n v="10"/>
  </r>
  <r>
    <x v="4"/>
    <x v="0"/>
    <n v="2"/>
    <n v="7.3"/>
    <n v="10"/>
  </r>
  <r>
    <x v="5"/>
    <x v="1"/>
    <n v="5"/>
    <n v="6.5"/>
    <n v="25"/>
  </r>
  <r>
    <x v="6"/>
    <x v="1"/>
    <n v="6"/>
    <n v="6.7"/>
    <n v="10"/>
  </r>
  <r>
    <x v="6"/>
    <x v="1"/>
    <n v="2"/>
    <n v="6.7"/>
    <n v="110"/>
  </r>
  <r>
    <x v="6"/>
    <x v="1"/>
    <n v="4"/>
    <n v="8.1999999999999993"/>
    <n v="46.66"/>
  </r>
  <r>
    <x v="6"/>
    <x v="1"/>
    <n v="4"/>
    <n v="8.1999999999999993"/>
    <n v="35"/>
  </r>
  <r>
    <x v="11"/>
    <x v="1"/>
    <n v="4"/>
    <n v="7"/>
    <n v="20"/>
  </r>
  <r>
    <x v="11"/>
    <x v="1"/>
    <n v="4"/>
    <n v="6.9"/>
    <n v="33.299999999999997"/>
  </r>
  <r>
    <x v="11"/>
    <x v="1"/>
    <n v="4"/>
    <n v="6.9"/>
    <n v="20.74"/>
  </r>
  <r>
    <x v="11"/>
    <x v="1"/>
    <n v="4"/>
    <n v="7.2"/>
    <n v="10"/>
  </r>
  <r>
    <x v="11"/>
    <x v="1"/>
    <n v="7"/>
    <n v="6.9"/>
    <n v="16.7"/>
  </r>
  <r>
    <x v="11"/>
    <x v="1"/>
    <n v="5"/>
    <n v="6.9"/>
    <n v="93"/>
  </r>
  <r>
    <x v="11"/>
    <x v="1"/>
    <n v="7"/>
    <n v="6.6"/>
    <n v="7"/>
  </r>
  <r>
    <x v="11"/>
    <x v="1"/>
    <n v="7"/>
    <n v="7.1"/>
    <n v="6"/>
  </r>
  <r>
    <x v="7"/>
    <x v="1"/>
    <n v="5"/>
    <n v="6.9"/>
    <n v="535"/>
  </r>
  <r>
    <x v="7"/>
    <x v="1"/>
    <n v="4"/>
    <n v="6.5"/>
    <n v="21"/>
  </r>
  <r>
    <x v="8"/>
    <x v="1"/>
    <n v="5"/>
    <n v="7.7"/>
    <n v="10"/>
  </r>
  <r>
    <x v="8"/>
    <x v="1"/>
    <n v="2"/>
    <n v="6.6"/>
    <n v="12"/>
  </r>
  <r>
    <x v="9"/>
    <x v="0"/>
    <n v="2"/>
    <n v="6.7"/>
    <n v="10"/>
  </r>
  <r>
    <x v="9"/>
    <x v="1"/>
    <n v="2"/>
    <n v="7.1"/>
    <n v="55.14"/>
  </r>
  <r>
    <x v="9"/>
    <x v="1"/>
    <n v="4"/>
    <n v="6.9"/>
    <n v="51.6"/>
  </r>
  <r>
    <x v="9"/>
    <x v="1"/>
    <n v="6"/>
    <n v="7.5"/>
    <n v="126"/>
  </r>
  <r>
    <x v="10"/>
    <x v="0"/>
    <n v="8"/>
    <n v="6.7"/>
    <n v="10"/>
  </r>
  <r>
    <x v="10"/>
    <x v="1"/>
    <n v="7"/>
    <n v="7.5"/>
    <n v="47.23"/>
  </r>
  <r>
    <x v="10"/>
    <x v="0"/>
    <n v="7"/>
    <n v="8.1"/>
    <n v="22.79"/>
  </r>
  <r>
    <x v="10"/>
    <x v="1"/>
    <n v="2"/>
    <n v="7.3"/>
    <n v="14.27"/>
  </r>
  <r>
    <x v="10"/>
    <x v="0"/>
    <n v="2"/>
    <n v="7.3"/>
    <n v="165.49"/>
  </r>
  <r>
    <x v="0"/>
    <x v="0"/>
    <n v="2"/>
    <n v="6.6"/>
    <n v="33"/>
  </r>
  <r>
    <x v="0"/>
    <x v="1"/>
    <n v="5"/>
    <n v="6.5"/>
    <n v="8"/>
  </r>
  <r>
    <x v="1"/>
    <x v="1"/>
    <n v="5"/>
    <n v="6.6"/>
    <n v="24"/>
  </r>
  <r>
    <x v="1"/>
    <x v="1"/>
    <n v="5"/>
    <n v="6.8"/>
    <n v="535"/>
  </r>
  <r>
    <x v="2"/>
    <x v="0"/>
    <n v="6"/>
    <n v="6.5"/>
    <n v="110"/>
  </r>
  <r>
    <x v="2"/>
    <x v="0"/>
    <n v="2"/>
    <n v="6.7"/>
    <n v="28"/>
  </r>
  <r>
    <x v="2"/>
    <x v="1"/>
    <n v="2"/>
    <n v="7.3"/>
    <n v="41"/>
  </r>
  <r>
    <x v="2"/>
    <x v="1"/>
    <n v="2"/>
    <n v="6.7"/>
    <n v="24"/>
  </r>
  <r>
    <x v="2"/>
    <x v="1"/>
    <n v="5"/>
    <n v="6.9"/>
    <n v="10"/>
  </r>
  <r>
    <x v="2"/>
    <x v="1"/>
    <n v="5"/>
    <n v="7"/>
    <n v="10"/>
  </r>
  <r>
    <x v="3"/>
    <x v="1"/>
    <n v="4"/>
    <n v="6.6"/>
    <n v="27"/>
  </r>
  <r>
    <x v="4"/>
    <x v="0"/>
    <n v="2"/>
    <n v="6.6"/>
    <n v="12"/>
  </r>
  <r>
    <x v="4"/>
    <x v="1"/>
    <n v="8"/>
    <n v="6.9"/>
    <n v="10"/>
  </r>
  <r>
    <x v="4"/>
    <x v="1"/>
    <n v="6"/>
    <n v="7.2"/>
    <n v="236"/>
  </r>
  <r>
    <x v="6"/>
    <x v="0"/>
    <n v="2"/>
    <n v="6.6"/>
    <n v="13"/>
  </r>
  <r>
    <x v="6"/>
    <x v="1"/>
    <n v="2"/>
    <n v="7"/>
    <n v="33.728999999999999"/>
  </r>
  <r>
    <x v="11"/>
    <x v="0"/>
    <n v="6"/>
    <n v="6.5"/>
    <n v="622.73"/>
  </r>
  <r>
    <x v="11"/>
    <x v="1"/>
    <n v="8"/>
    <n v="6.6"/>
    <n v="30"/>
  </r>
  <r>
    <x v="7"/>
    <x v="1"/>
    <n v="5"/>
    <n v="6.8"/>
    <n v="630.37900000000002"/>
  </r>
  <r>
    <x v="7"/>
    <x v="1"/>
    <n v="5"/>
    <n v="7"/>
    <n v="660"/>
  </r>
  <r>
    <x v="7"/>
    <x v="1"/>
    <n v="8"/>
    <n v="6.6"/>
    <n v="624.46400000000006"/>
  </r>
  <r>
    <x v="7"/>
    <x v="1"/>
    <n v="5"/>
    <n v="7"/>
    <n v="137"/>
  </r>
  <r>
    <x v="7"/>
    <x v="1"/>
    <n v="2"/>
    <n v="6.5"/>
    <n v="10"/>
  </r>
  <r>
    <x v="7"/>
    <x v="1"/>
    <n v="2"/>
    <n v="6.9"/>
    <n v="10"/>
  </r>
  <r>
    <x v="7"/>
    <x v="1"/>
    <n v="4"/>
    <n v="7.6"/>
    <n v="26.943000000000001"/>
  </r>
  <r>
    <x v="7"/>
    <x v="1"/>
    <n v="4"/>
    <n v="6.8"/>
    <n v="20"/>
  </r>
  <r>
    <x v="8"/>
    <x v="1"/>
    <n v="6"/>
    <n v="6.8"/>
    <n v="220"/>
  </r>
  <r>
    <x v="8"/>
    <x v="1"/>
    <n v="5"/>
    <n v="7.6"/>
    <n v="116"/>
  </r>
  <r>
    <x v="8"/>
    <x v="1"/>
    <n v="4"/>
    <n v="6.7"/>
    <n v="20"/>
  </r>
  <r>
    <x v="9"/>
    <x v="0"/>
    <n v="2"/>
    <n v="6.6"/>
    <n v="21"/>
  </r>
  <r>
    <x v="9"/>
    <x v="1"/>
    <n v="4"/>
    <n v="6.8"/>
    <n v="20"/>
  </r>
  <r>
    <x v="9"/>
    <x v="1"/>
    <n v="4"/>
    <n v="6.7"/>
    <n v="33"/>
  </r>
  <r>
    <x v="9"/>
    <x v="1"/>
    <n v="4"/>
    <n v="6.7"/>
    <n v="33"/>
  </r>
  <r>
    <x v="9"/>
    <x v="1"/>
    <n v="4"/>
    <n v="6.6"/>
    <n v="19"/>
  </r>
  <r>
    <x v="9"/>
    <x v="1"/>
    <n v="4"/>
    <n v="6.5"/>
    <n v="37"/>
  </r>
  <r>
    <x v="9"/>
    <x v="1"/>
    <n v="4"/>
    <n v="6.5"/>
    <n v="37"/>
  </r>
  <r>
    <x v="9"/>
    <x v="1"/>
    <n v="5"/>
    <n v="7.3"/>
    <n v="37"/>
  </r>
  <r>
    <x v="9"/>
    <x v="0"/>
    <n v="2"/>
    <n v="6.9"/>
    <n v="25"/>
  </r>
  <r>
    <x v="9"/>
    <x v="1"/>
    <n v="5"/>
    <n v="7"/>
    <n v="14"/>
  </r>
  <r>
    <x v="10"/>
    <x v="1"/>
    <n v="5"/>
    <n v="7"/>
    <n v="579"/>
  </r>
  <r>
    <x v="12"/>
    <x v="2"/>
    <m/>
    <m/>
    <m/>
  </r>
  <r>
    <x v="12"/>
    <x v="2"/>
    <m/>
    <m/>
    <m/>
  </r>
  <r>
    <x v="12"/>
    <x v="2"/>
    <m/>
    <m/>
    <m/>
  </r>
  <r>
    <x v="12"/>
    <x v="2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2">
  <r>
    <x v="0"/>
    <x v="0"/>
    <x v="0"/>
    <x v="0"/>
    <x v="0"/>
  </r>
  <r>
    <x v="0"/>
    <x v="0"/>
    <x v="0"/>
    <x v="1"/>
    <x v="0"/>
  </r>
  <r>
    <x v="0"/>
    <x v="0"/>
    <x v="1"/>
    <x v="2"/>
    <x v="1"/>
  </r>
  <r>
    <x v="0"/>
    <x v="0"/>
    <x v="0"/>
    <x v="3"/>
    <x v="2"/>
  </r>
  <r>
    <x v="0"/>
    <x v="0"/>
    <x v="0"/>
    <x v="2"/>
    <x v="3"/>
  </r>
  <r>
    <x v="1"/>
    <x v="0"/>
    <x v="0"/>
    <x v="4"/>
    <x v="4"/>
  </r>
  <r>
    <x v="1"/>
    <x v="0"/>
    <x v="1"/>
    <x v="5"/>
    <x v="5"/>
  </r>
  <r>
    <x v="1"/>
    <x v="0"/>
    <x v="0"/>
    <x v="6"/>
    <x v="6"/>
  </r>
  <r>
    <x v="1"/>
    <x v="0"/>
    <x v="0"/>
    <x v="7"/>
    <x v="7"/>
  </r>
  <r>
    <x v="1"/>
    <x v="0"/>
    <x v="1"/>
    <x v="1"/>
    <x v="8"/>
  </r>
  <r>
    <x v="2"/>
    <x v="0"/>
    <x v="0"/>
    <x v="4"/>
    <x v="0"/>
  </r>
  <r>
    <x v="2"/>
    <x v="0"/>
    <x v="0"/>
    <x v="1"/>
    <x v="9"/>
  </r>
  <r>
    <x v="3"/>
    <x v="0"/>
    <x v="2"/>
    <x v="8"/>
    <x v="10"/>
  </r>
  <r>
    <x v="4"/>
    <x v="0"/>
    <x v="3"/>
    <x v="5"/>
    <x v="11"/>
  </r>
  <r>
    <x v="5"/>
    <x v="0"/>
    <x v="3"/>
    <x v="9"/>
    <x v="0"/>
  </r>
  <r>
    <x v="5"/>
    <x v="0"/>
    <x v="3"/>
    <x v="8"/>
    <x v="12"/>
  </r>
  <r>
    <x v="6"/>
    <x v="0"/>
    <x v="3"/>
    <x v="10"/>
    <x v="0"/>
  </r>
  <r>
    <x v="6"/>
    <x v="0"/>
    <x v="4"/>
    <x v="4"/>
    <x v="5"/>
  </r>
  <r>
    <x v="6"/>
    <x v="0"/>
    <x v="1"/>
    <x v="5"/>
    <x v="13"/>
  </r>
  <r>
    <x v="7"/>
    <x v="0"/>
    <x v="2"/>
    <x v="7"/>
    <x v="14"/>
  </r>
  <r>
    <x v="8"/>
    <x v="0"/>
    <x v="1"/>
    <x v="3"/>
    <x v="15"/>
  </r>
  <r>
    <x v="8"/>
    <x v="0"/>
    <x v="0"/>
    <x v="0"/>
    <x v="0"/>
  </r>
  <r>
    <x v="8"/>
    <x v="0"/>
    <x v="2"/>
    <x v="11"/>
    <x v="0"/>
  </r>
  <r>
    <x v="9"/>
    <x v="0"/>
    <x v="0"/>
    <x v="4"/>
    <x v="0"/>
  </r>
  <r>
    <x v="9"/>
    <x v="0"/>
    <x v="0"/>
    <x v="12"/>
    <x v="5"/>
  </r>
  <r>
    <x v="10"/>
    <x v="0"/>
    <x v="2"/>
    <x v="11"/>
    <x v="16"/>
  </r>
  <r>
    <x v="10"/>
    <x v="0"/>
    <x v="0"/>
    <x v="1"/>
    <x v="17"/>
  </r>
  <r>
    <x v="10"/>
    <x v="0"/>
    <x v="2"/>
    <x v="1"/>
    <x v="3"/>
  </r>
  <r>
    <x v="1"/>
    <x v="0"/>
    <x v="2"/>
    <x v="13"/>
    <x v="18"/>
  </r>
  <r>
    <x v="1"/>
    <x v="0"/>
    <x v="0"/>
    <x v="6"/>
    <x v="19"/>
  </r>
  <r>
    <x v="2"/>
    <x v="0"/>
    <x v="2"/>
    <x v="5"/>
    <x v="5"/>
  </r>
  <r>
    <x v="2"/>
    <x v="0"/>
    <x v="0"/>
    <x v="4"/>
    <x v="20"/>
  </r>
  <r>
    <x v="2"/>
    <x v="0"/>
    <x v="0"/>
    <x v="6"/>
    <x v="21"/>
  </r>
  <r>
    <x v="2"/>
    <x v="0"/>
    <x v="1"/>
    <x v="14"/>
    <x v="22"/>
  </r>
  <r>
    <x v="2"/>
    <x v="0"/>
    <x v="3"/>
    <x v="4"/>
    <x v="23"/>
  </r>
  <r>
    <x v="2"/>
    <x v="0"/>
    <x v="0"/>
    <x v="7"/>
    <x v="24"/>
  </r>
  <r>
    <x v="3"/>
    <x v="0"/>
    <x v="1"/>
    <x v="1"/>
    <x v="25"/>
  </r>
  <r>
    <x v="3"/>
    <x v="0"/>
    <x v="3"/>
    <x v="8"/>
    <x v="11"/>
  </r>
  <r>
    <x v="3"/>
    <x v="0"/>
    <x v="1"/>
    <x v="7"/>
    <x v="26"/>
  </r>
  <r>
    <x v="4"/>
    <x v="0"/>
    <x v="2"/>
    <x v="5"/>
    <x v="27"/>
  </r>
  <r>
    <x v="4"/>
    <x v="0"/>
    <x v="0"/>
    <x v="0"/>
    <x v="28"/>
  </r>
  <r>
    <x v="5"/>
    <x v="0"/>
    <x v="2"/>
    <x v="8"/>
    <x v="0"/>
  </r>
  <r>
    <x v="5"/>
    <x v="0"/>
    <x v="3"/>
    <x v="5"/>
    <x v="29"/>
  </r>
  <r>
    <x v="5"/>
    <x v="0"/>
    <x v="0"/>
    <x v="4"/>
    <x v="5"/>
  </r>
  <r>
    <x v="6"/>
    <x v="0"/>
    <x v="1"/>
    <x v="4"/>
    <x v="5"/>
  </r>
  <r>
    <x v="11"/>
    <x v="0"/>
    <x v="2"/>
    <x v="10"/>
    <x v="30"/>
  </r>
  <r>
    <x v="11"/>
    <x v="0"/>
    <x v="2"/>
    <x v="4"/>
    <x v="19"/>
  </r>
  <r>
    <x v="7"/>
    <x v="0"/>
    <x v="0"/>
    <x v="4"/>
    <x v="18"/>
  </r>
  <r>
    <x v="8"/>
    <x v="0"/>
    <x v="2"/>
    <x v="8"/>
    <x v="31"/>
  </r>
  <r>
    <x v="8"/>
    <x v="0"/>
    <x v="0"/>
    <x v="10"/>
    <x v="5"/>
  </r>
  <r>
    <x v="8"/>
    <x v="0"/>
    <x v="0"/>
    <x v="8"/>
    <x v="5"/>
  </r>
  <r>
    <x v="8"/>
    <x v="0"/>
    <x v="1"/>
    <x v="5"/>
    <x v="22"/>
  </r>
  <r>
    <x v="10"/>
    <x v="0"/>
    <x v="2"/>
    <x v="8"/>
    <x v="32"/>
  </r>
  <r>
    <x v="0"/>
    <x v="0"/>
    <x v="0"/>
    <x v="8"/>
    <x v="5"/>
  </r>
  <r>
    <x v="0"/>
    <x v="0"/>
    <x v="2"/>
    <x v="15"/>
    <x v="0"/>
  </r>
  <r>
    <x v="0"/>
    <x v="0"/>
    <x v="1"/>
    <x v="4"/>
    <x v="12"/>
  </r>
  <r>
    <x v="0"/>
    <x v="0"/>
    <x v="1"/>
    <x v="10"/>
    <x v="12"/>
  </r>
  <r>
    <x v="2"/>
    <x v="0"/>
    <x v="0"/>
    <x v="4"/>
    <x v="0"/>
  </r>
  <r>
    <x v="3"/>
    <x v="0"/>
    <x v="4"/>
    <x v="10"/>
    <x v="5"/>
  </r>
  <r>
    <x v="4"/>
    <x v="0"/>
    <x v="5"/>
    <x v="1"/>
    <x v="33"/>
  </r>
  <r>
    <x v="4"/>
    <x v="0"/>
    <x v="0"/>
    <x v="11"/>
    <x v="34"/>
  </r>
  <r>
    <x v="4"/>
    <x v="0"/>
    <x v="0"/>
    <x v="11"/>
    <x v="28"/>
  </r>
  <r>
    <x v="5"/>
    <x v="0"/>
    <x v="2"/>
    <x v="5"/>
    <x v="35"/>
  </r>
  <r>
    <x v="5"/>
    <x v="0"/>
    <x v="0"/>
    <x v="3"/>
    <x v="36"/>
  </r>
  <r>
    <x v="5"/>
    <x v="0"/>
    <x v="3"/>
    <x v="1"/>
    <x v="0"/>
  </r>
  <r>
    <x v="6"/>
    <x v="0"/>
    <x v="2"/>
    <x v="5"/>
    <x v="0"/>
  </r>
  <r>
    <x v="6"/>
    <x v="0"/>
    <x v="2"/>
    <x v="4"/>
    <x v="0"/>
  </r>
  <r>
    <x v="11"/>
    <x v="0"/>
    <x v="0"/>
    <x v="8"/>
    <x v="37"/>
  </r>
  <r>
    <x v="11"/>
    <x v="0"/>
    <x v="2"/>
    <x v="13"/>
    <x v="2"/>
  </r>
  <r>
    <x v="7"/>
    <x v="0"/>
    <x v="0"/>
    <x v="5"/>
    <x v="5"/>
  </r>
  <r>
    <x v="7"/>
    <x v="0"/>
    <x v="0"/>
    <x v="16"/>
    <x v="38"/>
  </r>
  <r>
    <x v="7"/>
    <x v="0"/>
    <x v="0"/>
    <x v="6"/>
    <x v="0"/>
  </r>
  <r>
    <x v="7"/>
    <x v="0"/>
    <x v="0"/>
    <x v="15"/>
    <x v="3"/>
  </r>
  <r>
    <x v="7"/>
    <x v="0"/>
    <x v="0"/>
    <x v="4"/>
    <x v="39"/>
  </r>
  <r>
    <x v="8"/>
    <x v="0"/>
    <x v="2"/>
    <x v="8"/>
    <x v="40"/>
  </r>
  <r>
    <x v="8"/>
    <x v="0"/>
    <x v="0"/>
    <x v="1"/>
    <x v="5"/>
  </r>
  <r>
    <x v="8"/>
    <x v="0"/>
    <x v="0"/>
    <x v="11"/>
    <x v="5"/>
  </r>
  <r>
    <x v="9"/>
    <x v="0"/>
    <x v="2"/>
    <x v="1"/>
    <x v="41"/>
  </r>
  <r>
    <x v="9"/>
    <x v="0"/>
    <x v="0"/>
    <x v="4"/>
    <x v="7"/>
  </r>
  <r>
    <x v="9"/>
    <x v="0"/>
    <x v="2"/>
    <x v="5"/>
    <x v="7"/>
  </r>
  <r>
    <x v="10"/>
    <x v="0"/>
    <x v="1"/>
    <x v="4"/>
    <x v="42"/>
  </r>
  <r>
    <x v="10"/>
    <x v="0"/>
    <x v="1"/>
    <x v="4"/>
    <x v="0"/>
  </r>
  <r>
    <x v="10"/>
    <x v="0"/>
    <x v="0"/>
    <x v="5"/>
    <x v="5"/>
  </r>
  <r>
    <x v="10"/>
    <x v="0"/>
    <x v="2"/>
    <x v="15"/>
    <x v="5"/>
  </r>
  <r>
    <x v="0"/>
    <x v="0"/>
    <x v="0"/>
    <x v="8"/>
    <x v="43"/>
  </r>
  <r>
    <x v="1"/>
    <x v="0"/>
    <x v="1"/>
    <x v="8"/>
    <x v="5"/>
  </r>
  <r>
    <x v="2"/>
    <x v="0"/>
    <x v="3"/>
    <x v="5"/>
    <x v="18"/>
  </r>
  <r>
    <x v="3"/>
    <x v="0"/>
    <x v="0"/>
    <x v="8"/>
    <x v="44"/>
  </r>
  <r>
    <x v="4"/>
    <x v="0"/>
    <x v="0"/>
    <x v="11"/>
    <x v="45"/>
  </r>
  <r>
    <x v="4"/>
    <x v="0"/>
    <x v="0"/>
    <x v="5"/>
    <x v="46"/>
  </r>
  <r>
    <x v="4"/>
    <x v="0"/>
    <x v="0"/>
    <x v="13"/>
    <x v="17"/>
  </r>
  <r>
    <x v="4"/>
    <x v="0"/>
    <x v="0"/>
    <x v="6"/>
    <x v="5"/>
  </r>
  <r>
    <x v="5"/>
    <x v="0"/>
    <x v="0"/>
    <x v="5"/>
    <x v="5"/>
  </r>
  <r>
    <x v="5"/>
    <x v="0"/>
    <x v="0"/>
    <x v="1"/>
    <x v="7"/>
  </r>
  <r>
    <x v="6"/>
    <x v="0"/>
    <x v="0"/>
    <x v="15"/>
    <x v="5"/>
  </r>
  <r>
    <x v="6"/>
    <x v="0"/>
    <x v="0"/>
    <x v="4"/>
    <x v="47"/>
  </r>
  <r>
    <x v="11"/>
    <x v="0"/>
    <x v="0"/>
    <x v="8"/>
    <x v="48"/>
  </r>
  <r>
    <x v="11"/>
    <x v="0"/>
    <x v="2"/>
    <x v="1"/>
    <x v="6"/>
  </r>
  <r>
    <x v="11"/>
    <x v="0"/>
    <x v="0"/>
    <x v="4"/>
    <x v="49"/>
  </r>
  <r>
    <x v="11"/>
    <x v="0"/>
    <x v="3"/>
    <x v="4"/>
    <x v="20"/>
  </r>
  <r>
    <x v="7"/>
    <x v="0"/>
    <x v="2"/>
    <x v="4"/>
    <x v="50"/>
  </r>
  <r>
    <x v="7"/>
    <x v="0"/>
    <x v="1"/>
    <x v="11"/>
    <x v="7"/>
  </r>
  <r>
    <x v="8"/>
    <x v="0"/>
    <x v="0"/>
    <x v="3"/>
    <x v="51"/>
  </r>
  <r>
    <x v="8"/>
    <x v="0"/>
    <x v="0"/>
    <x v="8"/>
    <x v="52"/>
  </r>
  <r>
    <x v="8"/>
    <x v="0"/>
    <x v="0"/>
    <x v="5"/>
    <x v="3"/>
  </r>
  <r>
    <x v="9"/>
    <x v="0"/>
    <x v="2"/>
    <x v="8"/>
    <x v="5"/>
  </r>
  <r>
    <x v="9"/>
    <x v="0"/>
    <x v="0"/>
    <x v="0"/>
    <x v="5"/>
  </r>
  <r>
    <x v="9"/>
    <x v="0"/>
    <x v="3"/>
    <x v="13"/>
    <x v="53"/>
  </r>
  <r>
    <x v="9"/>
    <x v="0"/>
    <x v="2"/>
    <x v="7"/>
    <x v="5"/>
  </r>
  <r>
    <x v="9"/>
    <x v="0"/>
    <x v="0"/>
    <x v="7"/>
    <x v="5"/>
  </r>
  <r>
    <x v="9"/>
    <x v="0"/>
    <x v="0"/>
    <x v="11"/>
    <x v="27"/>
  </r>
  <r>
    <x v="10"/>
    <x v="0"/>
    <x v="1"/>
    <x v="1"/>
    <x v="5"/>
  </r>
  <r>
    <x v="10"/>
    <x v="0"/>
    <x v="2"/>
    <x v="17"/>
    <x v="5"/>
  </r>
  <r>
    <x v="10"/>
    <x v="0"/>
    <x v="0"/>
    <x v="5"/>
    <x v="54"/>
  </r>
  <r>
    <x v="10"/>
    <x v="0"/>
    <x v="0"/>
    <x v="18"/>
    <x v="19"/>
  </r>
  <r>
    <x v="10"/>
    <x v="0"/>
    <x v="0"/>
    <x v="13"/>
    <x v="55"/>
  </r>
  <r>
    <x v="0"/>
    <x v="0"/>
    <x v="0"/>
    <x v="5"/>
    <x v="56"/>
  </r>
  <r>
    <x v="1"/>
    <x v="0"/>
    <x v="0"/>
    <x v="7"/>
    <x v="57"/>
  </r>
  <r>
    <x v="1"/>
    <x v="0"/>
    <x v="1"/>
    <x v="5"/>
    <x v="38"/>
  </r>
  <r>
    <x v="1"/>
    <x v="0"/>
    <x v="0"/>
    <x v="4"/>
    <x v="58"/>
  </r>
  <r>
    <x v="1"/>
    <x v="0"/>
    <x v="0"/>
    <x v="4"/>
    <x v="59"/>
  </r>
  <r>
    <x v="1"/>
    <x v="0"/>
    <x v="0"/>
    <x v="4"/>
    <x v="5"/>
  </r>
  <r>
    <x v="1"/>
    <x v="0"/>
    <x v="0"/>
    <x v="1"/>
    <x v="6"/>
  </r>
  <r>
    <x v="2"/>
    <x v="0"/>
    <x v="0"/>
    <x v="5"/>
    <x v="5"/>
  </r>
  <r>
    <x v="2"/>
    <x v="0"/>
    <x v="0"/>
    <x v="19"/>
    <x v="19"/>
  </r>
  <r>
    <x v="4"/>
    <x v="0"/>
    <x v="0"/>
    <x v="7"/>
    <x v="60"/>
  </r>
  <r>
    <x v="4"/>
    <x v="0"/>
    <x v="0"/>
    <x v="8"/>
    <x v="18"/>
  </r>
  <r>
    <x v="4"/>
    <x v="0"/>
    <x v="5"/>
    <x v="1"/>
    <x v="61"/>
  </r>
  <r>
    <x v="4"/>
    <x v="0"/>
    <x v="0"/>
    <x v="8"/>
    <x v="32"/>
  </r>
  <r>
    <x v="4"/>
    <x v="0"/>
    <x v="0"/>
    <x v="3"/>
    <x v="19"/>
  </r>
  <r>
    <x v="5"/>
    <x v="0"/>
    <x v="3"/>
    <x v="12"/>
    <x v="62"/>
  </r>
  <r>
    <x v="5"/>
    <x v="0"/>
    <x v="1"/>
    <x v="13"/>
    <x v="3"/>
  </r>
  <r>
    <x v="6"/>
    <x v="0"/>
    <x v="0"/>
    <x v="13"/>
    <x v="3"/>
  </r>
  <r>
    <x v="11"/>
    <x v="0"/>
    <x v="2"/>
    <x v="8"/>
    <x v="63"/>
  </r>
  <r>
    <x v="11"/>
    <x v="0"/>
    <x v="0"/>
    <x v="10"/>
    <x v="64"/>
  </r>
  <r>
    <x v="11"/>
    <x v="0"/>
    <x v="0"/>
    <x v="13"/>
    <x v="6"/>
  </r>
  <r>
    <x v="7"/>
    <x v="0"/>
    <x v="2"/>
    <x v="10"/>
    <x v="65"/>
  </r>
  <r>
    <x v="7"/>
    <x v="0"/>
    <x v="3"/>
    <x v="0"/>
    <x v="66"/>
  </r>
  <r>
    <x v="7"/>
    <x v="0"/>
    <x v="2"/>
    <x v="5"/>
    <x v="39"/>
  </r>
  <r>
    <x v="8"/>
    <x v="0"/>
    <x v="0"/>
    <x v="8"/>
    <x v="67"/>
  </r>
  <r>
    <x v="8"/>
    <x v="0"/>
    <x v="0"/>
    <x v="4"/>
    <x v="19"/>
  </r>
  <r>
    <x v="9"/>
    <x v="0"/>
    <x v="3"/>
    <x v="1"/>
    <x v="68"/>
  </r>
  <r>
    <x v="9"/>
    <x v="0"/>
    <x v="0"/>
    <x v="4"/>
    <x v="18"/>
  </r>
  <r>
    <x v="10"/>
    <x v="0"/>
    <x v="0"/>
    <x v="4"/>
    <x v="69"/>
  </r>
  <r>
    <x v="0"/>
    <x v="0"/>
    <x v="2"/>
    <x v="1"/>
    <x v="70"/>
  </r>
  <r>
    <x v="1"/>
    <x v="0"/>
    <x v="5"/>
    <x v="11"/>
    <x v="31"/>
  </r>
  <r>
    <x v="2"/>
    <x v="0"/>
    <x v="2"/>
    <x v="20"/>
    <x v="71"/>
  </r>
  <r>
    <x v="2"/>
    <x v="0"/>
    <x v="2"/>
    <x v="20"/>
    <x v="72"/>
  </r>
  <r>
    <x v="2"/>
    <x v="0"/>
    <x v="0"/>
    <x v="8"/>
    <x v="73"/>
  </r>
  <r>
    <x v="3"/>
    <x v="0"/>
    <x v="1"/>
    <x v="5"/>
    <x v="17"/>
  </r>
  <r>
    <x v="3"/>
    <x v="0"/>
    <x v="0"/>
    <x v="10"/>
    <x v="61"/>
  </r>
  <r>
    <x v="3"/>
    <x v="0"/>
    <x v="0"/>
    <x v="5"/>
    <x v="31"/>
  </r>
  <r>
    <x v="3"/>
    <x v="0"/>
    <x v="3"/>
    <x v="8"/>
    <x v="33"/>
  </r>
  <r>
    <x v="3"/>
    <x v="0"/>
    <x v="3"/>
    <x v="4"/>
    <x v="33"/>
  </r>
  <r>
    <x v="4"/>
    <x v="0"/>
    <x v="0"/>
    <x v="1"/>
    <x v="33"/>
  </r>
  <r>
    <x v="4"/>
    <x v="0"/>
    <x v="0"/>
    <x v="5"/>
    <x v="67"/>
  </r>
  <r>
    <x v="4"/>
    <x v="0"/>
    <x v="2"/>
    <x v="4"/>
    <x v="32"/>
  </r>
  <r>
    <x v="6"/>
    <x v="0"/>
    <x v="2"/>
    <x v="4"/>
    <x v="17"/>
  </r>
  <r>
    <x v="6"/>
    <x v="0"/>
    <x v="2"/>
    <x v="1"/>
    <x v="74"/>
  </r>
  <r>
    <x v="6"/>
    <x v="0"/>
    <x v="2"/>
    <x v="5"/>
    <x v="31"/>
  </r>
  <r>
    <x v="6"/>
    <x v="0"/>
    <x v="0"/>
    <x v="2"/>
    <x v="75"/>
  </r>
  <r>
    <x v="11"/>
    <x v="0"/>
    <x v="4"/>
    <x v="8"/>
    <x v="76"/>
  </r>
  <r>
    <x v="11"/>
    <x v="0"/>
    <x v="0"/>
    <x v="4"/>
    <x v="77"/>
  </r>
  <r>
    <x v="7"/>
    <x v="0"/>
    <x v="2"/>
    <x v="3"/>
    <x v="2"/>
  </r>
  <r>
    <x v="8"/>
    <x v="0"/>
    <x v="1"/>
    <x v="8"/>
    <x v="78"/>
  </r>
  <r>
    <x v="8"/>
    <x v="0"/>
    <x v="2"/>
    <x v="8"/>
    <x v="37"/>
  </r>
  <r>
    <x v="8"/>
    <x v="0"/>
    <x v="3"/>
    <x v="8"/>
    <x v="79"/>
  </r>
  <r>
    <x v="9"/>
    <x v="0"/>
    <x v="0"/>
    <x v="21"/>
    <x v="5"/>
  </r>
  <r>
    <x v="10"/>
    <x v="0"/>
    <x v="0"/>
    <x v="7"/>
    <x v="5"/>
  </r>
  <r>
    <x v="10"/>
    <x v="0"/>
    <x v="0"/>
    <x v="3"/>
    <x v="5"/>
  </r>
  <r>
    <x v="0"/>
    <x v="0"/>
    <x v="2"/>
    <x v="17"/>
    <x v="12"/>
  </r>
  <r>
    <x v="0"/>
    <x v="0"/>
    <x v="2"/>
    <x v="5"/>
    <x v="5"/>
  </r>
  <r>
    <x v="0"/>
    <x v="0"/>
    <x v="2"/>
    <x v="3"/>
    <x v="5"/>
  </r>
  <r>
    <x v="0"/>
    <x v="0"/>
    <x v="2"/>
    <x v="13"/>
    <x v="80"/>
  </r>
  <r>
    <x v="0"/>
    <x v="0"/>
    <x v="6"/>
    <x v="17"/>
    <x v="5"/>
  </r>
  <r>
    <x v="0"/>
    <x v="0"/>
    <x v="0"/>
    <x v="0"/>
    <x v="61"/>
  </r>
  <r>
    <x v="1"/>
    <x v="0"/>
    <x v="2"/>
    <x v="13"/>
    <x v="7"/>
  </r>
  <r>
    <x v="1"/>
    <x v="0"/>
    <x v="0"/>
    <x v="8"/>
    <x v="33"/>
  </r>
  <r>
    <x v="2"/>
    <x v="0"/>
    <x v="2"/>
    <x v="7"/>
    <x v="32"/>
  </r>
  <r>
    <x v="2"/>
    <x v="0"/>
    <x v="0"/>
    <x v="8"/>
    <x v="81"/>
  </r>
  <r>
    <x v="5"/>
    <x v="0"/>
    <x v="3"/>
    <x v="8"/>
    <x v="79"/>
  </r>
  <r>
    <x v="6"/>
    <x v="0"/>
    <x v="0"/>
    <x v="5"/>
    <x v="33"/>
  </r>
  <r>
    <x v="6"/>
    <x v="0"/>
    <x v="0"/>
    <x v="1"/>
    <x v="82"/>
  </r>
  <r>
    <x v="6"/>
    <x v="0"/>
    <x v="0"/>
    <x v="3"/>
    <x v="39"/>
  </r>
  <r>
    <x v="11"/>
    <x v="0"/>
    <x v="0"/>
    <x v="0"/>
    <x v="83"/>
  </r>
  <r>
    <x v="11"/>
    <x v="0"/>
    <x v="3"/>
    <x v="20"/>
    <x v="27"/>
  </r>
  <r>
    <x v="11"/>
    <x v="0"/>
    <x v="2"/>
    <x v="4"/>
    <x v="53"/>
  </r>
  <r>
    <x v="7"/>
    <x v="0"/>
    <x v="0"/>
    <x v="4"/>
    <x v="84"/>
  </r>
  <r>
    <x v="7"/>
    <x v="0"/>
    <x v="0"/>
    <x v="11"/>
    <x v="61"/>
  </r>
  <r>
    <x v="7"/>
    <x v="0"/>
    <x v="0"/>
    <x v="8"/>
    <x v="19"/>
  </r>
  <r>
    <x v="7"/>
    <x v="0"/>
    <x v="2"/>
    <x v="1"/>
    <x v="85"/>
  </r>
  <r>
    <x v="8"/>
    <x v="0"/>
    <x v="3"/>
    <x v="1"/>
    <x v="53"/>
  </r>
  <r>
    <x v="8"/>
    <x v="0"/>
    <x v="2"/>
    <x v="1"/>
    <x v="86"/>
  </r>
  <r>
    <x v="8"/>
    <x v="0"/>
    <x v="0"/>
    <x v="1"/>
    <x v="18"/>
  </r>
  <r>
    <x v="9"/>
    <x v="0"/>
    <x v="3"/>
    <x v="2"/>
    <x v="85"/>
  </r>
  <r>
    <x v="9"/>
    <x v="0"/>
    <x v="3"/>
    <x v="1"/>
    <x v="64"/>
  </r>
  <r>
    <x v="9"/>
    <x v="0"/>
    <x v="3"/>
    <x v="1"/>
    <x v="87"/>
  </r>
  <r>
    <x v="9"/>
    <x v="0"/>
    <x v="2"/>
    <x v="1"/>
    <x v="88"/>
  </r>
  <r>
    <x v="9"/>
    <x v="0"/>
    <x v="0"/>
    <x v="4"/>
    <x v="75"/>
  </r>
  <r>
    <x v="9"/>
    <x v="0"/>
    <x v="0"/>
    <x v="4"/>
    <x v="86"/>
  </r>
  <r>
    <x v="9"/>
    <x v="0"/>
    <x v="2"/>
    <x v="5"/>
    <x v="3"/>
  </r>
  <r>
    <x v="9"/>
    <x v="0"/>
    <x v="1"/>
    <x v="6"/>
    <x v="89"/>
  </r>
  <r>
    <x v="10"/>
    <x v="0"/>
    <x v="0"/>
    <x v="9"/>
    <x v="32"/>
  </r>
  <r>
    <x v="10"/>
    <x v="0"/>
    <x v="0"/>
    <x v="14"/>
    <x v="7"/>
  </r>
  <r>
    <x v="10"/>
    <x v="0"/>
    <x v="0"/>
    <x v="12"/>
    <x v="90"/>
  </r>
  <r>
    <x v="10"/>
    <x v="0"/>
    <x v="3"/>
    <x v="8"/>
    <x v="91"/>
  </r>
  <r>
    <x v="10"/>
    <x v="0"/>
    <x v="2"/>
    <x v="5"/>
    <x v="75"/>
  </r>
  <r>
    <x v="1"/>
    <x v="0"/>
    <x v="4"/>
    <x v="3"/>
    <x v="58"/>
  </r>
  <r>
    <x v="1"/>
    <x v="0"/>
    <x v="4"/>
    <x v="4"/>
    <x v="2"/>
  </r>
  <r>
    <x v="1"/>
    <x v="0"/>
    <x v="0"/>
    <x v="6"/>
    <x v="64"/>
  </r>
  <r>
    <x v="1"/>
    <x v="0"/>
    <x v="0"/>
    <x v="4"/>
    <x v="61"/>
  </r>
  <r>
    <x v="1"/>
    <x v="0"/>
    <x v="0"/>
    <x v="13"/>
    <x v="39"/>
  </r>
  <r>
    <x v="1"/>
    <x v="0"/>
    <x v="0"/>
    <x v="5"/>
    <x v="39"/>
  </r>
  <r>
    <x v="1"/>
    <x v="0"/>
    <x v="0"/>
    <x v="8"/>
    <x v="39"/>
  </r>
  <r>
    <x v="2"/>
    <x v="0"/>
    <x v="0"/>
    <x v="3"/>
    <x v="12"/>
  </r>
  <r>
    <x v="2"/>
    <x v="0"/>
    <x v="0"/>
    <x v="13"/>
    <x v="5"/>
  </r>
  <r>
    <x v="4"/>
    <x v="0"/>
    <x v="0"/>
    <x v="8"/>
    <x v="92"/>
  </r>
  <r>
    <x v="5"/>
    <x v="0"/>
    <x v="0"/>
    <x v="3"/>
    <x v="93"/>
  </r>
  <r>
    <x v="5"/>
    <x v="0"/>
    <x v="0"/>
    <x v="5"/>
    <x v="10"/>
  </r>
  <r>
    <x v="6"/>
    <x v="0"/>
    <x v="0"/>
    <x v="3"/>
    <x v="38"/>
  </r>
  <r>
    <x v="6"/>
    <x v="0"/>
    <x v="0"/>
    <x v="11"/>
    <x v="61"/>
  </r>
  <r>
    <x v="6"/>
    <x v="0"/>
    <x v="0"/>
    <x v="3"/>
    <x v="94"/>
  </r>
  <r>
    <x v="6"/>
    <x v="0"/>
    <x v="0"/>
    <x v="1"/>
    <x v="95"/>
  </r>
  <r>
    <x v="11"/>
    <x v="0"/>
    <x v="2"/>
    <x v="3"/>
    <x v="96"/>
  </r>
  <r>
    <x v="11"/>
    <x v="0"/>
    <x v="0"/>
    <x v="8"/>
    <x v="33"/>
  </r>
  <r>
    <x v="7"/>
    <x v="0"/>
    <x v="2"/>
    <x v="15"/>
    <x v="0"/>
  </r>
  <r>
    <x v="8"/>
    <x v="0"/>
    <x v="1"/>
    <x v="8"/>
    <x v="12"/>
  </r>
  <r>
    <x v="9"/>
    <x v="0"/>
    <x v="0"/>
    <x v="5"/>
    <x v="97"/>
  </r>
  <r>
    <x v="9"/>
    <x v="0"/>
    <x v="0"/>
    <x v="1"/>
    <x v="39"/>
  </r>
  <r>
    <x v="9"/>
    <x v="0"/>
    <x v="0"/>
    <x v="6"/>
    <x v="19"/>
  </r>
  <r>
    <x v="10"/>
    <x v="0"/>
    <x v="1"/>
    <x v="4"/>
    <x v="98"/>
  </r>
  <r>
    <x v="10"/>
    <x v="0"/>
    <x v="0"/>
    <x v="14"/>
    <x v="67"/>
  </r>
  <r>
    <x v="0"/>
    <x v="0"/>
    <x v="0"/>
    <x v="5"/>
    <x v="99"/>
  </r>
  <r>
    <x v="1"/>
    <x v="0"/>
    <x v="0"/>
    <x v="11"/>
    <x v="100"/>
  </r>
  <r>
    <x v="2"/>
    <x v="0"/>
    <x v="0"/>
    <x v="2"/>
    <x v="10"/>
  </r>
  <r>
    <x v="2"/>
    <x v="0"/>
    <x v="0"/>
    <x v="5"/>
    <x v="101"/>
  </r>
  <r>
    <x v="2"/>
    <x v="0"/>
    <x v="0"/>
    <x v="6"/>
    <x v="79"/>
  </r>
  <r>
    <x v="2"/>
    <x v="0"/>
    <x v="1"/>
    <x v="3"/>
    <x v="5"/>
  </r>
  <r>
    <x v="2"/>
    <x v="0"/>
    <x v="2"/>
    <x v="10"/>
    <x v="28"/>
  </r>
  <r>
    <x v="4"/>
    <x v="0"/>
    <x v="1"/>
    <x v="15"/>
    <x v="67"/>
  </r>
  <r>
    <x v="5"/>
    <x v="0"/>
    <x v="2"/>
    <x v="8"/>
    <x v="102"/>
  </r>
  <r>
    <x v="6"/>
    <x v="0"/>
    <x v="2"/>
    <x v="2"/>
    <x v="91"/>
  </r>
  <r>
    <x v="6"/>
    <x v="0"/>
    <x v="2"/>
    <x v="12"/>
    <x v="7"/>
  </r>
  <r>
    <x v="6"/>
    <x v="0"/>
    <x v="2"/>
    <x v="6"/>
    <x v="103"/>
  </r>
  <r>
    <x v="6"/>
    <x v="0"/>
    <x v="2"/>
    <x v="12"/>
    <x v="33"/>
  </r>
  <r>
    <x v="11"/>
    <x v="0"/>
    <x v="2"/>
    <x v="1"/>
    <x v="7"/>
  </r>
  <r>
    <x v="11"/>
    <x v="0"/>
    <x v="0"/>
    <x v="5"/>
    <x v="86"/>
  </r>
  <r>
    <x v="11"/>
    <x v="0"/>
    <x v="0"/>
    <x v="8"/>
    <x v="75"/>
  </r>
  <r>
    <x v="7"/>
    <x v="0"/>
    <x v="0"/>
    <x v="7"/>
    <x v="104"/>
  </r>
  <r>
    <x v="7"/>
    <x v="0"/>
    <x v="2"/>
    <x v="15"/>
    <x v="105"/>
  </r>
  <r>
    <x v="7"/>
    <x v="0"/>
    <x v="2"/>
    <x v="17"/>
    <x v="86"/>
  </r>
  <r>
    <x v="7"/>
    <x v="0"/>
    <x v="0"/>
    <x v="10"/>
    <x v="106"/>
  </r>
  <r>
    <x v="8"/>
    <x v="0"/>
    <x v="0"/>
    <x v="0"/>
    <x v="12"/>
  </r>
  <r>
    <x v="8"/>
    <x v="0"/>
    <x v="0"/>
    <x v="3"/>
    <x v="107"/>
  </r>
  <r>
    <x v="8"/>
    <x v="0"/>
    <x v="0"/>
    <x v="1"/>
    <x v="32"/>
  </r>
  <r>
    <x v="9"/>
    <x v="0"/>
    <x v="0"/>
    <x v="13"/>
    <x v="75"/>
  </r>
  <r>
    <x v="9"/>
    <x v="0"/>
    <x v="3"/>
    <x v="4"/>
    <x v="38"/>
  </r>
  <r>
    <x v="10"/>
    <x v="0"/>
    <x v="0"/>
    <x v="5"/>
    <x v="88"/>
  </r>
  <r>
    <x v="1"/>
    <x v="0"/>
    <x v="2"/>
    <x v="5"/>
    <x v="0"/>
  </r>
  <r>
    <x v="1"/>
    <x v="0"/>
    <x v="0"/>
    <x v="11"/>
    <x v="39"/>
  </r>
  <r>
    <x v="1"/>
    <x v="0"/>
    <x v="3"/>
    <x v="22"/>
    <x v="108"/>
  </r>
  <r>
    <x v="1"/>
    <x v="0"/>
    <x v="3"/>
    <x v="6"/>
    <x v="7"/>
  </r>
  <r>
    <x v="2"/>
    <x v="0"/>
    <x v="2"/>
    <x v="5"/>
    <x v="5"/>
  </r>
  <r>
    <x v="2"/>
    <x v="0"/>
    <x v="2"/>
    <x v="7"/>
    <x v="5"/>
  </r>
  <r>
    <x v="2"/>
    <x v="0"/>
    <x v="2"/>
    <x v="11"/>
    <x v="33"/>
  </r>
  <r>
    <x v="2"/>
    <x v="0"/>
    <x v="0"/>
    <x v="4"/>
    <x v="37"/>
  </r>
  <r>
    <x v="2"/>
    <x v="0"/>
    <x v="3"/>
    <x v="8"/>
    <x v="86"/>
  </r>
  <r>
    <x v="2"/>
    <x v="0"/>
    <x v="0"/>
    <x v="5"/>
    <x v="32"/>
  </r>
  <r>
    <x v="3"/>
    <x v="0"/>
    <x v="2"/>
    <x v="4"/>
    <x v="109"/>
  </r>
  <r>
    <x v="3"/>
    <x v="0"/>
    <x v="1"/>
    <x v="13"/>
    <x v="110"/>
  </r>
  <r>
    <x v="3"/>
    <x v="0"/>
    <x v="2"/>
    <x v="4"/>
    <x v="111"/>
  </r>
  <r>
    <x v="3"/>
    <x v="0"/>
    <x v="2"/>
    <x v="11"/>
    <x v="112"/>
  </r>
  <r>
    <x v="3"/>
    <x v="0"/>
    <x v="0"/>
    <x v="3"/>
    <x v="10"/>
  </r>
  <r>
    <x v="4"/>
    <x v="0"/>
    <x v="2"/>
    <x v="1"/>
    <x v="113"/>
  </r>
  <r>
    <x v="4"/>
    <x v="0"/>
    <x v="3"/>
    <x v="5"/>
    <x v="86"/>
  </r>
  <r>
    <x v="4"/>
    <x v="0"/>
    <x v="0"/>
    <x v="1"/>
    <x v="64"/>
  </r>
  <r>
    <x v="4"/>
    <x v="0"/>
    <x v="2"/>
    <x v="13"/>
    <x v="28"/>
  </r>
  <r>
    <x v="5"/>
    <x v="0"/>
    <x v="0"/>
    <x v="12"/>
    <x v="28"/>
  </r>
  <r>
    <x v="5"/>
    <x v="0"/>
    <x v="0"/>
    <x v="11"/>
    <x v="86"/>
  </r>
  <r>
    <x v="5"/>
    <x v="0"/>
    <x v="0"/>
    <x v="5"/>
    <x v="114"/>
  </r>
  <r>
    <x v="5"/>
    <x v="0"/>
    <x v="2"/>
    <x v="8"/>
    <x v="7"/>
  </r>
  <r>
    <x v="6"/>
    <x v="0"/>
    <x v="3"/>
    <x v="5"/>
    <x v="61"/>
  </r>
  <r>
    <x v="6"/>
    <x v="0"/>
    <x v="2"/>
    <x v="3"/>
    <x v="2"/>
  </r>
  <r>
    <x v="6"/>
    <x v="0"/>
    <x v="2"/>
    <x v="15"/>
    <x v="7"/>
  </r>
  <r>
    <x v="6"/>
    <x v="0"/>
    <x v="0"/>
    <x v="10"/>
    <x v="115"/>
  </r>
  <r>
    <x v="7"/>
    <x v="0"/>
    <x v="0"/>
    <x v="13"/>
    <x v="70"/>
  </r>
  <r>
    <x v="7"/>
    <x v="0"/>
    <x v="0"/>
    <x v="11"/>
    <x v="64"/>
  </r>
  <r>
    <x v="8"/>
    <x v="0"/>
    <x v="1"/>
    <x v="4"/>
    <x v="116"/>
  </r>
  <r>
    <x v="8"/>
    <x v="0"/>
    <x v="2"/>
    <x v="15"/>
    <x v="39"/>
  </r>
  <r>
    <x v="8"/>
    <x v="0"/>
    <x v="1"/>
    <x v="8"/>
    <x v="30"/>
  </r>
  <r>
    <x v="8"/>
    <x v="0"/>
    <x v="0"/>
    <x v="12"/>
    <x v="117"/>
  </r>
  <r>
    <x v="9"/>
    <x v="0"/>
    <x v="3"/>
    <x v="3"/>
    <x v="31"/>
  </r>
  <r>
    <x v="9"/>
    <x v="0"/>
    <x v="3"/>
    <x v="11"/>
    <x v="86"/>
  </r>
  <r>
    <x v="9"/>
    <x v="0"/>
    <x v="2"/>
    <x v="3"/>
    <x v="18"/>
  </r>
  <r>
    <x v="10"/>
    <x v="0"/>
    <x v="1"/>
    <x v="11"/>
    <x v="30"/>
  </r>
  <r>
    <x v="10"/>
    <x v="0"/>
    <x v="0"/>
    <x v="0"/>
    <x v="7"/>
  </r>
  <r>
    <x v="10"/>
    <x v="0"/>
    <x v="3"/>
    <x v="7"/>
    <x v="118"/>
  </r>
  <r>
    <x v="10"/>
    <x v="0"/>
    <x v="0"/>
    <x v="8"/>
    <x v="33"/>
  </r>
  <r>
    <x v="10"/>
    <x v="0"/>
    <x v="2"/>
    <x v="15"/>
    <x v="3"/>
  </r>
  <r>
    <x v="0"/>
    <x v="0"/>
    <x v="2"/>
    <x v="11"/>
    <x v="99"/>
  </r>
  <r>
    <x v="0"/>
    <x v="0"/>
    <x v="0"/>
    <x v="13"/>
    <x v="34"/>
  </r>
  <r>
    <x v="1"/>
    <x v="0"/>
    <x v="3"/>
    <x v="13"/>
    <x v="12"/>
  </r>
  <r>
    <x v="1"/>
    <x v="0"/>
    <x v="3"/>
    <x v="8"/>
    <x v="18"/>
  </r>
  <r>
    <x v="2"/>
    <x v="0"/>
    <x v="2"/>
    <x v="11"/>
    <x v="119"/>
  </r>
  <r>
    <x v="2"/>
    <x v="0"/>
    <x v="0"/>
    <x v="3"/>
    <x v="81"/>
  </r>
  <r>
    <x v="3"/>
    <x v="0"/>
    <x v="2"/>
    <x v="1"/>
    <x v="120"/>
  </r>
  <r>
    <x v="4"/>
    <x v="0"/>
    <x v="0"/>
    <x v="8"/>
    <x v="121"/>
  </r>
  <r>
    <x v="5"/>
    <x v="0"/>
    <x v="2"/>
    <x v="10"/>
    <x v="10"/>
  </r>
  <r>
    <x v="5"/>
    <x v="0"/>
    <x v="0"/>
    <x v="8"/>
    <x v="0"/>
  </r>
  <r>
    <x v="6"/>
    <x v="0"/>
    <x v="1"/>
    <x v="5"/>
    <x v="122"/>
  </r>
  <r>
    <x v="6"/>
    <x v="0"/>
    <x v="0"/>
    <x v="7"/>
    <x v="123"/>
  </r>
  <r>
    <x v="6"/>
    <x v="0"/>
    <x v="2"/>
    <x v="5"/>
    <x v="5"/>
  </r>
  <r>
    <x v="11"/>
    <x v="0"/>
    <x v="2"/>
    <x v="13"/>
    <x v="37"/>
  </r>
  <r>
    <x v="11"/>
    <x v="0"/>
    <x v="2"/>
    <x v="4"/>
    <x v="7"/>
  </r>
  <r>
    <x v="11"/>
    <x v="0"/>
    <x v="2"/>
    <x v="7"/>
    <x v="2"/>
  </r>
  <r>
    <x v="11"/>
    <x v="0"/>
    <x v="3"/>
    <x v="11"/>
    <x v="68"/>
  </r>
  <r>
    <x v="7"/>
    <x v="0"/>
    <x v="0"/>
    <x v="15"/>
    <x v="37"/>
  </r>
  <r>
    <x v="7"/>
    <x v="0"/>
    <x v="0"/>
    <x v="8"/>
    <x v="19"/>
  </r>
  <r>
    <x v="7"/>
    <x v="0"/>
    <x v="0"/>
    <x v="3"/>
    <x v="9"/>
  </r>
  <r>
    <x v="8"/>
    <x v="0"/>
    <x v="2"/>
    <x v="1"/>
    <x v="31"/>
  </r>
  <r>
    <x v="8"/>
    <x v="0"/>
    <x v="2"/>
    <x v="4"/>
    <x v="16"/>
  </r>
  <r>
    <x v="8"/>
    <x v="0"/>
    <x v="0"/>
    <x v="7"/>
    <x v="86"/>
  </r>
  <r>
    <x v="8"/>
    <x v="0"/>
    <x v="3"/>
    <x v="3"/>
    <x v="12"/>
  </r>
  <r>
    <x v="9"/>
    <x v="0"/>
    <x v="3"/>
    <x v="3"/>
    <x v="64"/>
  </r>
  <r>
    <x v="9"/>
    <x v="0"/>
    <x v="0"/>
    <x v="18"/>
    <x v="58"/>
  </r>
  <r>
    <x v="9"/>
    <x v="0"/>
    <x v="0"/>
    <x v="14"/>
    <x v="124"/>
  </r>
  <r>
    <x v="9"/>
    <x v="0"/>
    <x v="0"/>
    <x v="2"/>
    <x v="125"/>
  </r>
  <r>
    <x v="9"/>
    <x v="0"/>
    <x v="0"/>
    <x v="4"/>
    <x v="126"/>
  </r>
  <r>
    <x v="9"/>
    <x v="0"/>
    <x v="0"/>
    <x v="5"/>
    <x v="48"/>
  </r>
  <r>
    <x v="9"/>
    <x v="0"/>
    <x v="0"/>
    <x v="5"/>
    <x v="31"/>
  </r>
  <r>
    <x v="9"/>
    <x v="0"/>
    <x v="1"/>
    <x v="4"/>
    <x v="127"/>
  </r>
  <r>
    <x v="10"/>
    <x v="0"/>
    <x v="2"/>
    <x v="7"/>
    <x v="128"/>
  </r>
  <r>
    <x v="10"/>
    <x v="0"/>
    <x v="0"/>
    <x v="5"/>
    <x v="53"/>
  </r>
  <r>
    <x v="1"/>
    <x v="0"/>
    <x v="2"/>
    <x v="7"/>
    <x v="79"/>
  </r>
  <r>
    <x v="1"/>
    <x v="0"/>
    <x v="0"/>
    <x v="8"/>
    <x v="33"/>
  </r>
  <r>
    <x v="2"/>
    <x v="0"/>
    <x v="1"/>
    <x v="6"/>
    <x v="75"/>
  </r>
  <r>
    <x v="2"/>
    <x v="0"/>
    <x v="2"/>
    <x v="5"/>
    <x v="129"/>
  </r>
  <r>
    <x v="2"/>
    <x v="0"/>
    <x v="3"/>
    <x v="7"/>
    <x v="130"/>
  </r>
  <r>
    <x v="3"/>
    <x v="0"/>
    <x v="3"/>
    <x v="8"/>
    <x v="58"/>
  </r>
  <r>
    <x v="3"/>
    <x v="0"/>
    <x v="2"/>
    <x v="1"/>
    <x v="131"/>
  </r>
  <r>
    <x v="3"/>
    <x v="0"/>
    <x v="0"/>
    <x v="8"/>
    <x v="3"/>
  </r>
  <r>
    <x v="3"/>
    <x v="0"/>
    <x v="2"/>
    <x v="5"/>
    <x v="132"/>
  </r>
  <r>
    <x v="4"/>
    <x v="0"/>
    <x v="1"/>
    <x v="10"/>
    <x v="7"/>
  </r>
  <r>
    <x v="5"/>
    <x v="0"/>
    <x v="0"/>
    <x v="8"/>
    <x v="31"/>
  </r>
  <r>
    <x v="6"/>
    <x v="0"/>
    <x v="1"/>
    <x v="6"/>
    <x v="12"/>
  </r>
  <r>
    <x v="6"/>
    <x v="0"/>
    <x v="0"/>
    <x v="15"/>
    <x v="28"/>
  </r>
  <r>
    <x v="6"/>
    <x v="0"/>
    <x v="2"/>
    <x v="4"/>
    <x v="133"/>
  </r>
  <r>
    <x v="11"/>
    <x v="0"/>
    <x v="0"/>
    <x v="2"/>
    <x v="134"/>
  </r>
  <r>
    <x v="11"/>
    <x v="0"/>
    <x v="0"/>
    <x v="5"/>
    <x v="135"/>
  </r>
  <r>
    <x v="11"/>
    <x v="0"/>
    <x v="1"/>
    <x v="15"/>
    <x v="2"/>
  </r>
  <r>
    <x v="11"/>
    <x v="0"/>
    <x v="0"/>
    <x v="10"/>
    <x v="2"/>
  </r>
  <r>
    <x v="7"/>
    <x v="0"/>
    <x v="3"/>
    <x v="15"/>
    <x v="136"/>
  </r>
  <r>
    <x v="8"/>
    <x v="0"/>
    <x v="6"/>
    <x v="13"/>
    <x v="67"/>
  </r>
  <r>
    <x v="8"/>
    <x v="0"/>
    <x v="0"/>
    <x v="7"/>
    <x v="137"/>
  </r>
  <r>
    <x v="8"/>
    <x v="0"/>
    <x v="1"/>
    <x v="4"/>
    <x v="10"/>
  </r>
  <r>
    <x v="8"/>
    <x v="0"/>
    <x v="1"/>
    <x v="12"/>
    <x v="17"/>
  </r>
  <r>
    <x v="9"/>
    <x v="0"/>
    <x v="6"/>
    <x v="19"/>
    <x v="75"/>
  </r>
  <r>
    <x v="9"/>
    <x v="0"/>
    <x v="6"/>
    <x v="23"/>
    <x v="138"/>
  </r>
  <r>
    <x v="9"/>
    <x v="0"/>
    <x v="1"/>
    <x v="4"/>
    <x v="75"/>
  </r>
  <r>
    <x v="9"/>
    <x v="0"/>
    <x v="0"/>
    <x v="1"/>
    <x v="139"/>
  </r>
  <r>
    <x v="9"/>
    <x v="0"/>
    <x v="1"/>
    <x v="4"/>
    <x v="75"/>
  </r>
  <r>
    <x v="10"/>
    <x v="0"/>
    <x v="1"/>
    <x v="11"/>
    <x v="30"/>
  </r>
  <r>
    <x v="10"/>
    <x v="0"/>
    <x v="0"/>
    <x v="5"/>
    <x v="30"/>
  </r>
  <r>
    <x v="10"/>
    <x v="0"/>
    <x v="2"/>
    <x v="8"/>
    <x v="140"/>
  </r>
  <r>
    <x v="0"/>
    <x v="0"/>
    <x v="0"/>
    <x v="4"/>
    <x v="58"/>
  </r>
  <r>
    <x v="0"/>
    <x v="0"/>
    <x v="0"/>
    <x v="4"/>
    <x v="141"/>
  </r>
  <r>
    <x v="0"/>
    <x v="0"/>
    <x v="0"/>
    <x v="8"/>
    <x v="142"/>
  </r>
  <r>
    <x v="0"/>
    <x v="0"/>
    <x v="3"/>
    <x v="1"/>
    <x v="91"/>
  </r>
  <r>
    <x v="1"/>
    <x v="0"/>
    <x v="0"/>
    <x v="3"/>
    <x v="143"/>
  </r>
  <r>
    <x v="1"/>
    <x v="1"/>
    <x v="0"/>
    <x v="5"/>
    <x v="31"/>
  </r>
  <r>
    <x v="1"/>
    <x v="1"/>
    <x v="0"/>
    <x v="3"/>
    <x v="133"/>
  </r>
  <r>
    <x v="3"/>
    <x v="0"/>
    <x v="0"/>
    <x v="4"/>
    <x v="144"/>
  </r>
  <r>
    <x v="3"/>
    <x v="1"/>
    <x v="1"/>
    <x v="4"/>
    <x v="75"/>
  </r>
  <r>
    <x v="3"/>
    <x v="1"/>
    <x v="2"/>
    <x v="5"/>
    <x v="28"/>
  </r>
  <r>
    <x v="3"/>
    <x v="1"/>
    <x v="2"/>
    <x v="5"/>
    <x v="30"/>
  </r>
  <r>
    <x v="3"/>
    <x v="0"/>
    <x v="0"/>
    <x v="2"/>
    <x v="145"/>
  </r>
  <r>
    <x v="3"/>
    <x v="1"/>
    <x v="0"/>
    <x v="13"/>
    <x v="96"/>
  </r>
  <r>
    <x v="3"/>
    <x v="0"/>
    <x v="0"/>
    <x v="5"/>
    <x v="17"/>
  </r>
  <r>
    <x v="3"/>
    <x v="1"/>
    <x v="2"/>
    <x v="4"/>
    <x v="5"/>
  </r>
  <r>
    <x v="4"/>
    <x v="0"/>
    <x v="1"/>
    <x v="0"/>
    <x v="146"/>
  </r>
  <r>
    <x v="4"/>
    <x v="0"/>
    <x v="2"/>
    <x v="1"/>
    <x v="147"/>
  </r>
  <r>
    <x v="4"/>
    <x v="1"/>
    <x v="2"/>
    <x v="6"/>
    <x v="148"/>
  </r>
  <r>
    <x v="4"/>
    <x v="1"/>
    <x v="0"/>
    <x v="21"/>
    <x v="149"/>
  </r>
  <r>
    <x v="4"/>
    <x v="1"/>
    <x v="0"/>
    <x v="8"/>
    <x v="150"/>
  </r>
  <r>
    <x v="5"/>
    <x v="1"/>
    <x v="2"/>
    <x v="20"/>
    <x v="12"/>
  </r>
  <r>
    <x v="5"/>
    <x v="0"/>
    <x v="2"/>
    <x v="7"/>
    <x v="5"/>
  </r>
  <r>
    <x v="5"/>
    <x v="0"/>
    <x v="2"/>
    <x v="11"/>
    <x v="151"/>
  </r>
  <r>
    <x v="5"/>
    <x v="1"/>
    <x v="0"/>
    <x v="11"/>
    <x v="76"/>
  </r>
  <r>
    <x v="5"/>
    <x v="0"/>
    <x v="0"/>
    <x v="8"/>
    <x v="99"/>
  </r>
  <r>
    <x v="5"/>
    <x v="1"/>
    <x v="1"/>
    <x v="4"/>
    <x v="19"/>
  </r>
  <r>
    <x v="5"/>
    <x v="1"/>
    <x v="6"/>
    <x v="5"/>
    <x v="5"/>
  </r>
  <r>
    <x v="6"/>
    <x v="1"/>
    <x v="2"/>
    <x v="8"/>
    <x v="31"/>
  </r>
  <r>
    <x v="6"/>
    <x v="1"/>
    <x v="2"/>
    <x v="15"/>
    <x v="152"/>
  </r>
  <r>
    <x v="6"/>
    <x v="0"/>
    <x v="2"/>
    <x v="5"/>
    <x v="153"/>
  </r>
  <r>
    <x v="6"/>
    <x v="1"/>
    <x v="4"/>
    <x v="15"/>
    <x v="31"/>
  </r>
  <r>
    <x v="6"/>
    <x v="1"/>
    <x v="2"/>
    <x v="4"/>
    <x v="10"/>
  </r>
  <r>
    <x v="11"/>
    <x v="1"/>
    <x v="2"/>
    <x v="1"/>
    <x v="33"/>
  </r>
  <r>
    <x v="11"/>
    <x v="1"/>
    <x v="2"/>
    <x v="7"/>
    <x v="18"/>
  </r>
  <r>
    <x v="11"/>
    <x v="1"/>
    <x v="3"/>
    <x v="8"/>
    <x v="33"/>
  </r>
  <r>
    <x v="11"/>
    <x v="1"/>
    <x v="2"/>
    <x v="4"/>
    <x v="154"/>
  </r>
  <r>
    <x v="11"/>
    <x v="0"/>
    <x v="1"/>
    <x v="11"/>
    <x v="58"/>
  </r>
  <r>
    <x v="7"/>
    <x v="1"/>
    <x v="3"/>
    <x v="3"/>
    <x v="155"/>
  </r>
  <r>
    <x v="7"/>
    <x v="1"/>
    <x v="2"/>
    <x v="5"/>
    <x v="86"/>
  </r>
  <r>
    <x v="7"/>
    <x v="0"/>
    <x v="0"/>
    <x v="2"/>
    <x v="53"/>
  </r>
  <r>
    <x v="7"/>
    <x v="1"/>
    <x v="3"/>
    <x v="7"/>
    <x v="85"/>
  </r>
  <r>
    <x v="7"/>
    <x v="0"/>
    <x v="0"/>
    <x v="1"/>
    <x v="33"/>
  </r>
  <r>
    <x v="7"/>
    <x v="1"/>
    <x v="2"/>
    <x v="4"/>
    <x v="156"/>
  </r>
  <r>
    <x v="8"/>
    <x v="1"/>
    <x v="2"/>
    <x v="4"/>
    <x v="2"/>
  </r>
  <r>
    <x v="8"/>
    <x v="1"/>
    <x v="0"/>
    <x v="7"/>
    <x v="157"/>
  </r>
  <r>
    <x v="8"/>
    <x v="1"/>
    <x v="2"/>
    <x v="1"/>
    <x v="7"/>
  </r>
  <r>
    <x v="8"/>
    <x v="1"/>
    <x v="1"/>
    <x v="5"/>
    <x v="158"/>
  </r>
  <r>
    <x v="8"/>
    <x v="1"/>
    <x v="0"/>
    <x v="7"/>
    <x v="7"/>
  </r>
  <r>
    <x v="8"/>
    <x v="1"/>
    <x v="3"/>
    <x v="5"/>
    <x v="38"/>
  </r>
  <r>
    <x v="9"/>
    <x v="1"/>
    <x v="4"/>
    <x v="3"/>
    <x v="159"/>
  </r>
  <r>
    <x v="9"/>
    <x v="1"/>
    <x v="4"/>
    <x v="2"/>
    <x v="5"/>
  </r>
  <r>
    <x v="9"/>
    <x v="0"/>
    <x v="2"/>
    <x v="4"/>
    <x v="160"/>
  </r>
  <r>
    <x v="10"/>
    <x v="0"/>
    <x v="4"/>
    <x v="5"/>
    <x v="85"/>
  </r>
  <r>
    <x v="0"/>
    <x v="1"/>
    <x v="2"/>
    <x v="4"/>
    <x v="161"/>
  </r>
  <r>
    <x v="0"/>
    <x v="1"/>
    <x v="3"/>
    <x v="23"/>
    <x v="39"/>
  </r>
  <r>
    <x v="0"/>
    <x v="0"/>
    <x v="3"/>
    <x v="3"/>
    <x v="162"/>
  </r>
  <r>
    <x v="0"/>
    <x v="1"/>
    <x v="2"/>
    <x v="5"/>
    <x v="163"/>
  </r>
  <r>
    <x v="0"/>
    <x v="1"/>
    <x v="2"/>
    <x v="7"/>
    <x v="164"/>
  </r>
  <r>
    <x v="1"/>
    <x v="1"/>
    <x v="6"/>
    <x v="4"/>
    <x v="165"/>
  </r>
  <r>
    <x v="1"/>
    <x v="1"/>
    <x v="0"/>
    <x v="4"/>
    <x v="166"/>
  </r>
  <r>
    <x v="1"/>
    <x v="0"/>
    <x v="0"/>
    <x v="5"/>
    <x v="167"/>
  </r>
  <r>
    <x v="1"/>
    <x v="1"/>
    <x v="1"/>
    <x v="4"/>
    <x v="168"/>
  </r>
  <r>
    <x v="2"/>
    <x v="0"/>
    <x v="3"/>
    <x v="4"/>
    <x v="169"/>
  </r>
  <r>
    <x v="2"/>
    <x v="1"/>
    <x v="3"/>
    <x v="2"/>
    <x v="170"/>
  </r>
  <r>
    <x v="2"/>
    <x v="1"/>
    <x v="6"/>
    <x v="3"/>
    <x v="30"/>
  </r>
  <r>
    <x v="2"/>
    <x v="1"/>
    <x v="3"/>
    <x v="8"/>
    <x v="75"/>
  </r>
  <r>
    <x v="3"/>
    <x v="1"/>
    <x v="2"/>
    <x v="4"/>
    <x v="75"/>
  </r>
  <r>
    <x v="3"/>
    <x v="1"/>
    <x v="2"/>
    <x v="6"/>
    <x v="27"/>
  </r>
  <r>
    <x v="3"/>
    <x v="0"/>
    <x v="2"/>
    <x v="5"/>
    <x v="5"/>
  </r>
  <r>
    <x v="3"/>
    <x v="1"/>
    <x v="1"/>
    <x v="13"/>
    <x v="12"/>
  </r>
  <r>
    <x v="3"/>
    <x v="1"/>
    <x v="2"/>
    <x v="5"/>
    <x v="58"/>
  </r>
  <r>
    <x v="3"/>
    <x v="1"/>
    <x v="2"/>
    <x v="0"/>
    <x v="171"/>
  </r>
  <r>
    <x v="3"/>
    <x v="1"/>
    <x v="1"/>
    <x v="4"/>
    <x v="5"/>
  </r>
  <r>
    <x v="4"/>
    <x v="1"/>
    <x v="1"/>
    <x v="4"/>
    <x v="5"/>
  </r>
  <r>
    <x v="4"/>
    <x v="0"/>
    <x v="4"/>
    <x v="3"/>
    <x v="172"/>
  </r>
  <r>
    <x v="5"/>
    <x v="1"/>
    <x v="2"/>
    <x v="3"/>
    <x v="75"/>
  </r>
  <r>
    <x v="5"/>
    <x v="1"/>
    <x v="1"/>
    <x v="14"/>
    <x v="173"/>
  </r>
  <r>
    <x v="5"/>
    <x v="0"/>
    <x v="2"/>
    <x v="4"/>
    <x v="5"/>
  </r>
  <r>
    <x v="5"/>
    <x v="0"/>
    <x v="2"/>
    <x v="8"/>
    <x v="174"/>
  </r>
  <r>
    <x v="5"/>
    <x v="1"/>
    <x v="7"/>
    <x v="3"/>
    <x v="81"/>
  </r>
  <r>
    <x v="5"/>
    <x v="1"/>
    <x v="2"/>
    <x v="8"/>
    <x v="86"/>
  </r>
  <r>
    <x v="6"/>
    <x v="1"/>
    <x v="2"/>
    <x v="4"/>
    <x v="175"/>
  </r>
  <r>
    <x v="6"/>
    <x v="1"/>
    <x v="1"/>
    <x v="3"/>
    <x v="88"/>
  </r>
  <r>
    <x v="6"/>
    <x v="1"/>
    <x v="2"/>
    <x v="5"/>
    <x v="176"/>
  </r>
  <r>
    <x v="6"/>
    <x v="1"/>
    <x v="2"/>
    <x v="5"/>
    <x v="79"/>
  </r>
  <r>
    <x v="6"/>
    <x v="1"/>
    <x v="2"/>
    <x v="3"/>
    <x v="177"/>
  </r>
  <r>
    <x v="11"/>
    <x v="1"/>
    <x v="1"/>
    <x v="5"/>
    <x v="75"/>
  </r>
  <r>
    <x v="11"/>
    <x v="1"/>
    <x v="3"/>
    <x v="1"/>
    <x v="178"/>
  </r>
  <r>
    <x v="7"/>
    <x v="1"/>
    <x v="2"/>
    <x v="8"/>
    <x v="107"/>
  </r>
  <r>
    <x v="8"/>
    <x v="1"/>
    <x v="1"/>
    <x v="1"/>
    <x v="179"/>
  </r>
  <r>
    <x v="8"/>
    <x v="1"/>
    <x v="1"/>
    <x v="15"/>
    <x v="85"/>
  </r>
  <r>
    <x v="9"/>
    <x v="1"/>
    <x v="2"/>
    <x v="7"/>
    <x v="180"/>
  </r>
  <r>
    <x v="9"/>
    <x v="1"/>
    <x v="2"/>
    <x v="4"/>
    <x v="75"/>
  </r>
  <r>
    <x v="9"/>
    <x v="1"/>
    <x v="1"/>
    <x v="5"/>
    <x v="128"/>
  </r>
  <r>
    <x v="9"/>
    <x v="1"/>
    <x v="0"/>
    <x v="4"/>
    <x v="75"/>
  </r>
  <r>
    <x v="9"/>
    <x v="1"/>
    <x v="0"/>
    <x v="7"/>
    <x v="91"/>
  </r>
  <r>
    <x v="9"/>
    <x v="1"/>
    <x v="2"/>
    <x v="8"/>
    <x v="61"/>
  </r>
  <r>
    <x v="9"/>
    <x v="1"/>
    <x v="0"/>
    <x v="4"/>
    <x v="7"/>
  </r>
  <r>
    <x v="9"/>
    <x v="1"/>
    <x v="0"/>
    <x v="1"/>
    <x v="27"/>
  </r>
  <r>
    <x v="10"/>
    <x v="0"/>
    <x v="0"/>
    <x v="3"/>
    <x v="5"/>
  </r>
  <r>
    <x v="10"/>
    <x v="1"/>
    <x v="2"/>
    <x v="10"/>
    <x v="181"/>
  </r>
  <r>
    <x v="0"/>
    <x v="1"/>
    <x v="2"/>
    <x v="1"/>
    <x v="112"/>
  </r>
  <r>
    <x v="0"/>
    <x v="1"/>
    <x v="2"/>
    <x v="1"/>
    <x v="182"/>
  </r>
  <r>
    <x v="1"/>
    <x v="1"/>
    <x v="0"/>
    <x v="8"/>
    <x v="79"/>
  </r>
  <r>
    <x v="1"/>
    <x v="0"/>
    <x v="0"/>
    <x v="11"/>
    <x v="183"/>
  </r>
  <r>
    <x v="2"/>
    <x v="1"/>
    <x v="2"/>
    <x v="0"/>
    <x v="133"/>
  </r>
  <r>
    <x v="2"/>
    <x v="1"/>
    <x v="2"/>
    <x v="4"/>
    <x v="31"/>
  </r>
  <r>
    <x v="3"/>
    <x v="0"/>
    <x v="0"/>
    <x v="4"/>
    <x v="75"/>
  </r>
  <r>
    <x v="3"/>
    <x v="1"/>
    <x v="2"/>
    <x v="4"/>
    <x v="5"/>
  </r>
  <r>
    <x v="3"/>
    <x v="0"/>
    <x v="0"/>
    <x v="12"/>
    <x v="184"/>
  </r>
  <r>
    <x v="3"/>
    <x v="0"/>
    <x v="0"/>
    <x v="5"/>
    <x v="5"/>
  </r>
  <r>
    <x v="3"/>
    <x v="0"/>
    <x v="0"/>
    <x v="8"/>
    <x v="185"/>
  </r>
  <r>
    <x v="3"/>
    <x v="1"/>
    <x v="2"/>
    <x v="8"/>
    <x v="28"/>
  </r>
  <r>
    <x v="4"/>
    <x v="1"/>
    <x v="2"/>
    <x v="0"/>
    <x v="71"/>
  </r>
  <r>
    <x v="4"/>
    <x v="1"/>
    <x v="2"/>
    <x v="1"/>
    <x v="31"/>
  </r>
  <r>
    <x v="4"/>
    <x v="1"/>
    <x v="2"/>
    <x v="3"/>
    <x v="186"/>
  </r>
  <r>
    <x v="4"/>
    <x v="1"/>
    <x v="2"/>
    <x v="1"/>
    <x v="5"/>
  </r>
  <r>
    <x v="4"/>
    <x v="1"/>
    <x v="1"/>
    <x v="1"/>
    <x v="187"/>
  </r>
  <r>
    <x v="4"/>
    <x v="1"/>
    <x v="0"/>
    <x v="12"/>
    <x v="188"/>
  </r>
  <r>
    <x v="5"/>
    <x v="0"/>
    <x v="0"/>
    <x v="4"/>
    <x v="189"/>
  </r>
  <r>
    <x v="6"/>
    <x v="1"/>
    <x v="1"/>
    <x v="4"/>
    <x v="81"/>
  </r>
  <r>
    <x v="6"/>
    <x v="1"/>
    <x v="2"/>
    <x v="7"/>
    <x v="5"/>
  </r>
  <r>
    <x v="6"/>
    <x v="1"/>
    <x v="3"/>
    <x v="1"/>
    <x v="100"/>
  </r>
  <r>
    <x v="6"/>
    <x v="0"/>
    <x v="0"/>
    <x v="13"/>
    <x v="61"/>
  </r>
  <r>
    <x v="6"/>
    <x v="1"/>
    <x v="1"/>
    <x v="4"/>
    <x v="75"/>
  </r>
  <r>
    <x v="6"/>
    <x v="1"/>
    <x v="2"/>
    <x v="11"/>
    <x v="31"/>
  </r>
  <r>
    <x v="6"/>
    <x v="1"/>
    <x v="0"/>
    <x v="11"/>
    <x v="190"/>
  </r>
  <r>
    <x v="6"/>
    <x v="1"/>
    <x v="1"/>
    <x v="3"/>
    <x v="58"/>
  </r>
  <r>
    <x v="11"/>
    <x v="0"/>
    <x v="0"/>
    <x v="5"/>
    <x v="5"/>
  </r>
  <r>
    <x v="7"/>
    <x v="0"/>
    <x v="0"/>
    <x v="3"/>
    <x v="18"/>
  </r>
  <r>
    <x v="7"/>
    <x v="1"/>
    <x v="1"/>
    <x v="8"/>
    <x v="5"/>
  </r>
  <r>
    <x v="7"/>
    <x v="1"/>
    <x v="3"/>
    <x v="21"/>
    <x v="191"/>
  </r>
  <r>
    <x v="7"/>
    <x v="0"/>
    <x v="3"/>
    <x v="11"/>
    <x v="192"/>
  </r>
  <r>
    <x v="7"/>
    <x v="0"/>
    <x v="3"/>
    <x v="4"/>
    <x v="38"/>
  </r>
  <r>
    <x v="7"/>
    <x v="0"/>
    <x v="3"/>
    <x v="8"/>
    <x v="79"/>
  </r>
  <r>
    <x v="7"/>
    <x v="1"/>
    <x v="3"/>
    <x v="5"/>
    <x v="7"/>
  </r>
  <r>
    <x v="7"/>
    <x v="0"/>
    <x v="0"/>
    <x v="5"/>
    <x v="86"/>
  </r>
  <r>
    <x v="8"/>
    <x v="1"/>
    <x v="2"/>
    <x v="8"/>
    <x v="33"/>
  </r>
  <r>
    <x v="8"/>
    <x v="1"/>
    <x v="2"/>
    <x v="5"/>
    <x v="61"/>
  </r>
  <r>
    <x v="8"/>
    <x v="1"/>
    <x v="2"/>
    <x v="7"/>
    <x v="128"/>
  </r>
  <r>
    <x v="8"/>
    <x v="0"/>
    <x v="0"/>
    <x v="0"/>
    <x v="193"/>
  </r>
  <r>
    <x v="9"/>
    <x v="1"/>
    <x v="3"/>
    <x v="8"/>
    <x v="194"/>
  </r>
  <r>
    <x v="9"/>
    <x v="1"/>
    <x v="3"/>
    <x v="3"/>
    <x v="33"/>
  </r>
  <r>
    <x v="9"/>
    <x v="0"/>
    <x v="3"/>
    <x v="3"/>
    <x v="5"/>
  </r>
  <r>
    <x v="9"/>
    <x v="0"/>
    <x v="0"/>
    <x v="8"/>
    <x v="33"/>
  </r>
  <r>
    <x v="9"/>
    <x v="0"/>
    <x v="4"/>
    <x v="4"/>
    <x v="31"/>
  </r>
  <r>
    <x v="9"/>
    <x v="1"/>
    <x v="2"/>
    <x v="1"/>
    <x v="195"/>
  </r>
  <r>
    <x v="9"/>
    <x v="1"/>
    <x v="3"/>
    <x v="10"/>
    <x v="196"/>
  </r>
  <r>
    <x v="9"/>
    <x v="0"/>
    <x v="3"/>
    <x v="10"/>
    <x v="197"/>
  </r>
  <r>
    <x v="9"/>
    <x v="0"/>
    <x v="3"/>
    <x v="8"/>
    <x v="198"/>
  </r>
  <r>
    <x v="10"/>
    <x v="0"/>
    <x v="0"/>
    <x v="15"/>
    <x v="53"/>
  </r>
  <r>
    <x v="10"/>
    <x v="1"/>
    <x v="0"/>
    <x v="1"/>
    <x v="7"/>
  </r>
  <r>
    <x v="10"/>
    <x v="1"/>
    <x v="2"/>
    <x v="4"/>
    <x v="172"/>
  </r>
  <r>
    <x v="10"/>
    <x v="1"/>
    <x v="1"/>
    <x v="5"/>
    <x v="199"/>
  </r>
  <r>
    <x v="0"/>
    <x v="0"/>
    <x v="0"/>
    <x v="5"/>
    <x v="9"/>
  </r>
  <r>
    <x v="0"/>
    <x v="1"/>
    <x v="2"/>
    <x v="11"/>
    <x v="67"/>
  </r>
  <r>
    <x v="0"/>
    <x v="1"/>
    <x v="0"/>
    <x v="8"/>
    <x v="100"/>
  </r>
  <r>
    <x v="0"/>
    <x v="1"/>
    <x v="1"/>
    <x v="5"/>
    <x v="5"/>
  </r>
  <r>
    <x v="0"/>
    <x v="1"/>
    <x v="1"/>
    <x v="7"/>
    <x v="200"/>
  </r>
  <r>
    <x v="0"/>
    <x v="1"/>
    <x v="0"/>
    <x v="13"/>
    <x v="201"/>
  </r>
  <r>
    <x v="1"/>
    <x v="0"/>
    <x v="0"/>
    <x v="12"/>
    <x v="12"/>
  </r>
  <r>
    <x v="2"/>
    <x v="0"/>
    <x v="0"/>
    <x v="8"/>
    <x v="71"/>
  </r>
  <r>
    <x v="2"/>
    <x v="1"/>
    <x v="2"/>
    <x v="3"/>
    <x v="64"/>
  </r>
  <r>
    <x v="3"/>
    <x v="0"/>
    <x v="0"/>
    <x v="3"/>
    <x v="202"/>
  </r>
  <r>
    <x v="3"/>
    <x v="1"/>
    <x v="0"/>
    <x v="11"/>
    <x v="5"/>
  </r>
  <r>
    <x v="3"/>
    <x v="1"/>
    <x v="3"/>
    <x v="12"/>
    <x v="203"/>
  </r>
  <r>
    <x v="3"/>
    <x v="1"/>
    <x v="2"/>
    <x v="11"/>
    <x v="12"/>
  </r>
  <r>
    <x v="4"/>
    <x v="1"/>
    <x v="3"/>
    <x v="8"/>
    <x v="3"/>
  </r>
  <r>
    <x v="4"/>
    <x v="1"/>
    <x v="3"/>
    <x v="3"/>
    <x v="204"/>
  </r>
  <r>
    <x v="4"/>
    <x v="1"/>
    <x v="6"/>
    <x v="3"/>
    <x v="205"/>
  </r>
  <r>
    <x v="4"/>
    <x v="1"/>
    <x v="7"/>
    <x v="13"/>
    <x v="206"/>
  </r>
  <r>
    <x v="5"/>
    <x v="1"/>
    <x v="2"/>
    <x v="8"/>
    <x v="12"/>
  </r>
  <r>
    <x v="5"/>
    <x v="0"/>
    <x v="0"/>
    <x v="4"/>
    <x v="30"/>
  </r>
  <r>
    <x v="6"/>
    <x v="1"/>
    <x v="2"/>
    <x v="8"/>
    <x v="207"/>
  </r>
  <r>
    <x v="6"/>
    <x v="1"/>
    <x v="2"/>
    <x v="2"/>
    <x v="208"/>
  </r>
  <r>
    <x v="11"/>
    <x v="1"/>
    <x v="1"/>
    <x v="5"/>
    <x v="209"/>
  </r>
  <r>
    <x v="11"/>
    <x v="1"/>
    <x v="2"/>
    <x v="12"/>
    <x v="85"/>
  </r>
  <r>
    <x v="11"/>
    <x v="0"/>
    <x v="2"/>
    <x v="4"/>
    <x v="210"/>
  </r>
  <r>
    <x v="11"/>
    <x v="0"/>
    <x v="0"/>
    <x v="1"/>
    <x v="211"/>
  </r>
  <r>
    <x v="11"/>
    <x v="1"/>
    <x v="2"/>
    <x v="1"/>
    <x v="212"/>
  </r>
  <r>
    <x v="7"/>
    <x v="1"/>
    <x v="2"/>
    <x v="3"/>
    <x v="213"/>
  </r>
  <r>
    <x v="7"/>
    <x v="1"/>
    <x v="2"/>
    <x v="3"/>
    <x v="214"/>
  </r>
  <r>
    <x v="8"/>
    <x v="0"/>
    <x v="0"/>
    <x v="5"/>
    <x v="215"/>
  </r>
  <r>
    <x v="8"/>
    <x v="1"/>
    <x v="2"/>
    <x v="1"/>
    <x v="123"/>
  </r>
  <r>
    <x v="8"/>
    <x v="0"/>
    <x v="0"/>
    <x v="5"/>
    <x v="167"/>
  </r>
  <r>
    <x v="8"/>
    <x v="0"/>
    <x v="4"/>
    <x v="5"/>
    <x v="81"/>
  </r>
  <r>
    <x v="9"/>
    <x v="1"/>
    <x v="0"/>
    <x v="4"/>
    <x v="30"/>
  </r>
  <r>
    <x v="9"/>
    <x v="1"/>
    <x v="2"/>
    <x v="12"/>
    <x v="216"/>
  </r>
  <r>
    <x v="9"/>
    <x v="1"/>
    <x v="2"/>
    <x v="4"/>
    <x v="5"/>
  </r>
  <r>
    <x v="9"/>
    <x v="1"/>
    <x v="2"/>
    <x v="4"/>
    <x v="99"/>
  </r>
  <r>
    <x v="9"/>
    <x v="1"/>
    <x v="0"/>
    <x v="3"/>
    <x v="99"/>
  </r>
  <r>
    <x v="9"/>
    <x v="1"/>
    <x v="1"/>
    <x v="3"/>
    <x v="5"/>
  </r>
  <r>
    <x v="9"/>
    <x v="0"/>
    <x v="0"/>
    <x v="5"/>
    <x v="10"/>
  </r>
  <r>
    <x v="10"/>
    <x v="1"/>
    <x v="2"/>
    <x v="13"/>
    <x v="217"/>
  </r>
  <r>
    <x v="10"/>
    <x v="1"/>
    <x v="2"/>
    <x v="14"/>
    <x v="218"/>
  </r>
  <r>
    <x v="10"/>
    <x v="0"/>
    <x v="0"/>
    <x v="8"/>
    <x v="219"/>
  </r>
  <r>
    <x v="10"/>
    <x v="1"/>
    <x v="3"/>
    <x v="10"/>
    <x v="70"/>
  </r>
  <r>
    <x v="0"/>
    <x v="1"/>
    <x v="2"/>
    <x v="5"/>
    <x v="61"/>
  </r>
  <r>
    <x v="0"/>
    <x v="1"/>
    <x v="2"/>
    <x v="4"/>
    <x v="6"/>
  </r>
  <r>
    <x v="0"/>
    <x v="1"/>
    <x v="2"/>
    <x v="14"/>
    <x v="128"/>
  </r>
  <r>
    <x v="1"/>
    <x v="1"/>
    <x v="1"/>
    <x v="1"/>
    <x v="20"/>
  </r>
  <r>
    <x v="1"/>
    <x v="0"/>
    <x v="3"/>
    <x v="4"/>
    <x v="220"/>
  </r>
  <r>
    <x v="1"/>
    <x v="1"/>
    <x v="2"/>
    <x v="3"/>
    <x v="221"/>
  </r>
  <r>
    <x v="2"/>
    <x v="1"/>
    <x v="2"/>
    <x v="3"/>
    <x v="33"/>
  </r>
  <r>
    <x v="2"/>
    <x v="0"/>
    <x v="5"/>
    <x v="4"/>
    <x v="58"/>
  </r>
  <r>
    <x v="2"/>
    <x v="1"/>
    <x v="0"/>
    <x v="5"/>
    <x v="10"/>
  </r>
  <r>
    <x v="3"/>
    <x v="1"/>
    <x v="2"/>
    <x v="1"/>
    <x v="5"/>
  </r>
  <r>
    <x v="3"/>
    <x v="1"/>
    <x v="3"/>
    <x v="3"/>
    <x v="2"/>
  </r>
  <r>
    <x v="3"/>
    <x v="1"/>
    <x v="0"/>
    <x v="3"/>
    <x v="64"/>
  </r>
  <r>
    <x v="4"/>
    <x v="0"/>
    <x v="0"/>
    <x v="5"/>
    <x v="33"/>
  </r>
  <r>
    <x v="5"/>
    <x v="1"/>
    <x v="0"/>
    <x v="4"/>
    <x v="99"/>
  </r>
  <r>
    <x v="5"/>
    <x v="1"/>
    <x v="1"/>
    <x v="3"/>
    <x v="222"/>
  </r>
  <r>
    <x v="5"/>
    <x v="1"/>
    <x v="3"/>
    <x v="1"/>
    <x v="223"/>
  </r>
  <r>
    <x v="6"/>
    <x v="1"/>
    <x v="2"/>
    <x v="4"/>
    <x v="224"/>
  </r>
  <r>
    <x v="6"/>
    <x v="1"/>
    <x v="0"/>
    <x v="2"/>
    <x v="5"/>
  </r>
  <r>
    <x v="6"/>
    <x v="0"/>
    <x v="0"/>
    <x v="5"/>
    <x v="225"/>
  </r>
  <r>
    <x v="11"/>
    <x v="0"/>
    <x v="0"/>
    <x v="4"/>
    <x v="99"/>
  </r>
  <r>
    <x v="11"/>
    <x v="1"/>
    <x v="1"/>
    <x v="23"/>
    <x v="226"/>
  </r>
  <r>
    <x v="11"/>
    <x v="1"/>
    <x v="1"/>
    <x v="4"/>
    <x v="166"/>
  </r>
  <r>
    <x v="7"/>
    <x v="1"/>
    <x v="2"/>
    <x v="1"/>
    <x v="227"/>
  </r>
  <r>
    <x v="7"/>
    <x v="0"/>
    <x v="1"/>
    <x v="7"/>
    <x v="190"/>
  </r>
  <r>
    <x v="8"/>
    <x v="1"/>
    <x v="0"/>
    <x v="15"/>
    <x v="228"/>
  </r>
  <r>
    <x v="8"/>
    <x v="1"/>
    <x v="0"/>
    <x v="4"/>
    <x v="53"/>
  </r>
  <r>
    <x v="8"/>
    <x v="1"/>
    <x v="7"/>
    <x v="4"/>
    <x v="53"/>
  </r>
  <r>
    <x v="8"/>
    <x v="0"/>
    <x v="0"/>
    <x v="8"/>
    <x v="229"/>
  </r>
  <r>
    <x v="8"/>
    <x v="1"/>
    <x v="2"/>
    <x v="8"/>
    <x v="12"/>
  </r>
  <r>
    <x v="9"/>
    <x v="1"/>
    <x v="2"/>
    <x v="5"/>
    <x v="5"/>
  </r>
  <r>
    <x v="9"/>
    <x v="1"/>
    <x v="1"/>
    <x v="4"/>
    <x v="230"/>
  </r>
  <r>
    <x v="9"/>
    <x v="1"/>
    <x v="2"/>
    <x v="5"/>
    <x v="30"/>
  </r>
  <r>
    <x v="9"/>
    <x v="1"/>
    <x v="2"/>
    <x v="11"/>
    <x v="5"/>
  </r>
  <r>
    <x v="10"/>
    <x v="0"/>
    <x v="0"/>
    <x v="15"/>
    <x v="67"/>
  </r>
  <r>
    <x v="10"/>
    <x v="1"/>
    <x v="7"/>
    <x v="4"/>
    <x v="10"/>
  </r>
  <r>
    <x v="10"/>
    <x v="0"/>
    <x v="0"/>
    <x v="4"/>
    <x v="65"/>
  </r>
  <r>
    <x v="0"/>
    <x v="1"/>
    <x v="3"/>
    <x v="7"/>
    <x v="27"/>
  </r>
  <r>
    <x v="0"/>
    <x v="1"/>
    <x v="1"/>
    <x v="14"/>
    <x v="231"/>
  </r>
  <r>
    <x v="1"/>
    <x v="0"/>
    <x v="3"/>
    <x v="1"/>
    <x v="232"/>
  </r>
  <r>
    <x v="1"/>
    <x v="1"/>
    <x v="1"/>
    <x v="13"/>
    <x v="61"/>
  </r>
  <r>
    <x v="1"/>
    <x v="1"/>
    <x v="2"/>
    <x v="0"/>
    <x v="233"/>
  </r>
  <r>
    <x v="2"/>
    <x v="1"/>
    <x v="2"/>
    <x v="8"/>
    <x v="85"/>
  </r>
  <r>
    <x v="2"/>
    <x v="1"/>
    <x v="2"/>
    <x v="3"/>
    <x v="7"/>
  </r>
  <r>
    <x v="3"/>
    <x v="1"/>
    <x v="1"/>
    <x v="3"/>
    <x v="234"/>
  </r>
  <r>
    <x v="4"/>
    <x v="0"/>
    <x v="0"/>
    <x v="3"/>
    <x v="32"/>
  </r>
  <r>
    <x v="4"/>
    <x v="1"/>
    <x v="0"/>
    <x v="5"/>
    <x v="7"/>
  </r>
  <r>
    <x v="4"/>
    <x v="1"/>
    <x v="2"/>
    <x v="0"/>
    <x v="5"/>
  </r>
  <r>
    <x v="4"/>
    <x v="1"/>
    <x v="2"/>
    <x v="5"/>
    <x v="5"/>
  </r>
  <r>
    <x v="5"/>
    <x v="1"/>
    <x v="2"/>
    <x v="8"/>
    <x v="235"/>
  </r>
  <r>
    <x v="5"/>
    <x v="1"/>
    <x v="2"/>
    <x v="14"/>
    <x v="236"/>
  </r>
  <r>
    <x v="11"/>
    <x v="1"/>
    <x v="2"/>
    <x v="1"/>
    <x v="237"/>
  </r>
  <r>
    <x v="11"/>
    <x v="1"/>
    <x v="1"/>
    <x v="4"/>
    <x v="238"/>
  </r>
  <r>
    <x v="11"/>
    <x v="0"/>
    <x v="0"/>
    <x v="4"/>
    <x v="239"/>
  </r>
  <r>
    <x v="11"/>
    <x v="1"/>
    <x v="2"/>
    <x v="23"/>
    <x v="240"/>
  </r>
  <r>
    <x v="11"/>
    <x v="0"/>
    <x v="0"/>
    <x v="3"/>
    <x v="18"/>
  </r>
  <r>
    <x v="11"/>
    <x v="1"/>
    <x v="3"/>
    <x v="15"/>
    <x v="241"/>
  </r>
  <r>
    <x v="11"/>
    <x v="1"/>
    <x v="2"/>
    <x v="4"/>
    <x v="99"/>
  </r>
  <r>
    <x v="11"/>
    <x v="0"/>
    <x v="3"/>
    <x v="7"/>
    <x v="242"/>
  </r>
  <r>
    <x v="11"/>
    <x v="1"/>
    <x v="2"/>
    <x v="7"/>
    <x v="243"/>
  </r>
  <r>
    <x v="7"/>
    <x v="1"/>
    <x v="2"/>
    <x v="4"/>
    <x v="34"/>
  </r>
  <r>
    <x v="7"/>
    <x v="1"/>
    <x v="6"/>
    <x v="8"/>
    <x v="5"/>
  </r>
  <r>
    <x v="7"/>
    <x v="0"/>
    <x v="2"/>
    <x v="4"/>
    <x v="244"/>
  </r>
  <r>
    <x v="7"/>
    <x v="0"/>
    <x v="0"/>
    <x v="0"/>
    <x v="75"/>
  </r>
  <r>
    <x v="7"/>
    <x v="1"/>
    <x v="2"/>
    <x v="8"/>
    <x v="245"/>
  </r>
  <r>
    <x v="8"/>
    <x v="1"/>
    <x v="1"/>
    <x v="0"/>
    <x v="67"/>
  </r>
  <r>
    <x v="8"/>
    <x v="0"/>
    <x v="2"/>
    <x v="3"/>
    <x v="66"/>
  </r>
  <r>
    <x v="8"/>
    <x v="1"/>
    <x v="2"/>
    <x v="11"/>
    <x v="27"/>
  </r>
  <r>
    <x v="8"/>
    <x v="1"/>
    <x v="0"/>
    <x v="4"/>
    <x v="75"/>
  </r>
  <r>
    <x v="8"/>
    <x v="1"/>
    <x v="0"/>
    <x v="8"/>
    <x v="246"/>
  </r>
  <r>
    <x v="8"/>
    <x v="1"/>
    <x v="2"/>
    <x v="4"/>
    <x v="10"/>
  </r>
  <r>
    <x v="8"/>
    <x v="1"/>
    <x v="1"/>
    <x v="4"/>
    <x v="5"/>
  </r>
  <r>
    <x v="8"/>
    <x v="1"/>
    <x v="1"/>
    <x v="1"/>
    <x v="5"/>
  </r>
  <r>
    <x v="8"/>
    <x v="0"/>
    <x v="1"/>
    <x v="4"/>
    <x v="5"/>
  </r>
  <r>
    <x v="8"/>
    <x v="0"/>
    <x v="4"/>
    <x v="1"/>
    <x v="17"/>
  </r>
  <r>
    <x v="9"/>
    <x v="1"/>
    <x v="7"/>
    <x v="7"/>
    <x v="247"/>
  </r>
  <r>
    <x v="9"/>
    <x v="1"/>
    <x v="2"/>
    <x v="1"/>
    <x v="248"/>
  </r>
  <r>
    <x v="9"/>
    <x v="1"/>
    <x v="1"/>
    <x v="7"/>
    <x v="249"/>
  </r>
  <r>
    <x v="10"/>
    <x v="1"/>
    <x v="0"/>
    <x v="15"/>
    <x v="250"/>
  </r>
  <r>
    <x v="10"/>
    <x v="1"/>
    <x v="0"/>
    <x v="11"/>
    <x v="251"/>
  </r>
  <r>
    <x v="0"/>
    <x v="1"/>
    <x v="1"/>
    <x v="8"/>
    <x v="76"/>
  </r>
  <r>
    <x v="0"/>
    <x v="1"/>
    <x v="3"/>
    <x v="11"/>
    <x v="252"/>
  </r>
  <r>
    <x v="0"/>
    <x v="1"/>
    <x v="3"/>
    <x v="1"/>
    <x v="39"/>
  </r>
  <r>
    <x v="0"/>
    <x v="1"/>
    <x v="2"/>
    <x v="5"/>
    <x v="253"/>
  </r>
  <r>
    <x v="0"/>
    <x v="1"/>
    <x v="2"/>
    <x v="5"/>
    <x v="7"/>
  </r>
  <r>
    <x v="0"/>
    <x v="1"/>
    <x v="3"/>
    <x v="8"/>
    <x v="254"/>
  </r>
  <r>
    <x v="0"/>
    <x v="0"/>
    <x v="1"/>
    <x v="8"/>
    <x v="30"/>
  </r>
  <r>
    <x v="1"/>
    <x v="0"/>
    <x v="0"/>
    <x v="3"/>
    <x v="255"/>
  </r>
  <r>
    <x v="1"/>
    <x v="1"/>
    <x v="3"/>
    <x v="0"/>
    <x v="155"/>
  </r>
  <r>
    <x v="3"/>
    <x v="1"/>
    <x v="2"/>
    <x v="5"/>
    <x v="5"/>
  </r>
  <r>
    <x v="4"/>
    <x v="0"/>
    <x v="3"/>
    <x v="1"/>
    <x v="256"/>
  </r>
  <r>
    <x v="4"/>
    <x v="1"/>
    <x v="2"/>
    <x v="10"/>
    <x v="5"/>
  </r>
  <r>
    <x v="4"/>
    <x v="1"/>
    <x v="3"/>
    <x v="20"/>
    <x v="257"/>
  </r>
  <r>
    <x v="4"/>
    <x v="1"/>
    <x v="1"/>
    <x v="5"/>
    <x v="258"/>
  </r>
  <r>
    <x v="5"/>
    <x v="1"/>
    <x v="0"/>
    <x v="5"/>
    <x v="259"/>
  </r>
  <r>
    <x v="5"/>
    <x v="1"/>
    <x v="2"/>
    <x v="7"/>
    <x v="260"/>
  </r>
  <r>
    <x v="5"/>
    <x v="0"/>
    <x v="1"/>
    <x v="7"/>
    <x v="81"/>
  </r>
  <r>
    <x v="5"/>
    <x v="1"/>
    <x v="2"/>
    <x v="15"/>
    <x v="100"/>
  </r>
  <r>
    <x v="5"/>
    <x v="1"/>
    <x v="0"/>
    <x v="15"/>
    <x v="215"/>
  </r>
  <r>
    <x v="6"/>
    <x v="0"/>
    <x v="0"/>
    <x v="3"/>
    <x v="7"/>
  </r>
  <r>
    <x v="6"/>
    <x v="1"/>
    <x v="0"/>
    <x v="13"/>
    <x v="261"/>
  </r>
  <r>
    <x v="6"/>
    <x v="0"/>
    <x v="2"/>
    <x v="5"/>
    <x v="5"/>
  </r>
  <r>
    <x v="6"/>
    <x v="1"/>
    <x v="2"/>
    <x v="5"/>
    <x v="262"/>
  </r>
  <r>
    <x v="11"/>
    <x v="0"/>
    <x v="2"/>
    <x v="4"/>
    <x v="263"/>
  </r>
  <r>
    <x v="11"/>
    <x v="1"/>
    <x v="4"/>
    <x v="5"/>
    <x v="3"/>
  </r>
  <r>
    <x v="7"/>
    <x v="1"/>
    <x v="4"/>
    <x v="4"/>
    <x v="70"/>
  </r>
  <r>
    <x v="7"/>
    <x v="1"/>
    <x v="0"/>
    <x v="4"/>
    <x v="210"/>
  </r>
  <r>
    <x v="7"/>
    <x v="1"/>
    <x v="3"/>
    <x v="8"/>
    <x v="31"/>
  </r>
  <r>
    <x v="8"/>
    <x v="1"/>
    <x v="0"/>
    <x v="5"/>
    <x v="53"/>
  </r>
  <r>
    <x v="8"/>
    <x v="1"/>
    <x v="0"/>
    <x v="4"/>
    <x v="5"/>
  </r>
  <r>
    <x v="9"/>
    <x v="1"/>
    <x v="0"/>
    <x v="7"/>
    <x v="0"/>
  </r>
  <r>
    <x v="10"/>
    <x v="1"/>
    <x v="0"/>
    <x v="1"/>
    <x v="264"/>
  </r>
  <r>
    <x v="10"/>
    <x v="1"/>
    <x v="0"/>
    <x v="1"/>
    <x v="86"/>
  </r>
  <r>
    <x v="0"/>
    <x v="1"/>
    <x v="3"/>
    <x v="1"/>
    <x v="18"/>
  </r>
  <r>
    <x v="0"/>
    <x v="0"/>
    <x v="3"/>
    <x v="4"/>
    <x v="3"/>
  </r>
  <r>
    <x v="0"/>
    <x v="0"/>
    <x v="0"/>
    <x v="8"/>
    <x v="5"/>
  </r>
  <r>
    <x v="0"/>
    <x v="1"/>
    <x v="1"/>
    <x v="2"/>
    <x v="265"/>
  </r>
  <r>
    <x v="1"/>
    <x v="0"/>
    <x v="4"/>
    <x v="4"/>
    <x v="5"/>
  </r>
  <r>
    <x v="1"/>
    <x v="1"/>
    <x v="0"/>
    <x v="11"/>
    <x v="266"/>
  </r>
  <r>
    <x v="2"/>
    <x v="1"/>
    <x v="3"/>
    <x v="1"/>
    <x v="141"/>
  </r>
  <r>
    <x v="2"/>
    <x v="1"/>
    <x v="0"/>
    <x v="0"/>
    <x v="267"/>
  </r>
  <r>
    <x v="2"/>
    <x v="0"/>
    <x v="1"/>
    <x v="4"/>
    <x v="268"/>
  </r>
  <r>
    <x v="4"/>
    <x v="0"/>
    <x v="1"/>
    <x v="4"/>
    <x v="269"/>
  </r>
  <r>
    <x v="5"/>
    <x v="0"/>
    <x v="0"/>
    <x v="1"/>
    <x v="97"/>
  </r>
  <r>
    <x v="5"/>
    <x v="0"/>
    <x v="0"/>
    <x v="5"/>
    <x v="270"/>
  </r>
  <r>
    <x v="5"/>
    <x v="1"/>
    <x v="0"/>
    <x v="5"/>
    <x v="271"/>
  </r>
  <r>
    <x v="5"/>
    <x v="1"/>
    <x v="6"/>
    <x v="6"/>
    <x v="5"/>
  </r>
  <r>
    <x v="5"/>
    <x v="1"/>
    <x v="1"/>
    <x v="6"/>
    <x v="75"/>
  </r>
  <r>
    <x v="6"/>
    <x v="1"/>
    <x v="2"/>
    <x v="11"/>
    <x v="272"/>
  </r>
  <r>
    <x v="6"/>
    <x v="1"/>
    <x v="1"/>
    <x v="12"/>
    <x v="2"/>
  </r>
  <r>
    <x v="11"/>
    <x v="1"/>
    <x v="0"/>
    <x v="5"/>
    <x v="5"/>
  </r>
  <r>
    <x v="11"/>
    <x v="0"/>
    <x v="0"/>
    <x v="1"/>
    <x v="61"/>
  </r>
  <r>
    <x v="11"/>
    <x v="0"/>
    <x v="0"/>
    <x v="3"/>
    <x v="64"/>
  </r>
  <r>
    <x v="11"/>
    <x v="0"/>
    <x v="0"/>
    <x v="3"/>
    <x v="150"/>
  </r>
  <r>
    <x v="11"/>
    <x v="0"/>
    <x v="6"/>
    <x v="4"/>
    <x v="5"/>
  </r>
  <r>
    <x v="7"/>
    <x v="1"/>
    <x v="6"/>
    <x v="3"/>
    <x v="5"/>
  </r>
  <r>
    <x v="8"/>
    <x v="1"/>
    <x v="1"/>
    <x v="10"/>
    <x v="273"/>
  </r>
  <r>
    <x v="8"/>
    <x v="0"/>
    <x v="4"/>
    <x v="11"/>
    <x v="18"/>
  </r>
  <r>
    <x v="10"/>
    <x v="1"/>
    <x v="2"/>
    <x v="5"/>
    <x v="143"/>
  </r>
  <r>
    <x v="10"/>
    <x v="1"/>
    <x v="3"/>
    <x v="8"/>
    <x v="5"/>
  </r>
  <r>
    <x v="0"/>
    <x v="1"/>
    <x v="0"/>
    <x v="3"/>
    <x v="77"/>
  </r>
  <r>
    <x v="0"/>
    <x v="1"/>
    <x v="0"/>
    <x v="11"/>
    <x v="145"/>
  </r>
  <r>
    <x v="0"/>
    <x v="1"/>
    <x v="7"/>
    <x v="3"/>
    <x v="53"/>
  </r>
  <r>
    <x v="1"/>
    <x v="1"/>
    <x v="2"/>
    <x v="15"/>
    <x v="274"/>
  </r>
  <r>
    <x v="1"/>
    <x v="1"/>
    <x v="0"/>
    <x v="7"/>
    <x v="275"/>
  </r>
  <r>
    <x v="2"/>
    <x v="1"/>
    <x v="0"/>
    <x v="5"/>
    <x v="276"/>
  </r>
  <r>
    <x v="2"/>
    <x v="1"/>
    <x v="0"/>
    <x v="11"/>
    <x v="77"/>
  </r>
  <r>
    <x v="3"/>
    <x v="1"/>
    <x v="2"/>
    <x v="15"/>
    <x v="5"/>
  </r>
  <r>
    <x v="3"/>
    <x v="1"/>
    <x v="2"/>
    <x v="6"/>
    <x v="77"/>
  </r>
  <r>
    <x v="3"/>
    <x v="1"/>
    <x v="2"/>
    <x v="17"/>
    <x v="277"/>
  </r>
  <r>
    <x v="3"/>
    <x v="0"/>
    <x v="2"/>
    <x v="4"/>
    <x v="12"/>
  </r>
  <r>
    <x v="3"/>
    <x v="0"/>
    <x v="2"/>
    <x v="4"/>
    <x v="278"/>
  </r>
  <r>
    <x v="3"/>
    <x v="0"/>
    <x v="2"/>
    <x v="4"/>
    <x v="279"/>
  </r>
  <r>
    <x v="4"/>
    <x v="0"/>
    <x v="0"/>
    <x v="8"/>
    <x v="31"/>
  </r>
  <r>
    <x v="4"/>
    <x v="1"/>
    <x v="2"/>
    <x v="4"/>
    <x v="5"/>
  </r>
  <r>
    <x v="4"/>
    <x v="0"/>
    <x v="0"/>
    <x v="15"/>
    <x v="5"/>
  </r>
  <r>
    <x v="5"/>
    <x v="1"/>
    <x v="2"/>
    <x v="4"/>
    <x v="39"/>
  </r>
  <r>
    <x v="6"/>
    <x v="1"/>
    <x v="3"/>
    <x v="8"/>
    <x v="5"/>
  </r>
  <r>
    <x v="6"/>
    <x v="1"/>
    <x v="0"/>
    <x v="8"/>
    <x v="96"/>
  </r>
  <r>
    <x v="6"/>
    <x v="1"/>
    <x v="1"/>
    <x v="23"/>
    <x v="280"/>
  </r>
  <r>
    <x v="6"/>
    <x v="1"/>
    <x v="1"/>
    <x v="23"/>
    <x v="7"/>
  </r>
  <r>
    <x v="11"/>
    <x v="1"/>
    <x v="1"/>
    <x v="11"/>
    <x v="75"/>
  </r>
  <r>
    <x v="11"/>
    <x v="1"/>
    <x v="1"/>
    <x v="3"/>
    <x v="281"/>
  </r>
  <r>
    <x v="11"/>
    <x v="1"/>
    <x v="1"/>
    <x v="3"/>
    <x v="282"/>
  </r>
  <r>
    <x v="11"/>
    <x v="1"/>
    <x v="1"/>
    <x v="13"/>
    <x v="5"/>
  </r>
  <r>
    <x v="11"/>
    <x v="1"/>
    <x v="7"/>
    <x v="3"/>
    <x v="283"/>
  </r>
  <r>
    <x v="11"/>
    <x v="1"/>
    <x v="2"/>
    <x v="3"/>
    <x v="222"/>
  </r>
  <r>
    <x v="11"/>
    <x v="1"/>
    <x v="7"/>
    <x v="5"/>
    <x v="225"/>
  </r>
  <r>
    <x v="11"/>
    <x v="1"/>
    <x v="7"/>
    <x v="7"/>
    <x v="284"/>
  </r>
  <r>
    <x v="7"/>
    <x v="1"/>
    <x v="2"/>
    <x v="3"/>
    <x v="285"/>
  </r>
  <r>
    <x v="7"/>
    <x v="1"/>
    <x v="1"/>
    <x v="4"/>
    <x v="18"/>
  </r>
  <r>
    <x v="8"/>
    <x v="1"/>
    <x v="2"/>
    <x v="2"/>
    <x v="5"/>
  </r>
  <r>
    <x v="8"/>
    <x v="1"/>
    <x v="0"/>
    <x v="5"/>
    <x v="33"/>
  </r>
  <r>
    <x v="9"/>
    <x v="0"/>
    <x v="0"/>
    <x v="8"/>
    <x v="5"/>
  </r>
  <r>
    <x v="9"/>
    <x v="1"/>
    <x v="0"/>
    <x v="7"/>
    <x v="286"/>
  </r>
  <r>
    <x v="9"/>
    <x v="1"/>
    <x v="1"/>
    <x v="3"/>
    <x v="287"/>
  </r>
  <r>
    <x v="9"/>
    <x v="1"/>
    <x v="3"/>
    <x v="0"/>
    <x v="288"/>
  </r>
  <r>
    <x v="10"/>
    <x v="0"/>
    <x v="6"/>
    <x v="8"/>
    <x v="5"/>
  </r>
  <r>
    <x v="10"/>
    <x v="1"/>
    <x v="7"/>
    <x v="0"/>
    <x v="289"/>
  </r>
  <r>
    <x v="10"/>
    <x v="0"/>
    <x v="7"/>
    <x v="17"/>
    <x v="290"/>
  </r>
  <r>
    <x v="10"/>
    <x v="1"/>
    <x v="0"/>
    <x v="15"/>
    <x v="291"/>
  </r>
  <r>
    <x v="10"/>
    <x v="0"/>
    <x v="0"/>
    <x v="15"/>
    <x v="292"/>
  </r>
  <r>
    <x v="0"/>
    <x v="0"/>
    <x v="0"/>
    <x v="5"/>
    <x v="0"/>
  </r>
  <r>
    <x v="0"/>
    <x v="1"/>
    <x v="2"/>
    <x v="4"/>
    <x v="81"/>
  </r>
  <r>
    <x v="1"/>
    <x v="1"/>
    <x v="2"/>
    <x v="5"/>
    <x v="12"/>
  </r>
  <r>
    <x v="1"/>
    <x v="1"/>
    <x v="2"/>
    <x v="1"/>
    <x v="285"/>
  </r>
  <r>
    <x v="2"/>
    <x v="0"/>
    <x v="3"/>
    <x v="4"/>
    <x v="96"/>
  </r>
  <r>
    <x v="2"/>
    <x v="0"/>
    <x v="0"/>
    <x v="8"/>
    <x v="2"/>
  </r>
  <r>
    <x v="2"/>
    <x v="1"/>
    <x v="0"/>
    <x v="15"/>
    <x v="133"/>
  </r>
  <r>
    <x v="2"/>
    <x v="1"/>
    <x v="0"/>
    <x v="8"/>
    <x v="12"/>
  </r>
  <r>
    <x v="2"/>
    <x v="1"/>
    <x v="2"/>
    <x v="3"/>
    <x v="5"/>
  </r>
  <r>
    <x v="2"/>
    <x v="1"/>
    <x v="2"/>
    <x v="11"/>
    <x v="5"/>
  </r>
  <r>
    <x v="3"/>
    <x v="1"/>
    <x v="1"/>
    <x v="5"/>
    <x v="38"/>
  </r>
  <r>
    <x v="4"/>
    <x v="0"/>
    <x v="0"/>
    <x v="5"/>
    <x v="33"/>
  </r>
  <r>
    <x v="4"/>
    <x v="1"/>
    <x v="6"/>
    <x v="3"/>
    <x v="5"/>
  </r>
  <r>
    <x v="4"/>
    <x v="1"/>
    <x v="3"/>
    <x v="13"/>
    <x v="293"/>
  </r>
  <r>
    <x v="6"/>
    <x v="0"/>
    <x v="0"/>
    <x v="5"/>
    <x v="30"/>
  </r>
  <r>
    <x v="6"/>
    <x v="1"/>
    <x v="0"/>
    <x v="11"/>
    <x v="294"/>
  </r>
  <r>
    <x v="11"/>
    <x v="0"/>
    <x v="3"/>
    <x v="4"/>
    <x v="295"/>
  </r>
  <r>
    <x v="11"/>
    <x v="1"/>
    <x v="6"/>
    <x v="5"/>
    <x v="19"/>
  </r>
  <r>
    <x v="7"/>
    <x v="1"/>
    <x v="2"/>
    <x v="1"/>
    <x v="296"/>
  </r>
  <r>
    <x v="7"/>
    <x v="1"/>
    <x v="2"/>
    <x v="11"/>
    <x v="297"/>
  </r>
  <r>
    <x v="7"/>
    <x v="1"/>
    <x v="6"/>
    <x v="5"/>
    <x v="298"/>
  </r>
  <r>
    <x v="7"/>
    <x v="1"/>
    <x v="2"/>
    <x v="11"/>
    <x v="299"/>
  </r>
  <r>
    <x v="7"/>
    <x v="1"/>
    <x v="0"/>
    <x v="4"/>
    <x v="5"/>
  </r>
  <r>
    <x v="7"/>
    <x v="1"/>
    <x v="0"/>
    <x v="3"/>
    <x v="5"/>
  </r>
  <r>
    <x v="7"/>
    <x v="1"/>
    <x v="1"/>
    <x v="10"/>
    <x v="300"/>
  </r>
  <r>
    <x v="7"/>
    <x v="1"/>
    <x v="1"/>
    <x v="1"/>
    <x v="75"/>
  </r>
  <r>
    <x v="8"/>
    <x v="1"/>
    <x v="3"/>
    <x v="1"/>
    <x v="111"/>
  </r>
  <r>
    <x v="8"/>
    <x v="1"/>
    <x v="2"/>
    <x v="10"/>
    <x v="301"/>
  </r>
  <r>
    <x v="8"/>
    <x v="1"/>
    <x v="1"/>
    <x v="8"/>
    <x v="75"/>
  </r>
  <r>
    <x v="9"/>
    <x v="0"/>
    <x v="0"/>
    <x v="5"/>
    <x v="18"/>
  </r>
  <r>
    <x v="9"/>
    <x v="1"/>
    <x v="1"/>
    <x v="1"/>
    <x v="75"/>
  </r>
  <r>
    <x v="9"/>
    <x v="1"/>
    <x v="1"/>
    <x v="8"/>
    <x v="0"/>
  </r>
  <r>
    <x v="9"/>
    <x v="1"/>
    <x v="1"/>
    <x v="8"/>
    <x v="0"/>
  </r>
  <r>
    <x v="9"/>
    <x v="1"/>
    <x v="1"/>
    <x v="5"/>
    <x v="67"/>
  </r>
  <r>
    <x v="9"/>
    <x v="1"/>
    <x v="1"/>
    <x v="4"/>
    <x v="16"/>
  </r>
  <r>
    <x v="9"/>
    <x v="1"/>
    <x v="1"/>
    <x v="4"/>
    <x v="16"/>
  </r>
  <r>
    <x v="9"/>
    <x v="1"/>
    <x v="2"/>
    <x v="15"/>
    <x v="16"/>
  </r>
  <r>
    <x v="9"/>
    <x v="0"/>
    <x v="0"/>
    <x v="3"/>
    <x v="39"/>
  </r>
  <r>
    <x v="9"/>
    <x v="1"/>
    <x v="2"/>
    <x v="11"/>
    <x v="17"/>
  </r>
  <r>
    <x v="10"/>
    <x v="1"/>
    <x v="2"/>
    <x v="11"/>
    <x v="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0FC14-A880-AF48-BAAC-86B78781BB73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59" firstHeaderRow="1" firstDataRow="1" firstDataCol="1"/>
  <pivotFields count="29">
    <pivotField dataField="1" showAll="0">
      <items count="769">
        <item x="417"/>
        <item x="517"/>
        <item x="90"/>
        <item x="665"/>
        <item x="659"/>
        <item x="324"/>
        <item x="73"/>
        <item x="383"/>
        <item x="183"/>
        <item x="246"/>
        <item x="382"/>
        <item x="502"/>
        <item x="648"/>
        <item x="72"/>
        <item x="522"/>
        <item x="50"/>
        <item x="53"/>
        <item x="133"/>
        <item x="57"/>
        <item x="317"/>
        <item x="429"/>
        <item x="1"/>
        <item x="189"/>
        <item x="380"/>
        <item x="101"/>
        <item x="12"/>
        <item x="278"/>
        <item x="124"/>
        <item x="436"/>
        <item x="229"/>
        <item x="452"/>
        <item x="318"/>
        <item x="550"/>
        <item x="327"/>
        <item x="65"/>
        <item x="642"/>
        <item x="304"/>
        <item x="244"/>
        <item x="585"/>
        <item x="519"/>
        <item x="322"/>
        <item x="594"/>
        <item x="105"/>
        <item x="381"/>
        <item x="321"/>
        <item x="387"/>
        <item x="641"/>
        <item x="45"/>
        <item x="457"/>
        <item x="243"/>
        <item x="155"/>
        <item x="378"/>
        <item x="583"/>
        <item x="606"/>
        <item x="335"/>
        <item x="624"/>
        <item x="309"/>
        <item x="540"/>
        <item x="336"/>
        <item x="44"/>
        <item x="486"/>
        <item x="395"/>
        <item x="458"/>
        <item x="487"/>
        <item x="239"/>
        <item x="656"/>
        <item x="541"/>
        <item x="354"/>
        <item x="27"/>
        <item x="375"/>
        <item x="689"/>
        <item x="102"/>
        <item x="75"/>
        <item x="625"/>
        <item x="732"/>
        <item x="295"/>
        <item x="303"/>
        <item x="6"/>
        <item x="683"/>
        <item x="111"/>
        <item x="174"/>
        <item x="190"/>
        <item x="140"/>
        <item x="362"/>
        <item x="614"/>
        <item x="557"/>
        <item x="556"/>
        <item x="702"/>
        <item x="483"/>
        <item x="406"/>
        <item x="672"/>
        <item x="454"/>
        <item x="597"/>
        <item x="537"/>
        <item x="567"/>
        <item x="164"/>
        <item x="372"/>
        <item x="270"/>
        <item x="157"/>
        <item x="385"/>
        <item x="52"/>
        <item x="312"/>
        <item x="626"/>
        <item x="273"/>
        <item x="357"/>
        <item x="258"/>
        <item x="307"/>
        <item x="685"/>
        <item x="456"/>
        <item x="708"/>
        <item x="588"/>
        <item x="289"/>
        <item x="153"/>
        <item x="748"/>
        <item x="755"/>
        <item x="325"/>
        <item x="428"/>
        <item x="165"/>
        <item x="55"/>
        <item x="465"/>
        <item x="471"/>
        <item x="402"/>
        <item x="99"/>
        <item x="440"/>
        <item x="765"/>
        <item x="753"/>
        <item x="420"/>
        <item x="767"/>
        <item x="240"/>
        <item x="451"/>
        <item x="482"/>
        <item x="257"/>
        <item x="489"/>
        <item x="294"/>
        <item x="664"/>
        <item x="535"/>
        <item x="230"/>
        <item x="14"/>
        <item x="501"/>
        <item x="202"/>
        <item x="515"/>
        <item x="256"/>
        <item x="142"/>
        <item x="193"/>
        <item x="311"/>
        <item x="41"/>
        <item x="591"/>
        <item x="131"/>
        <item x="371"/>
        <item x="503"/>
        <item x="215"/>
        <item x="93"/>
        <item x="169"/>
        <item x="89"/>
        <item x="135"/>
        <item x="394"/>
        <item x="159"/>
        <item x="284"/>
        <item x="578"/>
        <item x="158"/>
        <item x="265"/>
        <item x="582"/>
        <item x="449"/>
        <item x="167"/>
        <item x="692"/>
        <item x="424"/>
        <item x="359"/>
        <item x="11"/>
        <item x="379"/>
        <item x="682"/>
        <item x="481"/>
        <item x="701"/>
        <item x="635"/>
        <item x="205"/>
        <item x="491"/>
        <item x="154"/>
        <item x="118"/>
        <item x="175"/>
        <item x="42"/>
        <item x="663"/>
        <item x="572"/>
        <item x="724"/>
        <item x="330"/>
        <item x="376"/>
        <item x="610"/>
        <item x="435"/>
        <item x="300"/>
        <item x="98"/>
        <item x="360"/>
        <item x="674"/>
        <item x="280"/>
        <item x="5"/>
        <item x="227"/>
        <item x="276"/>
        <item x="462"/>
        <item x="10"/>
        <item x="123"/>
        <item x="310"/>
        <item x="328"/>
        <item x="149"/>
        <item x="9"/>
        <item x="636"/>
        <item x="492"/>
        <item x="390"/>
        <item x="405"/>
        <item x="374"/>
        <item x="228"/>
        <item x="530"/>
        <item x="555"/>
        <item x="596"/>
        <item x="358"/>
        <item x="217"/>
        <item x="132"/>
        <item x="450"/>
        <item x="398"/>
        <item x="566"/>
        <item x="348"/>
        <item x="485"/>
        <item x="589"/>
        <item x="199"/>
        <item x="281"/>
        <item x="60"/>
        <item x="122"/>
        <item x="282"/>
        <item x="500"/>
        <item x="516"/>
        <item x="623"/>
        <item x="31"/>
        <item x="548"/>
        <item x="356"/>
        <item x="536"/>
        <item x="533"/>
        <item x="4"/>
        <item x="455"/>
        <item x="470"/>
        <item x="79"/>
        <item x="19"/>
        <item x="758"/>
        <item x="231"/>
        <item x="764"/>
        <item x="746"/>
        <item x="673"/>
        <item x="499"/>
        <item x="710"/>
        <item x="620"/>
        <item x="653"/>
        <item x="619"/>
        <item x="83"/>
        <item x="26"/>
        <item x="25"/>
        <item x="480"/>
        <item x="141"/>
        <item x="85"/>
        <item x="88"/>
        <item x="87"/>
        <item x="762"/>
        <item x="658"/>
        <item x="91"/>
        <item x="513"/>
        <item x="532"/>
        <item x="293"/>
        <item x="209"/>
        <item x="448"/>
        <item x="415"/>
        <item x="498"/>
        <item x="176"/>
        <item x="677"/>
        <item x="241"/>
        <item x="581"/>
        <item x="64"/>
        <item x="86"/>
        <item x="97"/>
        <item x="77"/>
        <item x="461"/>
        <item x="320"/>
        <item x="349"/>
        <item x="514"/>
        <item x="629"/>
        <item x="518"/>
        <item x="242"/>
        <item x="644"/>
        <item x="103"/>
        <item x="218"/>
        <item x="678"/>
        <item x="226"/>
        <item x="301"/>
        <item x="112"/>
        <item x="272"/>
        <item x="433"/>
        <item x="210"/>
        <item x="16"/>
        <item x="671"/>
        <item x="207"/>
        <item x="718"/>
        <item x="571"/>
        <item x="738"/>
        <item x="275"/>
        <item x="82"/>
        <item x="669"/>
        <item x="173"/>
        <item x="178"/>
        <item x="640"/>
        <item x="721"/>
        <item x="191"/>
        <item x="366"/>
        <item x="705"/>
        <item x="203"/>
        <item x="741"/>
        <item x="622"/>
        <item x="554"/>
        <item x="621"/>
        <item x="377"/>
        <item x="681"/>
        <item x="543"/>
        <item x="688"/>
        <item x="287"/>
        <item x="49"/>
        <item x="668"/>
        <item x="723"/>
        <item x="71"/>
        <item x="670"/>
        <item x="662"/>
        <item x="565"/>
        <item x="179"/>
        <item x="70"/>
        <item x="262"/>
        <item x="404"/>
        <item x="116"/>
        <item x="370"/>
        <item x="355"/>
        <item x="180"/>
        <item x="469"/>
        <item x="756"/>
        <item x="525"/>
        <item x="423"/>
        <item x="299"/>
        <item x="48"/>
        <item x="403"/>
        <item x="509"/>
        <item x="521"/>
        <item x="510"/>
        <item x="512"/>
        <item x="421"/>
        <item x="197"/>
        <item x="652"/>
        <item x="549"/>
        <item x="222"/>
        <item x="177"/>
        <item x="38"/>
        <item x="36"/>
        <item x="520"/>
        <item x="37"/>
        <item x="545"/>
        <item x="511"/>
        <item x="128"/>
        <item x="564"/>
        <item x="171"/>
        <item x="577"/>
        <item x="432"/>
        <item x="628"/>
        <item x="386"/>
        <item x="319"/>
        <item x="570"/>
        <item x="580"/>
        <item x="0"/>
        <item x="117"/>
        <item x="211"/>
        <item x="363"/>
        <item x="722"/>
        <item x="182"/>
        <item x="716"/>
        <item x="146"/>
        <item x="305"/>
        <item x="422"/>
        <item x="725"/>
        <item x="655"/>
        <item x="693"/>
        <item x="713"/>
        <item x="694"/>
        <item x="698"/>
        <item x="529"/>
        <item x="600"/>
        <item x="213"/>
        <item x="707"/>
        <item x="195"/>
        <item x="346"/>
        <item x="605"/>
        <item x="553"/>
        <item x="206"/>
        <item x="528"/>
        <item x="657"/>
        <item x="247"/>
        <item x="400"/>
        <item x="476"/>
        <item x="3"/>
        <item x="490"/>
        <item x="397"/>
        <item x="552"/>
        <item x="609"/>
        <item x="661"/>
        <item x="654"/>
        <item x="706"/>
        <item x="539"/>
        <item x="660"/>
        <item x="291"/>
        <item x="697"/>
        <item x="587"/>
        <item x="192"/>
        <item x="66"/>
        <item x="110"/>
        <item x="29"/>
        <item x="249"/>
        <item x="647"/>
        <item x="439"/>
        <item x="208"/>
        <item x="24"/>
        <item x="391"/>
        <item x="531"/>
        <item x="34"/>
        <item x="413"/>
        <item x="56"/>
        <item x="412"/>
        <item x="130"/>
        <item x="496"/>
        <item x="188"/>
        <item x="61"/>
        <item x="333"/>
        <item x="603"/>
        <item x="399"/>
        <item x="196"/>
        <item x="714"/>
        <item x="337"/>
        <item x="58"/>
        <item x="586"/>
        <item x="39"/>
        <item x="562"/>
        <item x="704"/>
        <item x="302"/>
        <item x="51"/>
        <item x="434"/>
        <item x="232"/>
        <item x="263"/>
        <item x="720"/>
        <item x="181"/>
        <item x="264"/>
        <item x="286"/>
        <item x="134"/>
        <item x="214"/>
        <item x="225"/>
        <item x="447"/>
        <item x="238"/>
        <item x="187"/>
        <item x="306"/>
        <item x="59"/>
        <item x="742"/>
        <item x="365"/>
        <item x="709"/>
        <item x="17"/>
        <item x="407"/>
        <item x="497"/>
        <item x="35"/>
        <item x="700"/>
        <item x="618"/>
        <item x="212"/>
        <item x="156"/>
        <item x="676"/>
        <item x="271"/>
        <item x="604"/>
        <item x="675"/>
        <item x="115"/>
        <item x="290"/>
        <item x="690"/>
        <item x="561"/>
        <item x="347"/>
        <item x="563"/>
        <item x="754"/>
        <item x="757"/>
        <item x="426"/>
        <item x="396"/>
        <item x="464"/>
        <item x="468"/>
        <item x="251"/>
        <item x="315"/>
        <item x="438"/>
        <item x="752"/>
        <item x="747"/>
        <item x="638"/>
        <item x="441"/>
        <item x="338"/>
        <item x="384"/>
        <item x="186"/>
        <item x="236"/>
        <item x="538"/>
        <item x="129"/>
        <item x="446"/>
        <item x="493"/>
        <item x="40"/>
        <item x="308"/>
        <item x="163"/>
        <item x="634"/>
        <item x="76"/>
        <item x="84"/>
        <item x="2"/>
        <item x="460"/>
        <item x="579"/>
        <item x="473"/>
        <item x="633"/>
        <item x="253"/>
        <item x="730"/>
        <item x="22"/>
        <item x="680"/>
        <item x="23"/>
        <item x="145"/>
        <item x="81"/>
        <item x="599"/>
        <item x="161"/>
        <item x="569"/>
        <item x="495"/>
        <item x="373"/>
        <item x="194"/>
        <item x="699"/>
        <item x="170"/>
        <item x="733"/>
        <item x="30"/>
        <item x="367"/>
        <item x="639"/>
        <item x="168"/>
        <item x="494"/>
        <item x="576"/>
        <item x="445"/>
        <item x="268"/>
        <item x="254"/>
        <item x="344"/>
        <item x="95"/>
        <item x="437"/>
        <item x="651"/>
        <item x="361"/>
        <item x="414"/>
        <item x="575"/>
        <item x="632"/>
        <item x="612"/>
        <item x="736"/>
        <item x="127"/>
        <item x="250"/>
        <item x="43"/>
        <item x="534"/>
        <item x="126"/>
        <item x="602"/>
        <item x="728"/>
        <item x="150"/>
        <item x="419"/>
        <item x="401"/>
        <item x="667"/>
        <item x="444"/>
        <item x="544"/>
        <item x="477"/>
        <item x="296"/>
        <item x="160"/>
        <item x="80"/>
        <item x="285"/>
        <item x="601"/>
        <item x="568"/>
        <item x="484"/>
        <item x="727"/>
        <item x="255"/>
        <item x="408"/>
        <item x="527"/>
        <item x="252"/>
        <item x="613"/>
        <item x="288"/>
        <item x="185"/>
        <item x="547"/>
        <item x="28"/>
        <item x="715"/>
        <item x="427"/>
        <item x="198"/>
        <item x="745"/>
        <item x="729"/>
        <item x="617"/>
        <item x="292"/>
        <item x="353"/>
        <item x="388"/>
        <item x="121"/>
        <item x="104"/>
        <item x="224"/>
        <item x="267"/>
        <item x="136"/>
        <item x="711"/>
        <item x="364"/>
        <item x="666"/>
        <item x="78"/>
        <item x="221"/>
        <item x="608"/>
        <item x="598"/>
        <item x="475"/>
        <item x="162"/>
        <item x="611"/>
        <item x="269"/>
        <item x="351"/>
        <item x="62"/>
        <item x="201"/>
        <item x="574"/>
        <item x="20"/>
        <item x="339"/>
        <item x="761"/>
        <item x="751"/>
        <item x="650"/>
        <item x="712"/>
        <item x="472"/>
        <item x="148"/>
        <item x="63"/>
        <item x="332"/>
        <item x="560"/>
        <item x="630"/>
        <item x="459"/>
        <item x="283"/>
        <item x="260"/>
        <item x="508"/>
        <item x="443"/>
        <item x="590"/>
        <item x="147"/>
        <item x="139"/>
        <item x="261"/>
        <item x="106"/>
        <item x="607"/>
        <item x="744"/>
        <item x="341"/>
        <item x="184"/>
        <item x="631"/>
        <item x="329"/>
        <item x="425"/>
        <item x="46"/>
        <item x="94"/>
        <item x="219"/>
        <item x="524"/>
        <item x="316"/>
        <item x="234"/>
        <item x="637"/>
        <item x="33"/>
        <item x="559"/>
        <item x="200"/>
        <item x="204"/>
        <item x="691"/>
        <item x="47"/>
        <item x="616"/>
        <item x="343"/>
        <item x="595"/>
        <item x="334"/>
        <item x="109"/>
        <item x="8"/>
        <item x="108"/>
        <item x="369"/>
        <item x="69"/>
        <item x="368"/>
        <item x="467"/>
        <item x="763"/>
        <item x="393"/>
        <item x="719"/>
        <item x="125"/>
        <item x="506"/>
        <item x="54"/>
        <item x="442"/>
        <item x="340"/>
        <item x="245"/>
        <item x="277"/>
        <item x="13"/>
        <item x="542"/>
        <item x="100"/>
        <item x="743"/>
        <item x="731"/>
        <item x="507"/>
        <item x="74"/>
        <item x="478"/>
        <item x="92"/>
        <item x="7"/>
        <item x="248"/>
        <item x="18"/>
        <item x="750"/>
        <item x="68"/>
        <item x="326"/>
        <item x="505"/>
        <item x="735"/>
        <item x="352"/>
        <item x="734"/>
        <item x="584"/>
        <item x="223"/>
        <item x="96"/>
        <item x="345"/>
        <item x="695"/>
        <item x="523"/>
        <item x="739"/>
        <item x="237"/>
        <item x="479"/>
        <item x="488"/>
        <item x="279"/>
        <item x="259"/>
        <item x="558"/>
        <item x="418"/>
        <item x="463"/>
        <item x="314"/>
        <item x="220"/>
        <item x="342"/>
        <item x="67"/>
        <item x="615"/>
        <item x="274"/>
        <item x="15"/>
        <item x="113"/>
        <item x="166"/>
        <item x="331"/>
        <item x="703"/>
        <item x="687"/>
        <item x="143"/>
        <item x="266"/>
        <item x="646"/>
        <item x="313"/>
        <item x="649"/>
        <item x="684"/>
        <item x="120"/>
        <item x="627"/>
        <item x="323"/>
        <item x="138"/>
        <item x="717"/>
        <item x="453"/>
        <item x="216"/>
        <item x="551"/>
        <item x="107"/>
        <item x="474"/>
        <item x="411"/>
        <item x="152"/>
        <item x="233"/>
        <item x="137"/>
        <item x="504"/>
        <item x="392"/>
        <item x="526"/>
        <item x="431"/>
        <item x="144"/>
        <item x="235"/>
        <item x="389"/>
        <item x="119"/>
        <item x="416"/>
        <item x="740"/>
        <item x="592"/>
        <item x="593"/>
        <item x="573"/>
        <item x="737"/>
        <item x="645"/>
        <item x="546"/>
        <item x="766"/>
        <item x="466"/>
        <item x="643"/>
        <item x="749"/>
        <item x="172"/>
        <item x="430"/>
        <item x="409"/>
        <item x="686"/>
        <item x="410"/>
        <item x="350"/>
        <item x="760"/>
        <item x="679"/>
        <item x="297"/>
        <item x="298"/>
        <item x="32"/>
        <item x="726"/>
        <item x="114"/>
        <item x="759"/>
        <item x="696"/>
        <item x="21"/>
        <item x="15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8">
        <item x="4"/>
        <item x="0"/>
        <item x="49"/>
        <item x="39"/>
        <item x="26"/>
        <item x="50"/>
        <item x="1"/>
        <item x="51"/>
        <item x="27"/>
        <item x="52"/>
        <item x="15"/>
        <item x="53"/>
        <item x="28"/>
        <item x="5"/>
        <item x="54"/>
        <item x="29"/>
        <item x="40"/>
        <item x="23"/>
        <item x="48"/>
        <item x="30"/>
        <item x="31"/>
        <item x="32"/>
        <item x="6"/>
        <item x="7"/>
        <item x="8"/>
        <item x="24"/>
        <item x="33"/>
        <item x="9"/>
        <item x="10"/>
        <item x="34"/>
        <item x="35"/>
        <item x="11"/>
        <item x="2"/>
        <item x="12"/>
        <item x="22"/>
        <item x="13"/>
        <item x="41"/>
        <item x="42"/>
        <item x="36"/>
        <item x="14"/>
        <item x="37"/>
        <item x="43"/>
        <item x="44"/>
        <item x="55"/>
        <item x="17"/>
        <item x="18"/>
        <item x="19"/>
        <item x="45"/>
        <item x="20"/>
        <item x="16"/>
        <item x="3"/>
        <item x="46"/>
        <item x="21"/>
        <item x="25"/>
        <item x="38"/>
        <item x="47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Items count="1">
    <i/>
  </colItems>
  <dataFields count="1">
    <dataField name="Count of title" fld="0" subtotal="count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636AE-BB36-D745-AE60-45860D1A8A55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1:B10" firstHeaderRow="1" firstDataRow="1" firstDataCol="1"/>
  <pivotFields count="29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6"/>
        <item x="1"/>
        <item x="2"/>
        <item x="7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title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732893-095C-A94C-9D2B-BB54DABC39E5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308" firstHeaderRow="1" firstDataRow="1" firstDataCol="1"/>
  <pivotFields count="6">
    <pivotField axis="axisRow" showAll="0">
      <items count="307">
        <item x="0"/>
        <item x="283"/>
        <item x="211"/>
        <item x="133"/>
        <item x="226"/>
        <item x="254"/>
        <item x="134"/>
        <item x="114"/>
        <item x="48"/>
        <item x="227"/>
        <item x="1"/>
        <item x="255"/>
        <item x="284"/>
        <item x="2"/>
        <item x="189"/>
        <item x="95"/>
        <item x="49"/>
        <item x="50"/>
        <item x="51"/>
        <item x="238"/>
        <item x="256"/>
        <item x="3"/>
        <item x="75"/>
        <item x="300"/>
        <item x="212"/>
        <item x="26"/>
        <item x="199"/>
        <item x="96"/>
        <item x="270"/>
        <item x="289"/>
        <item x="261"/>
        <item x="97"/>
        <item x="285"/>
        <item x="135"/>
        <item x="294"/>
        <item x="27"/>
        <item x="4"/>
        <item x="5"/>
        <item x="149"/>
        <item x="98"/>
        <item x="239"/>
        <item x="228"/>
        <item x="99"/>
        <item x="136"/>
        <item x="262"/>
        <item x="115"/>
        <item x="6"/>
        <item x="150"/>
        <item x="100"/>
        <item x="171"/>
        <item x="7"/>
        <item x="28"/>
        <item x="29"/>
        <item x="30"/>
        <item x="229"/>
        <item x="76"/>
        <item x="290"/>
        <item x="160"/>
        <item x="172"/>
        <item x="31"/>
        <item x="301"/>
        <item x="116"/>
        <item x="173"/>
        <item x="8"/>
        <item x="101"/>
        <item x="200"/>
        <item x="302"/>
        <item x="9"/>
        <item x="52"/>
        <item x="271"/>
        <item x="32"/>
        <item x="240"/>
        <item x="174"/>
        <item x="33"/>
        <item x="117"/>
        <item x="175"/>
        <item x="176"/>
        <item x="272"/>
        <item x="230"/>
        <item x="53"/>
        <item x="213"/>
        <item x="241"/>
        <item x="177"/>
        <item x="214"/>
        <item x="257"/>
        <item x="215"/>
        <item x="201"/>
        <item x="34"/>
        <item x="10"/>
        <item x="118"/>
        <item x="202"/>
        <item x="77"/>
        <item x="231"/>
        <item x="242"/>
        <item x="35"/>
        <item x="203"/>
        <item x="119"/>
        <item x="120"/>
        <item x="178"/>
        <item x="36"/>
        <item x="37"/>
        <item x="78"/>
        <item x="243"/>
        <item x="11"/>
        <item x="273"/>
        <item x="79"/>
        <item x="151"/>
        <item x="102"/>
        <item x="232"/>
        <item x="103"/>
        <item x="291"/>
        <item x="121"/>
        <item x="258"/>
        <item x="104"/>
        <item x="244"/>
        <item x="54"/>
        <item x="122"/>
        <item x="216"/>
        <item x="217"/>
        <item x="55"/>
        <item x="179"/>
        <item x="123"/>
        <item x="245"/>
        <item x="246"/>
        <item x="286"/>
        <item x="204"/>
        <item x="274"/>
        <item x="180"/>
        <item x="287"/>
        <item x="190"/>
        <item x="80"/>
        <item x="56"/>
        <item x="81"/>
        <item x="105"/>
        <item x="263"/>
        <item x="106"/>
        <item x="57"/>
        <item x="38"/>
        <item x="39"/>
        <item x="58"/>
        <item x="40"/>
        <item x="12"/>
        <item x="218"/>
        <item x="13"/>
        <item x="152"/>
        <item x="233"/>
        <item x="247"/>
        <item x="82"/>
        <item x="124"/>
        <item x="153"/>
        <item x="59"/>
        <item x="14"/>
        <item x="125"/>
        <item x="161"/>
        <item x="126"/>
        <item x="205"/>
        <item x="181"/>
        <item x="60"/>
        <item x="137"/>
        <item x="127"/>
        <item x="182"/>
        <item x="154"/>
        <item x="264"/>
        <item x="219"/>
        <item x="292"/>
        <item x="155"/>
        <item x="107"/>
        <item x="15"/>
        <item x="248"/>
        <item x="16"/>
        <item x="259"/>
        <item x="41"/>
        <item x="128"/>
        <item x="83"/>
        <item x="275"/>
        <item x="303"/>
        <item x="138"/>
        <item x="42"/>
        <item x="61"/>
        <item x="162"/>
        <item x="234"/>
        <item x="220"/>
        <item x="43"/>
        <item x="139"/>
        <item x="108"/>
        <item x="276"/>
        <item x="293"/>
        <item x="277"/>
        <item x="191"/>
        <item x="62"/>
        <item x="295"/>
        <item x="129"/>
        <item x="156"/>
        <item x="206"/>
        <item x="207"/>
        <item x="84"/>
        <item x="278"/>
        <item x="221"/>
        <item x="208"/>
        <item x="17"/>
        <item x="222"/>
        <item x="192"/>
        <item x="85"/>
        <item x="183"/>
        <item x="163"/>
        <item x="109"/>
        <item x="86"/>
        <item x="164"/>
        <item x="249"/>
        <item x="44"/>
        <item x="304"/>
        <item x="193"/>
        <item x="235"/>
        <item x="194"/>
        <item x="265"/>
        <item x="140"/>
        <item x="63"/>
        <item x="296"/>
        <item x="223"/>
        <item x="64"/>
        <item x="110"/>
        <item x="65"/>
        <item x="130"/>
        <item x="66"/>
        <item x="165"/>
        <item x="18"/>
        <item x="266"/>
        <item x="224"/>
        <item x="111"/>
        <item x="195"/>
        <item x="87"/>
        <item x="250"/>
        <item x="166"/>
        <item x="141"/>
        <item x="45"/>
        <item x="297"/>
        <item x="67"/>
        <item x="279"/>
        <item x="196"/>
        <item x="88"/>
        <item x="157"/>
        <item x="131"/>
        <item x="19"/>
        <item x="132"/>
        <item x="184"/>
        <item x="280"/>
        <item x="46"/>
        <item x="142"/>
        <item x="185"/>
        <item x="251"/>
        <item x="197"/>
        <item x="288"/>
        <item x="167"/>
        <item x="20"/>
        <item x="260"/>
        <item x="168"/>
        <item x="68"/>
        <item x="186"/>
        <item x="236"/>
        <item x="298"/>
        <item x="21"/>
        <item x="299"/>
        <item x="89"/>
        <item x="198"/>
        <item x="169"/>
        <item x="22"/>
        <item x="90"/>
        <item x="143"/>
        <item x="112"/>
        <item x="69"/>
        <item x="113"/>
        <item x="237"/>
        <item x="91"/>
        <item x="225"/>
        <item x="252"/>
        <item x="70"/>
        <item x="92"/>
        <item x="144"/>
        <item x="93"/>
        <item x="145"/>
        <item x="281"/>
        <item x="187"/>
        <item x="158"/>
        <item x="209"/>
        <item x="159"/>
        <item x="188"/>
        <item x="170"/>
        <item x="146"/>
        <item x="23"/>
        <item x="267"/>
        <item x="47"/>
        <item x="268"/>
        <item x="94"/>
        <item x="269"/>
        <item x="147"/>
        <item x="253"/>
        <item x="24"/>
        <item x="148"/>
        <item x="210"/>
        <item x="71"/>
        <item x="25"/>
        <item x="72"/>
        <item x="73"/>
        <item x="74"/>
        <item x="282"/>
        <item x="305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0"/>
  </rowFields>
  <rowItems count="3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 t="grand">
      <x/>
    </i>
  </rowItems>
  <colItems count="1">
    <i/>
  </colItems>
  <dataFields count="1">
    <dataField name="Sum of tsunami" fld="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A33949-79CF-A74B-BE1E-1CEFEECE5184}" name="PivotTable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15" firstHeaderRow="1" firstDataRow="1" firstDataCol="1"/>
  <pivotFields count="5">
    <pivotField axis="axisRow" showAll="0">
      <items count="14">
        <item x="0"/>
        <item x="1"/>
        <item x="2"/>
        <item x="3"/>
        <item x="4"/>
        <item x="5"/>
        <item x="6"/>
        <item x="11"/>
        <item x="7"/>
        <item x="8"/>
        <item x="9"/>
        <item x="10"/>
        <item x="12"/>
        <item t="default"/>
      </items>
    </pivotField>
    <pivotField dataField="1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tsunami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4E607F-03EF-4240-BE9A-9969ACC0E8AC}" name="PivotTable8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J788:K801" firstHeaderRow="1" firstDataRow="1" firstDataCol="1"/>
  <pivotFields count="5">
    <pivotField axis="axisRow" showAll="0">
      <items count="13">
        <item x="0"/>
        <item x="1"/>
        <item x="2"/>
        <item x="3"/>
        <item x="4"/>
        <item x="5"/>
        <item x="6"/>
        <item x="11"/>
        <item x="7"/>
        <item x="8"/>
        <item x="9"/>
        <item x="10"/>
        <item t="default"/>
      </items>
    </pivotField>
    <pivotField dataField="1" showAll="0">
      <items count="3">
        <item x="0"/>
        <item x="1"/>
        <item t="default"/>
      </items>
    </pivotField>
    <pivotField showAll="0">
      <items count="9">
        <item x="5"/>
        <item x="0"/>
        <item x="4"/>
        <item x="1"/>
        <item x="2"/>
        <item x="3"/>
        <item x="7"/>
        <item x="6"/>
        <item t="default"/>
      </items>
    </pivotField>
    <pivotField showAll="0">
      <items count="25">
        <item x="4"/>
        <item x="5"/>
        <item x="8"/>
        <item x="1"/>
        <item x="3"/>
        <item x="11"/>
        <item x="7"/>
        <item x="13"/>
        <item x="15"/>
        <item x="6"/>
        <item x="0"/>
        <item x="10"/>
        <item x="2"/>
        <item x="12"/>
        <item x="14"/>
        <item x="20"/>
        <item x="17"/>
        <item x="16"/>
        <item x="23"/>
        <item x="21"/>
        <item x="9"/>
        <item x="19"/>
        <item x="22"/>
        <item x="18"/>
        <item t="default"/>
      </items>
    </pivotField>
    <pivotField showAll="0">
      <items count="304">
        <item x="269"/>
        <item x="22"/>
        <item x="20"/>
        <item x="234"/>
        <item x="284"/>
        <item x="172"/>
        <item x="126"/>
        <item x="225"/>
        <item x="93"/>
        <item x="81"/>
        <item x="154"/>
        <item x="184"/>
        <item x="42"/>
        <item x="209"/>
        <item x="146"/>
        <item x="151"/>
        <item x="99"/>
        <item x="158"/>
        <item x="159"/>
        <item x="110"/>
        <item x="5"/>
        <item x="114"/>
        <item x="31"/>
        <item x="186"/>
        <item x="33"/>
        <item x="268"/>
        <item x="210"/>
        <item x="195"/>
        <item x="30"/>
        <item x="276"/>
        <item x="47"/>
        <item x="139"/>
        <item x="17"/>
        <item x="231"/>
        <item x="291"/>
        <item x="168"/>
        <item x="265"/>
        <item x="53"/>
        <item x="216"/>
        <item x="113"/>
        <item x="264"/>
        <item x="3"/>
        <item x="54"/>
        <item x="217"/>
        <item x="179"/>
        <item x="250"/>
        <item x="45"/>
        <item x="283"/>
        <item x="10"/>
        <item x="43"/>
        <item x="86"/>
        <item x="125"/>
        <item x="261"/>
        <item x="67"/>
        <item x="157"/>
        <item x="230"/>
        <item x="213"/>
        <item x="75"/>
        <item x="117"/>
        <item x="235"/>
        <item x="203"/>
        <item x="282"/>
        <item x="18"/>
        <item x="243"/>
        <item x="61"/>
        <item x="170"/>
        <item x="191"/>
        <item x="181"/>
        <item x="290"/>
        <item x="237"/>
        <item x="108"/>
        <item x="185"/>
        <item x="79"/>
        <item x="12"/>
        <item x="169"/>
        <item x="25"/>
        <item x="39"/>
        <item x="138"/>
        <item x="233"/>
        <item x="94"/>
        <item x="48"/>
        <item x="64"/>
        <item x="174"/>
        <item x="300"/>
        <item x="38"/>
        <item x="92"/>
        <item x="207"/>
        <item x="56"/>
        <item x="2"/>
        <item x="273"/>
        <item x="192"/>
        <item x="162"/>
        <item x="116"/>
        <item x="84"/>
        <item x="277"/>
        <item x="58"/>
        <item x="204"/>
        <item x="19"/>
        <item x="73"/>
        <item x="28"/>
        <item x="103"/>
        <item x="37"/>
        <item x="24"/>
        <item x="0"/>
        <item x="281"/>
        <item x="294"/>
        <item x="238"/>
        <item x="32"/>
        <item x="7"/>
        <item x="6"/>
        <item x="15"/>
        <item x="16"/>
        <item x="70"/>
        <item x="223"/>
        <item x="78"/>
        <item x="27"/>
        <item x="55"/>
        <item x="59"/>
        <item x="85"/>
        <item x="41"/>
        <item x="90"/>
        <item x="130"/>
        <item x="133"/>
        <item x="156"/>
        <item x="123"/>
        <item x="124"/>
        <item x="77"/>
        <item x="259"/>
        <item x="171"/>
        <item x="275"/>
        <item x="112"/>
        <item x="165"/>
        <item x="91"/>
        <item x="100"/>
        <item x="280"/>
        <item x="249"/>
        <item x="289"/>
        <item x="226"/>
        <item x="190"/>
        <item x="255"/>
        <item x="9"/>
        <item x="287"/>
        <item x="8"/>
        <item x="88"/>
        <item x="176"/>
        <item x="29"/>
        <item x="71"/>
        <item x="286"/>
        <item x="153"/>
        <item x="267"/>
        <item x="258"/>
        <item x="127"/>
        <item x="1"/>
        <item x="251"/>
        <item x="72"/>
        <item x="180"/>
        <item x="11"/>
        <item x="254"/>
        <item x="102"/>
        <item x="44"/>
        <item x="76"/>
        <item x="34"/>
        <item x="40"/>
        <item x="187"/>
        <item x="272"/>
        <item x="206"/>
        <item x="120"/>
        <item x="145"/>
        <item x="106"/>
        <item x="211"/>
        <item x="98"/>
        <item x="199"/>
        <item x="26"/>
        <item x="65"/>
        <item x="121"/>
        <item x="135"/>
        <item x="222"/>
        <item x="52"/>
        <item x="218"/>
        <item x="97"/>
        <item x="178"/>
        <item x="14"/>
        <item x="49"/>
        <item x="163"/>
        <item x="143"/>
        <item x="95"/>
        <item x="173"/>
        <item x="96"/>
        <item x="224"/>
        <item x="141"/>
        <item x="35"/>
        <item x="66"/>
        <item x="62"/>
        <item x="301"/>
        <item x="129"/>
        <item x="166"/>
        <item x="80"/>
        <item x="175"/>
        <item x="257"/>
        <item x="87"/>
        <item x="4"/>
        <item x="23"/>
        <item x="200"/>
        <item x="288"/>
        <item x="107"/>
        <item x="13"/>
        <item x="247"/>
        <item x="132"/>
        <item x="128"/>
        <item x="202"/>
        <item x="299"/>
        <item x="266"/>
        <item x="155"/>
        <item x="260"/>
        <item x="241"/>
        <item x="68"/>
        <item x="74"/>
        <item x="219"/>
        <item x="137"/>
        <item x="89"/>
        <item x="271"/>
        <item x="292"/>
        <item x="122"/>
        <item x="227"/>
        <item x="136"/>
        <item x="148"/>
        <item x="36"/>
        <item x="109"/>
        <item x="201"/>
        <item x="262"/>
        <item x="119"/>
        <item x="161"/>
        <item x="46"/>
        <item x="51"/>
        <item x="208"/>
        <item x="131"/>
        <item x="140"/>
        <item x="57"/>
        <item x="101"/>
        <item x="63"/>
        <item x="118"/>
        <item x="215"/>
        <item x="182"/>
        <item x="111"/>
        <item x="194"/>
        <item x="69"/>
        <item x="21"/>
        <item x="50"/>
        <item x="193"/>
        <item x="293"/>
        <item x="279"/>
        <item x="252"/>
        <item x="83"/>
        <item x="104"/>
        <item x="278"/>
        <item x="82"/>
        <item x="160"/>
        <item x="152"/>
        <item x="144"/>
        <item x="205"/>
        <item x="221"/>
        <item x="164"/>
        <item x="189"/>
        <item x="246"/>
        <item x="212"/>
        <item x="60"/>
        <item x="274"/>
        <item x="239"/>
        <item x="270"/>
        <item x="285"/>
        <item x="248"/>
        <item x="245"/>
        <item x="183"/>
        <item x="229"/>
        <item x="232"/>
        <item x="256"/>
        <item x="142"/>
        <item x="244"/>
        <item x="263"/>
        <item x="115"/>
        <item x="302"/>
        <item x="134"/>
        <item x="253"/>
        <item x="105"/>
        <item x="220"/>
        <item x="214"/>
        <item x="149"/>
        <item x="240"/>
        <item x="147"/>
        <item x="198"/>
        <item x="196"/>
        <item x="167"/>
        <item x="177"/>
        <item x="197"/>
        <item x="295"/>
        <item x="150"/>
        <item x="298"/>
        <item x="228"/>
        <item x="242"/>
        <item x="296"/>
        <item x="297"/>
        <item x="188"/>
        <item x="236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tsunami" fld="1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259B5-9626-DF4E-8DE7-74407DDB1090}">
  <dimension ref="A1:K11"/>
  <sheetViews>
    <sheetView zoomScale="208" workbookViewId="0">
      <selection activeCell="C23" sqref="C23"/>
    </sheetView>
  </sheetViews>
  <sheetFormatPr baseColWidth="10" defaultRowHeight="16"/>
  <sheetData>
    <row r="1" spans="1:11">
      <c r="A1" s="7"/>
      <c r="B1" s="7" t="s">
        <v>1751</v>
      </c>
      <c r="C1" s="7" t="s">
        <v>1</v>
      </c>
      <c r="D1" s="7" t="s">
        <v>9</v>
      </c>
      <c r="E1" s="7" t="s">
        <v>10</v>
      </c>
      <c r="F1" s="7" t="s">
        <v>11</v>
      </c>
      <c r="G1" s="7" t="s">
        <v>13</v>
      </c>
      <c r="H1" s="7" t="s">
        <v>3</v>
      </c>
      <c r="I1" s="7" t="s">
        <v>4</v>
      </c>
      <c r="J1" s="7" t="s">
        <v>6</v>
      </c>
      <c r="K1" s="7" t="s">
        <v>7</v>
      </c>
    </row>
    <row r="2" spans="1:11">
      <c r="A2" t="s">
        <v>1751</v>
      </c>
      <c r="B2">
        <f>VARP('Updated earthquake_data'!$T$2:$T$1048576)</f>
        <v>2.8004591806699328</v>
      </c>
    </row>
    <row r="3" spans="1:11">
      <c r="A3" t="s">
        <v>1</v>
      </c>
      <c r="B3">
        <v>2.2872168549394622E-2</v>
      </c>
      <c r="C3">
        <f>VARP('Updated earthquake_data'!$U$2:$U$1048576)</f>
        <v>0.19822891268372098</v>
      </c>
    </row>
    <row r="4" spans="1:11">
      <c r="A4" t="s">
        <v>9</v>
      </c>
      <c r="B4">
        <v>-83.088143719624711</v>
      </c>
      <c r="C4">
        <v>12.591866288158711</v>
      </c>
      <c r="D4">
        <f>VARP('Updated earthquake_data'!$V$2:$V$1048576)</f>
        <v>62514.080402404485</v>
      </c>
    </row>
    <row r="5" spans="1:11">
      <c r="A5" t="s">
        <v>10</v>
      </c>
      <c r="B5">
        <v>0.81843195782340938</v>
      </c>
      <c r="C5">
        <v>-9.0236626259770705E-2</v>
      </c>
      <c r="D5">
        <v>-293.48813563207318</v>
      </c>
      <c r="E5">
        <f>VARP('Updated earthquake_data'!$W$2:$W$1048576)</f>
        <v>4.9167999183244797</v>
      </c>
    </row>
    <row r="6" spans="1:11">
      <c r="A6" t="s">
        <v>11</v>
      </c>
      <c r="B6">
        <v>2.5419013481073445</v>
      </c>
      <c r="C6">
        <v>-1.1924167659813825</v>
      </c>
      <c r="D6">
        <v>-719.17738106762829</v>
      </c>
      <c r="E6">
        <v>-1.177393567570971</v>
      </c>
      <c r="F6">
        <f>VARP('Updated earthquake_data'!$X$2:$X$1048576)</f>
        <v>586.10340831447331</v>
      </c>
    </row>
    <row r="7" spans="1:11">
      <c r="A7" t="s">
        <v>13</v>
      </c>
      <c r="B7">
        <v>15.017602740039663</v>
      </c>
      <c r="C7">
        <v>1.871780568350544</v>
      </c>
      <c r="D7">
        <v>-4184.1131676467248</v>
      </c>
      <c r="E7">
        <v>51.27195069883534</v>
      </c>
      <c r="F7">
        <v>-371.69344597494114</v>
      </c>
      <c r="G7">
        <f>VARP('Updated earthquake_data'!$Y$2:$Y$1048576)</f>
        <v>18820.897736538205</v>
      </c>
    </row>
    <row r="8" spans="1:11">
      <c r="A8" t="s">
        <v>3</v>
      </c>
      <c r="B8">
        <v>-0.23224926576880048</v>
      </c>
      <c r="C8">
        <v>0.295557917596038</v>
      </c>
      <c r="D8">
        <v>-138.9417095649562</v>
      </c>
      <c r="E8">
        <v>4.6036450953679933E-2</v>
      </c>
      <c r="F8">
        <v>7.5269740026556677</v>
      </c>
      <c r="G8">
        <v>-42.543737936695898</v>
      </c>
      <c r="H8">
        <f>VARP('Updated earthquake_data'!$Z$2:$Z$1048576)</f>
        <v>10.035663359083209</v>
      </c>
    </row>
    <row r="9" spans="1:11">
      <c r="A9" t="s">
        <v>4</v>
      </c>
      <c r="B9">
        <v>-0.37980847848980515</v>
      </c>
      <c r="C9">
        <v>0.18584591937520042</v>
      </c>
      <c r="D9">
        <v>58.630457676231906</v>
      </c>
      <c r="E9">
        <v>-0.96940290056972489</v>
      </c>
      <c r="F9">
        <v>-0.55643003381715106</v>
      </c>
      <c r="G9">
        <v>-101.16101331754751</v>
      </c>
      <c r="H9">
        <v>1.4723085275475725</v>
      </c>
      <c r="I9">
        <f>VARP('Updated earthquake_data'!$AA$2:$AA$1048576)</f>
        <v>2.1368253739836867</v>
      </c>
    </row>
    <row r="10" spans="1:11">
      <c r="A10" t="s">
        <v>6</v>
      </c>
      <c r="B10">
        <v>0.23342665210196351</v>
      </c>
      <c r="C10">
        <v>-1.0256997272388344E-3</v>
      </c>
      <c r="D10">
        <v>-73.156258789516599</v>
      </c>
      <c r="E10">
        <v>0.43317220709898702</v>
      </c>
      <c r="F10">
        <v>1.3732060229851974</v>
      </c>
      <c r="G10">
        <v>3.7994544187963166</v>
      </c>
      <c r="H10">
        <v>0.24748987774805337</v>
      </c>
      <c r="I10">
        <v>-0.10500650833000824</v>
      </c>
      <c r="J10">
        <f>VARP('Updated earthquake_data'!$AB$2:$AB$1048576)</f>
        <v>0.23762272617264407</v>
      </c>
    </row>
    <row r="11" spans="1:11" ht="17" thickBot="1">
      <c r="A11" s="6" t="s">
        <v>7</v>
      </c>
      <c r="B11" s="6">
        <v>-37.791337707105527</v>
      </c>
      <c r="C11" s="6">
        <v>74.016680751695645</v>
      </c>
      <c r="D11" s="6">
        <v>-2425.2970643834101</v>
      </c>
      <c r="E11" s="6">
        <v>-68.111418909624163</v>
      </c>
      <c r="F11" s="6">
        <v>891.62721978205388</v>
      </c>
      <c r="G11" s="6">
        <v>-3920.0234730901789</v>
      </c>
      <c r="H11" s="6">
        <v>489.81026909818723</v>
      </c>
      <c r="I11" s="6">
        <v>208.41437784943852</v>
      </c>
      <c r="J11" s="6">
        <v>-2.4348382074947148</v>
      </c>
      <c r="K11" s="6">
        <f>VARP('Updated earthquake_data'!$AC$2:$AC$1048576)</f>
        <v>103850.94087067719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A560-065E-6143-B101-CD5B0E486590}">
  <dimension ref="A1:B59"/>
  <sheetViews>
    <sheetView workbookViewId="0"/>
  </sheetViews>
  <sheetFormatPr baseColWidth="10" defaultRowHeight="16"/>
  <cols>
    <col min="1" max="1" width="17" bestFit="1" customWidth="1"/>
    <col min="2" max="2" width="11.83203125" bestFit="1" customWidth="1"/>
  </cols>
  <sheetData>
    <row r="1" spans="1:2">
      <c r="A1" s="4" t="s">
        <v>1746</v>
      </c>
      <c r="B1" t="s">
        <v>1748</v>
      </c>
    </row>
    <row r="2" spans="1:2">
      <c r="A2" s="5" t="s">
        <v>649</v>
      </c>
      <c r="B2">
        <v>6</v>
      </c>
    </row>
    <row r="3" spans="1:2">
      <c r="A3" s="5" t="s">
        <v>1613</v>
      </c>
      <c r="B3">
        <v>1</v>
      </c>
    </row>
    <row r="4" spans="1:2">
      <c r="A4" s="5" t="s">
        <v>88</v>
      </c>
      <c r="B4">
        <v>2</v>
      </c>
    </row>
    <row r="5" spans="1:2">
      <c r="A5" s="5" t="s">
        <v>1737</v>
      </c>
      <c r="B5">
        <v>1</v>
      </c>
    </row>
    <row r="6" spans="1:2">
      <c r="A6" s="5" t="s">
        <v>1743</v>
      </c>
      <c r="B6">
        <v>2</v>
      </c>
    </row>
    <row r="7" spans="1:2">
      <c r="A7" s="5" t="s">
        <v>460</v>
      </c>
      <c r="B7">
        <v>3</v>
      </c>
    </row>
    <row r="8" spans="1:2">
      <c r="A8" s="5" t="s">
        <v>550</v>
      </c>
      <c r="B8">
        <v>1</v>
      </c>
    </row>
    <row r="9" spans="1:2">
      <c r="A9" s="5" t="s">
        <v>79</v>
      </c>
      <c r="B9">
        <v>3</v>
      </c>
    </row>
    <row r="10" spans="1:2">
      <c r="A10" s="5" t="s">
        <v>998</v>
      </c>
      <c r="B10">
        <v>6</v>
      </c>
    </row>
    <row r="11" spans="1:2">
      <c r="A11" s="5" t="s">
        <v>245</v>
      </c>
      <c r="B11">
        <v>49</v>
      </c>
    </row>
    <row r="12" spans="1:2">
      <c r="A12" s="5" t="s">
        <v>1752</v>
      </c>
      <c r="B12">
        <v>10</v>
      </c>
    </row>
    <row r="13" spans="1:2">
      <c r="A13" s="5" t="s">
        <v>973</v>
      </c>
      <c r="B13">
        <v>5</v>
      </c>
    </row>
    <row r="14" spans="1:2">
      <c r="A14" s="5" t="s">
        <v>495</v>
      </c>
      <c r="B14">
        <v>3</v>
      </c>
    </row>
    <row r="15" spans="1:2">
      <c r="A15" s="5" t="s">
        <v>1741</v>
      </c>
      <c r="B15">
        <v>1</v>
      </c>
    </row>
    <row r="16" spans="1:2">
      <c r="A16" s="5" t="s">
        <v>371</v>
      </c>
      <c r="B16">
        <v>6</v>
      </c>
    </row>
    <row r="17" spans="1:2">
      <c r="A17" s="5" t="s">
        <v>1723</v>
      </c>
      <c r="B17">
        <v>6</v>
      </c>
    </row>
    <row r="18" spans="1:2">
      <c r="A18" s="5" t="s">
        <v>31</v>
      </c>
      <c r="B18">
        <v>19</v>
      </c>
    </row>
    <row r="19" spans="1:2">
      <c r="A19" s="5" t="s">
        <v>235</v>
      </c>
      <c r="B19">
        <v>10</v>
      </c>
    </row>
    <row r="20" spans="1:2">
      <c r="A20" s="5" t="s">
        <v>1745</v>
      </c>
      <c r="B20">
        <v>2</v>
      </c>
    </row>
    <row r="21" spans="1:2">
      <c r="A21" s="5" t="s">
        <v>534</v>
      </c>
      <c r="B21">
        <v>6</v>
      </c>
    </row>
    <row r="22" spans="1:2">
      <c r="A22" s="5" t="s">
        <v>169</v>
      </c>
      <c r="B22">
        <v>2</v>
      </c>
    </row>
    <row r="23" spans="1:2">
      <c r="A23" s="5" t="s">
        <v>1738</v>
      </c>
      <c r="B23">
        <v>2</v>
      </c>
    </row>
    <row r="24" spans="1:2">
      <c r="A24" s="5" t="s">
        <v>671</v>
      </c>
      <c r="B24">
        <v>11</v>
      </c>
    </row>
    <row r="25" spans="1:2">
      <c r="A25" s="5" t="s">
        <v>108</v>
      </c>
      <c r="B25">
        <v>119</v>
      </c>
    </row>
    <row r="26" spans="1:2">
      <c r="A26" s="5" t="s">
        <v>498</v>
      </c>
      <c r="B26">
        <v>5</v>
      </c>
    </row>
    <row r="27" spans="1:2">
      <c r="A27" s="5" t="s">
        <v>603</v>
      </c>
      <c r="B27">
        <v>1</v>
      </c>
    </row>
    <row r="28" spans="1:2">
      <c r="A28" s="5" t="s">
        <v>1742</v>
      </c>
      <c r="B28">
        <v>1</v>
      </c>
    </row>
    <row r="29" spans="1:2">
      <c r="A29" s="5" t="s">
        <v>200</v>
      </c>
      <c r="B29">
        <v>65</v>
      </c>
    </row>
    <row r="30" spans="1:2">
      <c r="A30" s="5" t="s">
        <v>1263</v>
      </c>
      <c r="B30">
        <v>1</v>
      </c>
    </row>
    <row r="31" spans="1:2">
      <c r="A31" s="5" t="s">
        <v>1316</v>
      </c>
      <c r="B31">
        <v>1</v>
      </c>
    </row>
    <row r="32" spans="1:2">
      <c r="A32" s="5" t="s">
        <v>48</v>
      </c>
      <c r="B32">
        <v>27</v>
      </c>
    </row>
    <row r="33" spans="1:2">
      <c r="A33" s="5" t="s">
        <v>227</v>
      </c>
      <c r="B33">
        <v>1</v>
      </c>
    </row>
    <row r="34" spans="1:2">
      <c r="A34" s="5" t="s">
        <v>1442</v>
      </c>
      <c r="B34">
        <v>1</v>
      </c>
    </row>
    <row r="35" spans="1:2">
      <c r="A35" s="5" t="s">
        <v>620</v>
      </c>
      <c r="B35">
        <v>5</v>
      </c>
    </row>
    <row r="36" spans="1:2">
      <c r="A36" s="5" t="s">
        <v>1750</v>
      </c>
      <c r="B36">
        <v>45</v>
      </c>
    </row>
    <row r="37" spans="1:2">
      <c r="A37" s="5" t="s">
        <v>756</v>
      </c>
      <c r="B37">
        <v>5</v>
      </c>
    </row>
    <row r="38" spans="1:2">
      <c r="A38" s="5" t="s">
        <v>1744</v>
      </c>
      <c r="B38">
        <v>11</v>
      </c>
    </row>
    <row r="39" spans="1:2">
      <c r="A39" s="5" t="s">
        <v>594</v>
      </c>
      <c r="B39">
        <v>28</v>
      </c>
    </row>
    <row r="40" spans="1:2">
      <c r="A40" s="5" t="s">
        <v>856</v>
      </c>
      <c r="B40">
        <v>6</v>
      </c>
    </row>
    <row r="41" spans="1:2">
      <c r="A41" s="5" t="s">
        <v>907</v>
      </c>
      <c r="B41">
        <v>4</v>
      </c>
    </row>
    <row r="42" spans="1:2">
      <c r="A42" s="5" t="s">
        <v>42</v>
      </c>
      <c r="B42">
        <v>7</v>
      </c>
    </row>
    <row r="43" spans="1:2">
      <c r="A43" s="5" t="s">
        <v>1739</v>
      </c>
      <c r="B43">
        <v>1</v>
      </c>
    </row>
    <row r="44" spans="1:2">
      <c r="A44" s="5" t="s">
        <v>64</v>
      </c>
      <c r="B44">
        <v>66</v>
      </c>
    </row>
    <row r="45" spans="1:2">
      <c r="A45" s="5" t="s">
        <v>83</v>
      </c>
      <c r="B45">
        <v>20</v>
      </c>
    </row>
    <row r="46" spans="1:2">
      <c r="A46" s="5" t="s">
        <v>75</v>
      </c>
      <c r="B46">
        <v>23</v>
      </c>
    </row>
    <row r="47" spans="1:2">
      <c r="A47" s="5" t="s">
        <v>1740</v>
      </c>
      <c r="B47">
        <v>2</v>
      </c>
    </row>
    <row r="48" spans="1:2">
      <c r="A48" s="5" t="s">
        <v>295</v>
      </c>
      <c r="B48">
        <v>24</v>
      </c>
    </row>
    <row r="49" spans="1:2">
      <c r="A49" s="5" t="s">
        <v>26</v>
      </c>
      <c r="B49">
        <v>39</v>
      </c>
    </row>
    <row r="50" spans="1:2">
      <c r="A50" s="5" t="s">
        <v>55</v>
      </c>
      <c r="B50">
        <v>7</v>
      </c>
    </row>
    <row r="51" spans="1:2">
      <c r="A51" s="5" t="s">
        <v>678</v>
      </c>
      <c r="B51">
        <v>2</v>
      </c>
    </row>
    <row r="52" spans="1:2">
      <c r="A52" s="5" t="s">
        <v>1449</v>
      </c>
      <c r="B52">
        <v>1</v>
      </c>
    </row>
    <row r="53" spans="1:2">
      <c r="A53" s="5" t="s">
        <v>1022</v>
      </c>
      <c r="B53">
        <v>12</v>
      </c>
    </row>
    <row r="54" spans="1:2">
      <c r="A54" s="5" t="s">
        <v>302</v>
      </c>
      <c r="B54">
        <v>4</v>
      </c>
    </row>
    <row r="55" spans="1:2">
      <c r="A55" s="5" t="s">
        <v>1753</v>
      </c>
      <c r="B55">
        <v>6</v>
      </c>
    </row>
    <row r="56" spans="1:2">
      <c r="A56" s="5" t="s">
        <v>1754</v>
      </c>
      <c r="B56">
        <v>41</v>
      </c>
    </row>
    <row r="57" spans="1:2">
      <c r="A57" s="5" t="s">
        <v>163</v>
      </c>
      <c r="B57">
        <v>43</v>
      </c>
    </row>
    <row r="58" spans="1:2">
      <c r="A58" s="5" t="s">
        <v>442</v>
      </c>
      <c r="B58">
        <v>1</v>
      </c>
    </row>
    <row r="59" spans="1:2">
      <c r="A59" s="5" t="s">
        <v>1747</v>
      </c>
      <c r="B59">
        <v>782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EE91F-0F9F-0646-83A7-A72D77667E48}">
  <dimension ref="A1:B10"/>
  <sheetViews>
    <sheetView workbookViewId="0">
      <selection activeCell="H22" sqref="H22"/>
    </sheetView>
  </sheetViews>
  <sheetFormatPr baseColWidth="10" defaultRowHeight="16"/>
  <cols>
    <col min="1" max="1" width="13.1640625" bestFit="1" customWidth="1"/>
    <col min="2" max="2" width="11.83203125" bestFit="1" customWidth="1"/>
  </cols>
  <sheetData>
    <row r="1" spans="1:2">
      <c r="A1" s="4" t="s">
        <v>1746</v>
      </c>
      <c r="B1" t="s">
        <v>1748</v>
      </c>
    </row>
    <row r="2" spans="1:2">
      <c r="A2" s="5" t="s">
        <v>549</v>
      </c>
      <c r="B2">
        <v>4</v>
      </c>
    </row>
    <row r="3" spans="1:2">
      <c r="A3" s="5" t="s">
        <v>157</v>
      </c>
      <c r="B3">
        <v>11</v>
      </c>
    </row>
    <row r="4" spans="1:2">
      <c r="A4" s="5" t="s">
        <v>54</v>
      </c>
      <c r="B4">
        <v>299</v>
      </c>
    </row>
    <row r="5" spans="1:2">
      <c r="A5" s="5" t="s">
        <v>234</v>
      </c>
      <c r="B5">
        <v>17</v>
      </c>
    </row>
    <row r="6" spans="1:2">
      <c r="A6" s="5" t="s">
        <v>1749</v>
      </c>
      <c r="B6">
        <v>16</v>
      </c>
    </row>
    <row r="7" spans="1:2">
      <c r="A7" s="5" t="s">
        <v>47</v>
      </c>
      <c r="B7">
        <v>109</v>
      </c>
    </row>
    <row r="8" spans="1:2">
      <c r="A8" s="5" t="s">
        <v>25</v>
      </c>
      <c r="B8">
        <v>234</v>
      </c>
    </row>
    <row r="9" spans="1:2">
      <c r="A9" s="5" t="s">
        <v>78</v>
      </c>
      <c r="B9">
        <v>92</v>
      </c>
    </row>
    <row r="10" spans="1:2">
      <c r="A10" s="5" t="s">
        <v>1747</v>
      </c>
      <c r="B10">
        <v>782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1AC73-5F38-D645-BCE7-FF112D5F701B}">
  <dimension ref="A1:L12"/>
  <sheetViews>
    <sheetView workbookViewId="0">
      <selection activeCell="L1" sqref="A1:L12"/>
    </sheetView>
  </sheetViews>
  <sheetFormatPr baseColWidth="10" defaultRowHeight="16"/>
  <sheetData>
    <row r="1" spans="1:12">
      <c r="A1" s="7"/>
      <c r="B1" s="7" t="s">
        <v>1751</v>
      </c>
      <c r="C1" s="7" t="s">
        <v>1</v>
      </c>
      <c r="D1" s="7" t="s">
        <v>9</v>
      </c>
      <c r="E1" s="7" t="s">
        <v>10</v>
      </c>
      <c r="F1" s="7" t="s">
        <v>11</v>
      </c>
      <c r="G1" s="7" t="s">
        <v>13</v>
      </c>
      <c r="H1" s="7" t="s">
        <v>3</v>
      </c>
      <c r="I1" s="7" t="s">
        <v>4</v>
      </c>
      <c r="J1" s="7" t="s">
        <v>6</v>
      </c>
      <c r="K1" s="7" t="s">
        <v>7</v>
      </c>
      <c r="L1" s="7" t="s">
        <v>2</v>
      </c>
    </row>
    <row r="2" spans="1:12">
      <c r="A2" t="s">
        <v>1751</v>
      </c>
      <c r="B2">
        <v>1</v>
      </c>
    </row>
    <row r="3" spans="1:12">
      <c r="A3" t="s">
        <v>1</v>
      </c>
      <c r="B3">
        <v>3.0697939084222414E-2</v>
      </c>
      <c r="C3">
        <v>1</v>
      </c>
    </row>
    <row r="4" spans="1:12">
      <c r="A4" t="s">
        <v>9</v>
      </c>
      <c r="B4">
        <v>-0.19858000146829966</v>
      </c>
      <c r="C4">
        <v>0.11311434379917781</v>
      </c>
      <c r="D4">
        <v>1</v>
      </c>
    </row>
    <row r="5" spans="1:12">
      <c r="A5" t="s">
        <v>10</v>
      </c>
      <c r="B5">
        <v>0.22055996691620969</v>
      </c>
      <c r="C5">
        <v>-9.140250166170874E-2</v>
      </c>
      <c r="D5">
        <v>-0.52937125839068278</v>
      </c>
      <c r="E5">
        <v>1</v>
      </c>
    </row>
    <row r="6" spans="1:12">
      <c r="A6" t="s">
        <v>11</v>
      </c>
      <c r="B6">
        <v>6.2741795750734214E-2</v>
      </c>
      <c r="C6">
        <v>-0.11062606150002734</v>
      </c>
      <c r="D6">
        <v>-0.11881190873323877</v>
      </c>
      <c r="E6">
        <v>-2.1932759047693963E-2</v>
      </c>
      <c r="F6">
        <v>1</v>
      </c>
    </row>
    <row r="7" spans="1:12">
      <c r="A7" t="s">
        <v>13</v>
      </c>
      <c r="B7">
        <v>6.5413264110198391E-2</v>
      </c>
      <c r="C7">
        <v>3.0644410229721444E-2</v>
      </c>
      <c r="D7">
        <v>-0.12198160163413894</v>
      </c>
      <c r="E7">
        <v>0.16854598273471413</v>
      </c>
      <c r="F7">
        <v>-0.11191224614340352</v>
      </c>
      <c r="G7">
        <v>1</v>
      </c>
    </row>
    <row r="8" spans="1:12">
      <c r="A8" t="s">
        <v>3</v>
      </c>
      <c r="B8">
        <v>-4.3809337324486684E-2</v>
      </c>
      <c r="C8">
        <v>0.20954922368359763</v>
      </c>
      <c r="D8">
        <v>-0.17541659325209355</v>
      </c>
      <c r="E8">
        <v>6.5537146074479717E-3</v>
      </c>
      <c r="F8">
        <v>9.8143208134263055E-2</v>
      </c>
      <c r="G8">
        <v>-9.7890925600308223E-2</v>
      </c>
      <c r="H8">
        <v>1</v>
      </c>
    </row>
    <row r="9" spans="1:12">
      <c r="A9" t="s">
        <v>4</v>
      </c>
      <c r="B9">
        <v>-0.15526212141713874</v>
      </c>
      <c r="C9">
        <v>0.28555187372830926</v>
      </c>
      <c r="D9">
        <v>0.16041679853347859</v>
      </c>
      <c r="E9">
        <v>-0.29907391161920932</v>
      </c>
      <c r="F9">
        <v>-1.5723127055277012E-2</v>
      </c>
      <c r="G9">
        <v>-0.50443880411249875</v>
      </c>
      <c r="H9">
        <v>0.31793714429438918</v>
      </c>
      <c r="I9">
        <v>1</v>
      </c>
    </row>
    <row r="10" spans="1:12">
      <c r="A10" t="s">
        <v>6</v>
      </c>
      <c r="B10">
        <v>0.28614873531327811</v>
      </c>
      <c r="C10">
        <v>-4.7259895127624279E-3</v>
      </c>
      <c r="D10">
        <v>-0.60023121482235131</v>
      </c>
      <c r="E10">
        <v>0.40075165914035021</v>
      </c>
      <c r="F10">
        <v>0.11636023484768659</v>
      </c>
      <c r="G10">
        <v>5.6814224652839564E-2</v>
      </c>
      <c r="H10">
        <v>0.16026563614335043</v>
      </c>
      <c r="I10">
        <v>-0.14736274897790549</v>
      </c>
      <c r="J10">
        <v>1</v>
      </c>
    </row>
    <row r="11" spans="1:12">
      <c r="A11" t="s">
        <v>7</v>
      </c>
      <c r="B11">
        <v>-7.007650341286524E-2</v>
      </c>
      <c r="C11">
        <v>0.51587073135979988</v>
      </c>
      <c r="D11">
        <v>-3.0100298319452237E-2</v>
      </c>
      <c r="E11">
        <v>-9.5317675357782475E-2</v>
      </c>
      <c r="F11">
        <v>0.11428545904251879</v>
      </c>
      <c r="G11">
        <v>-8.8667258827806239E-2</v>
      </c>
      <c r="H11">
        <v>0.47978826994055485</v>
      </c>
      <c r="I11">
        <v>0.44242325073979</v>
      </c>
      <c r="J11">
        <v>-1.5499614734274225E-2</v>
      </c>
      <c r="K11">
        <v>1</v>
      </c>
    </row>
    <row r="12" spans="1:12" ht="17" thickBot="1">
      <c r="A12" s="6" t="s">
        <v>2</v>
      </c>
      <c r="B12" s="6">
        <v>0.19032156243142251</v>
      </c>
      <c r="C12" s="6">
        <v>-5.6001743483548083E-2</v>
      </c>
      <c r="D12" s="6">
        <v>-0.6864509570388746</v>
      </c>
      <c r="E12" s="6">
        <v>0.52986413921081144</v>
      </c>
      <c r="F12" s="6">
        <v>0.19709381715038579</v>
      </c>
      <c r="G12" s="6">
        <v>0.17747442014541928</v>
      </c>
      <c r="H12" s="6">
        <v>0.42476706455297503</v>
      </c>
      <c r="I12" s="6">
        <v>-0.21357058056086339</v>
      </c>
      <c r="J12" s="6">
        <v>0.64618754120823152</v>
      </c>
      <c r="K12" s="6">
        <v>0.12476176891023047</v>
      </c>
      <c r="L12" s="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783"/>
  <sheetViews>
    <sheetView topLeftCell="P1" workbookViewId="0">
      <selection activeCell="W7" sqref="W7"/>
    </sheetView>
  </sheetViews>
  <sheetFormatPr baseColWidth="10" defaultRowHeight="16"/>
  <cols>
    <col min="1" max="1" width="44" customWidth="1"/>
    <col min="3" max="3" width="14.83203125" style="8" customWidth="1"/>
    <col min="4" max="4" width="16.33203125" customWidth="1"/>
    <col min="17" max="17" width="29.83203125" customWidth="1"/>
    <col min="18" max="18" width="21.33203125" customWidth="1"/>
    <col min="26" max="26" width="16.33203125" customWidth="1"/>
    <col min="30" max="30" width="10.5" style="8" customWidth="1"/>
    <col min="31" max="31" width="23.5" customWidth="1"/>
  </cols>
  <sheetData>
    <row r="1" spans="1:31" s="2" customFormat="1">
      <c r="A1" s="2" t="s">
        <v>0</v>
      </c>
      <c r="B1" s="2" t="s">
        <v>1</v>
      </c>
      <c r="C1" s="9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1751</v>
      </c>
      <c r="U1" s="2" t="s">
        <v>1</v>
      </c>
      <c r="V1" s="2" t="s">
        <v>9</v>
      </c>
      <c r="W1" s="2" t="s">
        <v>10</v>
      </c>
      <c r="X1" s="2" t="s">
        <v>11</v>
      </c>
      <c r="Y1" s="2" t="s">
        <v>13</v>
      </c>
      <c r="Z1" s="2" t="s">
        <v>3</v>
      </c>
      <c r="AA1" s="2" t="s">
        <v>4</v>
      </c>
      <c r="AB1" s="2" t="s">
        <v>6</v>
      </c>
      <c r="AC1" s="2" t="s">
        <v>7</v>
      </c>
      <c r="AD1" s="9" t="s">
        <v>2</v>
      </c>
    </row>
    <row r="2" spans="1:31" ht="19">
      <c r="A2" t="s">
        <v>1610</v>
      </c>
      <c r="B2">
        <v>6.8</v>
      </c>
      <c r="C2" s="8" t="s">
        <v>1611</v>
      </c>
      <c r="D2">
        <v>0</v>
      </c>
      <c r="E2">
        <v>9</v>
      </c>
      <c r="G2">
        <v>0</v>
      </c>
      <c r="H2">
        <v>711</v>
      </c>
      <c r="I2" t="s">
        <v>22</v>
      </c>
      <c r="J2">
        <v>534</v>
      </c>
      <c r="K2">
        <v>0</v>
      </c>
      <c r="L2">
        <v>19.399999999999999</v>
      </c>
      <c r="M2" t="s">
        <v>829</v>
      </c>
      <c r="N2">
        <v>12</v>
      </c>
      <c r="O2">
        <v>36.963999999999999</v>
      </c>
      <c r="P2">
        <v>3.6339999999999999</v>
      </c>
      <c r="Q2" t="s">
        <v>1612</v>
      </c>
      <c r="R2" t="s">
        <v>549</v>
      </c>
      <c r="S2" t="s">
        <v>1613</v>
      </c>
      <c r="T2">
        <v>1</v>
      </c>
      <c r="U2">
        <v>6.8</v>
      </c>
      <c r="V2">
        <v>534</v>
      </c>
      <c r="W2">
        <v>0</v>
      </c>
      <c r="X2">
        <v>19.399999999999999</v>
      </c>
      <c r="Y2">
        <v>12</v>
      </c>
      <c r="Z2">
        <v>0</v>
      </c>
      <c r="AA2">
        <v>9</v>
      </c>
      <c r="AB2">
        <v>0</v>
      </c>
      <c r="AC2">
        <v>711</v>
      </c>
      <c r="AD2" s="8">
        <v>37762</v>
      </c>
      <c r="AE2" s="10"/>
    </row>
    <row r="3" spans="1:31">
      <c r="A3" t="s">
        <v>1447</v>
      </c>
      <c r="B3">
        <v>6.8</v>
      </c>
      <c r="C3" s="8">
        <v>38484.513194444444</v>
      </c>
      <c r="D3">
        <v>5</v>
      </c>
      <c r="E3">
        <v>7</v>
      </c>
      <c r="G3">
        <v>0</v>
      </c>
      <c r="H3">
        <v>744</v>
      </c>
      <c r="I3" t="s">
        <v>22</v>
      </c>
      <c r="J3">
        <v>561</v>
      </c>
      <c r="K3">
        <v>0</v>
      </c>
      <c r="L3">
        <v>20</v>
      </c>
      <c r="M3" t="s">
        <v>829</v>
      </c>
      <c r="N3">
        <v>22</v>
      </c>
      <c r="O3">
        <v>-6.2240000000000002</v>
      </c>
      <c r="P3">
        <v>29.83</v>
      </c>
      <c r="Q3" t="s">
        <v>1448</v>
      </c>
      <c r="R3" t="s">
        <v>549</v>
      </c>
      <c r="S3" t="s">
        <v>1449</v>
      </c>
      <c r="T3">
        <v>1</v>
      </c>
      <c r="U3">
        <v>6.8</v>
      </c>
      <c r="V3">
        <v>561</v>
      </c>
      <c r="W3">
        <v>0</v>
      </c>
      <c r="X3">
        <v>20</v>
      </c>
      <c r="Y3">
        <v>22</v>
      </c>
      <c r="Z3">
        <v>5</v>
      </c>
      <c r="AA3">
        <v>7</v>
      </c>
      <c r="AB3">
        <v>0</v>
      </c>
      <c r="AC3">
        <v>744</v>
      </c>
      <c r="AD3" s="8">
        <v>38484.513194444444</v>
      </c>
    </row>
    <row r="4" spans="1:31" ht="19">
      <c r="A4" t="s">
        <v>1439</v>
      </c>
      <c r="B4">
        <v>7</v>
      </c>
      <c r="C4" s="8" t="s">
        <v>1440</v>
      </c>
      <c r="D4">
        <v>5</v>
      </c>
      <c r="E4">
        <v>9</v>
      </c>
      <c r="G4">
        <v>0</v>
      </c>
      <c r="H4">
        <v>891</v>
      </c>
      <c r="I4" t="s">
        <v>22</v>
      </c>
      <c r="J4">
        <v>412</v>
      </c>
      <c r="K4">
        <v>0</v>
      </c>
      <c r="L4">
        <v>23.2</v>
      </c>
      <c r="M4" t="s">
        <v>36</v>
      </c>
      <c r="N4">
        <v>11</v>
      </c>
      <c r="O4">
        <v>-21.324000000000002</v>
      </c>
      <c r="P4">
        <v>33.582999999999998</v>
      </c>
      <c r="Q4" t="s">
        <v>1441</v>
      </c>
      <c r="R4" t="s">
        <v>549</v>
      </c>
      <c r="S4" t="s">
        <v>1442</v>
      </c>
      <c r="T4">
        <v>1</v>
      </c>
      <c r="U4">
        <v>7</v>
      </c>
      <c r="V4">
        <v>412</v>
      </c>
      <c r="W4">
        <v>0</v>
      </c>
      <c r="X4">
        <v>23.2</v>
      </c>
      <c r="Y4">
        <v>11</v>
      </c>
      <c r="Z4">
        <v>5</v>
      </c>
      <c r="AA4">
        <v>9</v>
      </c>
      <c r="AB4">
        <v>0</v>
      </c>
      <c r="AC4">
        <v>891</v>
      </c>
      <c r="AD4" s="8">
        <v>38770</v>
      </c>
      <c r="AE4" s="10"/>
    </row>
    <row r="5" spans="1:31">
      <c r="A5" t="s">
        <v>547</v>
      </c>
      <c r="B5">
        <v>6.5</v>
      </c>
      <c r="C5" s="8">
        <v>42798.736111111109</v>
      </c>
      <c r="D5">
        <v>7</v>
      </c>
      <c r="E5">
        <v>8</v>
      </c>
      <c r="F5" t="s">
        <v>21</v>
      </c>
      <c r="G5">
        <v>0</v>
      </c>
      <c r="H5">
        <v>1297</v>
      </c>
      <c r="I5" t="s">
        <v>22</v>
      </c>
      <c r="J5">
        <v>0</v>
      </c>
      <c r="K5">
        <v>2.36</v>
      </c>
      <c r="L5">
        <v>15</v>
      </c>
      <c r="M5" t="s">
        <v>23</v>
      </c>
      <c r="N5">
        <v>29</v>
      </c>
      <c r="O5">
        <v>-22.6784</v>
      </c>
      <c r="P5">
        <v>25.155799999999999</v>
      </c>
      <c r="Q5" t="s">
        <v>548</v>
      </c>
      <c r="R5" t="s">
        <v>549</v>
      </c>
      <c r="S5" t="s">
        <v>550</v>
      </c>
      <c r="T5">
        <v>1</v>
      </c>
      <c r="U5">
        <v>6.5</v>
      </c>
      <c r="V5">
        <v>0</v>
      </c>
      <c r="W5">
        <v>2.36</v>
      </c>
      <c r="X5">
        <v>15</v>
      </c>
      <c r="Y5">
        <v>29</v>
      </c>
      <c r="Z5">
        <v>7</v>
      </c>
      <c r="AA5">
        <v>8</v>
      </c>
      <c r="AB5">
        <v>0</v>
      </c>
      <c r="AC5">
        <v>1297</v>
      </c>
      <c r="AD5" s="8">
        <v>42798.736111111109</v>
      </c>
    </row>
    <row r="6" spans="1:31" ht="19">
      <c r="A6" t="s">
        <v>1735</v>
      </c>
      <c r="B6">
        <v>7.5</v>
      </c>
      <c r="C6" s="8">
        <v>36892.289583333331</v>
      </c>
      <c r="D6">
        <v>0</v>
      </c>
      <c r="E6">
        <v>7</v>
      </c>
      <c r="G6">
        <v>0</v>
      </c>
      <c r="H6">
        <v>865</v>
      </c>
      <c r="I6" t="s">
        <v>22</v>
      </c>
      <c r="J6">
        <v>324</v>
      </c>
      <c r="K6">
        <v>0</v>
      </c>
      <c r="L6">
        <v>0</v>
      </c>
      <c r="M6" t="s">
        <v>829</v>
      </c>
      <c r="N6">
        <v>33</v>
      </c>
      <c r="O6">
        <v>6.8979999999999997</v>
      </c>
      <c r="P6">
        <v>126.57899999999999</v>
      </c>
      <c r="Q6" t="s">
        <v>1736</v>
      </c>
      <c r="R6" t="s">
        <v>54</v>
      </c>
      <c r="S6" t="s">
        <v>75</v>
      </c>
      <c r="T6">
        <v>2</v>
      </c>
      <c r="U6">
        <v>7.5</v>
      </c>
      <c r="V6">
        <v>324</v>
      </c>
      <c r="W6">
        <v>0</v>
      </c>
      <c r="X6">
        <v>0</v>
      </c>
      <c r="Y6">
        <v>33</v>
      </c>
      <c r="Z6">
        <v>0</v>
      </c>
      <c r="AA6">
        <v>7</v>
      </c>
      <c r="AB6">
        <v>0</v>
      </c>
      <c r="AC6">
        <v>865</v>
      </c>
      <c r="AD6" s="8">
        <v>36892.289583333331</v>
      </c>
      <c r="AE6" s="10"/>
    </row>
    <row r="7" spans="1:31" ht="19">
      <c r="A7" t="s">
        <v>1734</v>
      </c>
      <c r="B7">
        <v>6.8</v>
      </c>
      <c r="C7" s="8">
        <v>36892.370833333334</v>
      </c>
      <c r="D7">
        <v>0</v>
      </c>
      <c r="E7">
        <v>5</v>
      </c>
      <c r="G7">
        <v>0</v>
      </c>
      <c r="H7">
        <v>711</v>
      </c>
      <c r="I7" t="s">
        <v>22</v>
      </c>
      <c r="J7">
        <v>64</v>
      </c>
      <c r="K7">
        <v>0</v>
      </c>
      <c r="L7">
        <v>0</v>
      </c>
      <c r="M7" t="s">
        <v>829</v>
      </c>
      <c r="N7">
        <v>33</v>
      </c>
      <c r="O7">
        <v>6.6310000000000002</v>
      </c>
      <c r="P7">
        <v>126.899</v>
      </c>
      <c r="Q7" t="s">
        <v>1665</v>
      </c>
      <c r="R7" t="s">
        <v>54</v>
      </c>
      <c r="S7" t="s">
        <v>75</v>
      </c>
      <c r="T7">
        <v>2</v>
      </c>
      <c r="U7">
        <v>6.8</v>
      </c>
      <c r="V7">
        <v>64</v>
      </c>
      <c r="W7">
        <v>0</v>
      </c>
      <c r="X7">
        <v>0</v>
      </c>
      <c r="Y7">
        <v>33</v>
      </c>
      <c r="Z7">
        <v>0</v>
      </c>
      <c r="AA7">
        <v>5</v>
      </c>
      <c r="AB7">
        <v>0</v>
      </c>
      <c r="AC7">
        <v>711</v>
      </c>
      <c r="AD7" s="8">
        <v>36892.370833333334</v>
      </c>
      <c r="AE7" s="10"/>
    </row>
    <row r="8" spans="1:31">
      <c r="A8" t="s">
        <v>1724</v>
      </c>
      <c r="B8">
        <v>7.7</v>
      </c>
      <c r="C8" s="8" t="s">
        <v>1725</v>
      </c>
      <c r="D8">
        <v>0</v>
      </c>
      <c r="E8">
        <v>9</v>
      </c>
      <c r="G8">
        <v>0</v>
      </c>
      <c r="H8">
        <v>912</v>
      </c>
      <c r="I8" t="s">
        <v>22</v>
      </c>
      <c r="J8">
        <v>472</v>
      </c>
      <c r="K8">
        <v>0</v>
      </c>
      <c r="L8">
        <v>0</v>
      </c>
      <c r="M8" t="s">
        <v>829</v>
      </c>
      <c r="N8">
        <v>16</v>
      </c>
      <c r="O8">
        <v>23.419</v>
      </c>
      <c r="P8">
        <v>70.231999999999999</v>
      </c>
      <c r="Q8" t="s">
        <v>1726</v>
      </c>
      <c r="R8" t="s">
        <v>54</v>
      </c>
      <c r="S8" t="s">
        <v>671</v>
      </c>
      <c r="T8">
        <v>2</v>
      </c>
      <c r="U8">
        <v>7.7</v>
      </c>
      <c r="V8">
        <v>472</v>
      </c>
      <c r="W8">
        <v>0</v>
      </c>
      <c r="X8">
        <v>0</v>
      </c>
      <c r="Y8">
        <v>16</v>
      </c>
      <c r="Z8">
        <v>0</v>
      </c>
      <c r="AA8">
        <v>9</v>
      </c>
      <c r="AB8">
        <v>0</v>
      </c>
      <c r="AC8">
        <v>912</v>
      </c>
      <c r="AD8" s="8">
        <v>36917</v>
      </c>
    </row>
    <row r="9" spans="1:31">
      <c r="A9" t="s">
        <v>1677</v>
      </c>
      <c r="B9">
        <v>6.5</v>
      </c>
      <c r="C9" s="8">
        <v>36934.542361111111</v>
      </c>
      <c r="D9">
        <v>0</v>
      </c>
      <c r="E9">
        <v>5</v>
      </c>
      <c r="G9">
        <v>0</v>
      </c>
      <c r="H9">
        <v>650</v>
      </c>
      <c r="I9" t="s">
        <v>22</v>
      </c>
      <c r="J9">
        <v>605</v>
      </c>
      <c r="K9">
        <v>0</v>
      </c>
      <c r="L9">
        <v>0</v>
      </c>
      <c r="M9" t="s">
        <v>829</v>
      </c>
      <c r="N9">
        <v>123.8</v>
      </c>
      <c r="O9">
        <v>39.402000000000001</v>
      </c>
      <c r="P9">
        <v>141.089</v>
      </c>
      <c r="Q9" t="s">
        <v>1678</v>
      </c>
      <c r="R9" t="s">
        <v>54</v>
      </c>
      <c r="S9" t="s">
        <v>200</v>
      </c>
      <c r="T9">
        <v>2</v>
      </c>
      <c r="U9">
        <v>6.5</v>
      </c>
      <c r="V9">
        <v>605</v>
      </c>
      <c r="W9">
        <v>0</v>
      </c>
      <c r="X9">
        <v>0</v>
      </c>
      <c r="Y9">
        <v>123.8</v>
      </c>
      <c r="Z9">
        <v>0</v>
      </c>
      <c r="AA9">
        <v>5</v>
      </c>
      <c r="AB9">
        <v>0</v>
      </c>
      <c r="AC9">
        <v>650</v>
      </c>
      <c r="AD9" s="8">
        <v>36934.542361111111</v>
      </c>
      <c r="AE9" s="11"/>
    </row>
    <row r="10" spans="1:31" ht="19">
      <c r="A10" t="s">
        <v>1688</v>
      </c>
      <c r="B10">
        <v>6.5</v>
      </c>
      <c r="C10" s="8">
        <v>37204.62222222222</v>
      </c>
      <c r="D10">
        <v>0</v>
      </c>
      <c r="E10">
        <v>6</v>
      </c>
      <c r="G10">
        <v>0</v>
      </c>
      <c r="H10">
        <v>650</v>
      </c>
      <c r="I10" t="s">
        <v>22</v>
      </c>
      <c r="J10">
        <v>174</v>
      </c>
      <c r="K10">
        <v>0</v>
      </c>
      <c r="L10">
        <v>0</v>
      </c>
      <c r="M10" t="s">
        <v>829</v>
      </c>
      <c r="N10">
        <v>33</v>
      </c>
      <c r="O10">
        <v>-0.57799999999999996</v>
      </c>
      <c r="P10">
        <v>133.13</v>
      </c>
      <c r="Q10" t="s">
        <v>1025</v>
      </c>
      <c r="R10" t="s">
        <v>54</v>
      </c>
      <c r="S10" t="s">
        <v>108</v>
      </c>
      <c r="T10">
        <v>2</v>
      </c>
      <c r="U10">
        <v>6.5</v>
      </c>
      <c r="V10">
        <v>174</v>
      </c>
      <c r="W10">
        <v>0</v>
      </c>
      <c r="X10">
        <v>0</v>
      </c>
      <c r="Y10">
        <v>33</v>
      </c>
      <c r="Z10">
        <v>0</v>
      </c>
      <c r="AA10">
        <v>6</v>
      </c>
      <c r="AB10">
        <v>0</v>
      </c>
      <c r="AC10">
        <v>650</v>
      </c>
      <c r="AD10" s="8">
        <v>37204.62222222222</v>
      </c>
      <c r="AE10" s="12"/>
    </row>
    <row r="11" spans="1:31">
      <c r="A11" t="s">
        <v>1630</v>
      </c>
      <c r="B11">
        <v>7.4</v>
      </c>
      <c r="C11" s="8">
        <v>37298.05972222222</v>
      </c>
      <c r="D11">
        <v>0</v>
      </c>
      <c r="E11">
        <v>7</v>
      </c>
      <c r="G11">
        <v>0</v>
      </c>
      <c r="H11">
        <v>842</v>
      </c>
      <c r="I11" t="s">
        <v>22</v>
      </c>
      <c r="J11">
        <v>418</v>
      </c>
      <c r="K11">
        <v>0</v>
      </c>
      <c r="L11">
        <v>0</v>
      </c>
      <c r="M11" t="s">
        <v>36</v>
      </c>
      <c r="N11">
        <v>30</v>
      </c>
      <c r="O11">
        <v>2.8239999999999998</v>
      </c>
      <c r="P11">
        <v>96.084999999999994</v>
      </c>
      <c r="Q11" t="s">
        <v>197</v>
      </c>
      <c r="R11" t="s">
        <v>54</v>
      </c>
      <c r="S11" t="s">
        <v>108</v>
      </c>
      <c r="T11">
        <v>2</v>
      </c>
      <c r="U11">
        <v>7.4</v>
      </c>
      <c r="V11">
        <v>418</v>
      </c>
      <c r="W11">
        <v>0</v>
      </c>
      <c r="X11">
        <v>0</v>
      </c>
      <c r="Y11">
        <v>30</v>
      </c>
      <c r="Z11">
        <v>0</v>
      </c>
      <c r="AA11">
        <v>7</v>
      </c>
      <c r="AB11">
        <v>0</v>
      </c>
      <c r="AC11">
        <v>842</v>
      </c>
      <c r="AD11" s="8">
        <v>37298.05972222222</v>
      </c>
    </row>
    <row r="12" spans="1:31">
      <c r="A12" t="s">
        <v>1668</v>
      </c>
      <c r="B12">
        <v>6.5</v>
      </c>
      <c r="C12" s="8">
        <v>37317.299305555556</v>
      </c>
      <c r="D12">
        <v>0</v>
      </c>
      <c r="E12">
        <v>7</v>
      </c>
      <c r="G12">
        <v>0</v>
      </c>
      <c r="H12">
        <v>650</v>
      </c>
      <c r="I12" t="s">
        <v>22</v>
      </c>
      <c r="J12">
        <v>482</v>
      </c>
      <c r="K12">
        <v>0</v>
      </c>
      <c r="L12">
        <v>0</v>
      </c>
      <c r="M12" t="s">
        <v>829</v>
      </c>
      <c r="N12">
        <v>5</v>
      </c>
      <c r="O12">
        <v>38.573</v>
      </c>
      <c r="P12">
        <v>31.271000000000001</v>
      </c>
      <c r="Q12" t="s">
        <v>1669</v>
      </c>
      <c r="R12" t="s">
        <v>54</v>
      </c>
      <c r="S12" t="s">
        <v>302</v>
      </c>
      <c r="T12">
        <v>2</v>
      </c>
      <c r="U12">
        <v>6.5</v>
      </c>
      <c r="V12">
        <v>482</v>
      </c>
      <c r="W12">
        <v>0</v>
      </c>
      <c r="X12">
        <v>0</v>
      </c>
      <c r="Y12">
        <v>5</v>
      </c>
      <c r="Z12">
        <v>0</v>
      </c>
      <c r="AA12">
        <v>7</v>
      </c>
      <c r="AB12">
        <v>0</v>
      </c>
      <c r="AC12">
        <v>650</v>
      </c>
      <c r="AD12" s="8">
        <v>37317.299305555556</v>
      </c>
      <c r="AE12" s="11"/>
    </row>
    <row r="13" spans="1:31" ht="19">
      <c r="A13" t="s">
        <v>1666</v>
      </c>
      <c r="B13">
        <v>7.4</v>
      </c>
      <c r="C13" s="8">
        <v>37318.505555555559</v>
      </c>
      <c r="D13">
        <v>0</v>
      </c>
      <c r="E13">
        <v>5</v>
      </c>
      <c r="G13">
        <v>0</v>
      </c>
      <c r="H13">
        <v>842</v>
      </c>
      <c r="I13" t="s">
        <v>22</v>
      </c>
      <c r="J13">
        <v>138</v>
      </c>
      <c r="K13">
        <v>0</v>
      </c>
      <c r="L13">
        <v>0</v>
      </c>
      <c r="M13" t="s">
        <v>829</v>
      </c>
      <c r="N13">
        <v>225.6</v>
      </c>
      <c r="O13">
        <v>36.502000000000002</v>
      </c>
      <c r="P13">
        <v>70.481999999999999</v>
      </c>
      <c r="Q13" t="s">
        <v>1253</v>
      </c>
      <c r="R13" t="s">
        <v>54</v>
      </c>
      <c r="S13" t="s">
        <v>649</v>
      </c>
      <c r="T13">
        <v>2</v>
      </c>
      <c r="U13">
        <v>7.4</v>
      </c>
      <c r="V13">
        <v>138</v>
      </c>
      <c r="W13">
        <v>0</v>
      </c>
      <c r="X13">
        <v>0</v>
      </c>
      <c r="Y13">
        <v>225.6</v>
      </c>
      <c r="Z13">
        <v>0</v>
      </c>
      <c r="AA13">
        <v>5</v>
      </c>
      <c r="AB13">
        <v>0</v>
      </c>
      <c r="AC13">
        <v>842</v>
      </c>
      <c r="AD13" s="8">
        <v>37318.505555555559</v>
      </c>
      <c r="AE13" s="10"/>
    </row>
    <row r="14" spans="1:31">
      <c r="A14" t="s">
        <v>1664</v>
      </c>
      <c r="B14">
        <v>7.5</v>
      </c>
      <c r="C14" s="8">
        <v>37379.886111111111</v>
      </c>
      <c r="D14">
        <v>0</v>
      </c>
      <c r="E14">
        <v>7</v>
      </c>
      <c r="G14">
        <v>0</v>
      </c>
      <c r="H14">
        <v>865</v>
      </c>
      <c r="I14" t="s">
        <v>22</v>
      </c>
      <c r="J14">
        <v>321</v>
      </c>
      <c r="K14">
        <v>0</v>
      </c>
      <c r="L14">
        <v>0</v>
      </c>
      <c r="M14" t="s">
        <v>829</v>
      </c>
      <c r="N14">
        <v>31</v>
      </c>
      <c r="O14">
        <v>6.0330000000000004</v>
      </c>
      <c r="P14">
        <v>124.249</v>
      </c>
      <c r="Q14" t="s">
        <v>1665</v>
      </c>
      <c r="R14" t="s">
        <v>54</v>
      </c>
      <c r="S14" t="s">
        <v>75</v>
      </c>
      <c r="T14">
        <v>2</v>
      </c>
      <c r="U14">
        <v>7.5</v>
      </c>
      <c r="V14">
        <v>321</v>
      </c>
      <c r="W14">
        <v>0</v>
      </c>
      <c r="X14">
        <v>0</v>
      </c>
      <c r="Y14">
        <v>31</v>
      </c>
      <c r="Z14">
        <v>0</v>
      </c>
      <c r="AA14">
        <v>7</v>
      </c>
      <c r="AB14">
        <v>0</v>
      </c>
      <c r="AC14">
        <v>865</v>
      </c>
      <c r="AD14" s="8">
        <v>37379.886111111111</v>
      </c>
    </row>
    <row r="15" spans="1:31">
      <c r="A15" t="s">
        <v>1635</v>
      </c>
      <c r="B15">
        <v>6.5</v>
      </c>
      <c r="C15" s="8" t="s">
        <v>1636</v>
      </c>
      <c r="D15">
        <v>0</v>
      </c>
      <c r="E15">
        <v>6</v>
      </c>
      <c r="G15">
        <v>0</v>
      </c>
      <c r="H15">
        <v>650</v>
      </c>
      <c r="I15" t="s">
        <v>22</v>
      </c>
      <c r="J15">
        <v>646</v>
      </c>
      <c r="K15">
        <v>0</v>
      </c>
      <c r="L15">
        <v>0</v>
      </c>
      <c r="M15" t="s">
        <v>829</v>
      </c>
      <c r="N15">
        <v>21</v>
      </c>
      <c r="O15">
        <v>13.036</v>
      </c>
      <c r="P15">
        <v>93.067999999999998</v>
      </c>
      <c r="Q15" t="s">
        <v>1180</v>
      </c>
      <c r="R15" t="s">
        <v>54</v>
      </c>
      <c r="S15" t="s">
        <v>671</v>
      </c>
      <c r="T15">
        <v>2</v>
      </c>
      <c r="U15">
        <v>6.5</v>
      </c>
      <c r="V15">
        <v>646</v>
      </c>
      <c r="W15">
        <v>0</v>
      </c>
      <c r="X15">
        <v>0</v>
      </c>
      <c r="Y15">
        <v>21</v>
      </c>
      <c r="Z15">
        <v>0</v>
      </c>
      <c r="AA15">
        <v>6</v>
      </c>
      <c r="AB15">
        <v>0</v>
      </c>
      <c r="AC15">
        <v>650</v>
      </c>
      <c r="AD15" s="8">
        <v>37512</v>
      </c>
      <c r="AE15" s="11"/>
    </row>
    <row r="16" spans="1:31" ht="19">
      <c r="A16" t="s">
        <v>1634</v>
      </c>
      <c r="B16">
        <v>7.6</v>
      </c>
      <c r="C16" s="8">
        <v>37539.451388888891</v>
      </c>
      <c r="D16">
        <v>0</v>
      </c>
      <c r="E16">
        <v>7</v>
      </c>
      <c r="G16">
        <v>0</v>
      </c>
      <c r="H16">
        <v>889</v>
      </c>
      <c r="I16" t="s">
        <v>22</v>
      </c>
      <c r="J16">
        <v>375</v>
      </c>
      <c r="K16">
        <v>0</v>
      </c>
      <c r="L16">
        <v>0</v>
      </c>
      <c r="M16" t="s">
        <v>829</v>
      </c>
      <c r="N16">
        <v>10</v>
      </c>
      <c r="O16">
        <v>-1.7569999999999999</v>
      </c>
      <c r="P16">
        <v>134.297</v>
      </c>
      <c r="Q16" t="s">
        <v>1025</v>
      </c>
      <c r="R16" t="s">
        <v>54</v>
      </c>
      <c r="S16" t="s">
        <v>108</v>
      </c>
      <c r="T16">
        <v>2</v>
      </c>
      <c r="U16">
        <v>7.6</v>
      </c>
      <c r="V16">
        <v>375</v>
      </c>
      <c r="W16">
        <v>0</v>
      </c>
      <c r="X16">
        <v>0</v>
      </c>
      <c r="Y16">
        <v>10</v>
      </c>
      <c r="Z16">
        <v>0</v>
      </c>
      <c r="AA16">
        <v>7</v>
      </c>
      <c r="AB16">
        <v>0</v>
      </c>
      <c r="AC16">
        <v>889</v>
      </c>
      <c r="AD16" s="8">
        <v>37539.451388888891</v>
      </c>
      <c r="AE16" s="12"/>
    </row>
    <row r="17" spans="1:31">
      <c r="A17" t="s">
        <v>1633</v>
      </c>
      <c r="B17">
        <v>6.7</v>
      </c>
      <c r="C17" s="8">
        <v>37539.519444444442</v>
      </c>
      <c r="D17">
        <v>0</v>
      </c>
      <c r="E17">
        <v>7</v>
      </c>
      <c r="G17">
        <v>0</v>
      </c>
      <c r="H17">
        <v>691</v>
      </c>
      <c r="I17" t="s">
        <v>22</v>
      </c>
      <c r="J17">
        <v>250</v>
      </c>
      <c r="K17">
        <v>0</v>
      </c>
      <c r="L17">
        <v>0</v>
      </c>
      <c r="M17" t="s">
        <v>1104</v>
      </c>
      <c r="N17">
        <v>10</v>
      </c>
      <c r="O17">
        <v>-1.5109999999999999</v>
      </c>
      <c r="P17">
        <v>133.97300000000001</v>
      </c>
      <c r="Q17" t="s">
        <v>1025</v>
      </c>
      <c r="R17" t="s">
        <v>54</v>
      </c>
      <c r="S17" t="s">
        <v>108</v>
      </c>
      <c r="T17">
        <v>2</v>
      </c>
      <c r="U17">
        <v>6.7</v>
      </c>
      <c r="V17">
        <v>250</v>
      </c>
      <c r="W17">
        <v>0</v>
      </c>
      <c r="X17">
        <v>0</v>
      </c>
      <c r="Y17">
        <v>10</v>
      </c>
      <c r="Z17">
        <v>0</v>
      </c>
      <c r="AA17">
        <v>7</v>
      </c>
      <c r="AB17">
        <v>0</v>
      </c>
      <c r="AC17">
        <v>691</v>
      </c>
      <c r="AD17" s="8">
        <v>37539.519444444442</v>
      </c>
    </row>
    <row r="18" spans="1:31">
      <c r="A18" t="s">
        <v>1583</v>
      </c>
      <c r="B18">
        <v>6.7</v>
      </c>
      <c r="C18" s="8">
        <v>37631.043749999997</v>
      </c>
      <c r="D18">
        <v>0</v>
      </c>
      <c r="E18">
        <v>7</v>
      </c>
      <c r="G18">
        <v>0</v>
      </c>
      <c r="H18">
        <v>691</v>
      </c>
      <c r="I18" t="s">
        <v>22</v>
      </c>
      <c r="J18">
        <v>643</v>
      </c>
      <c r="K18">
        <v>0</v>
      </c>
      <c r="L18">
        <v>24.5</v>
      </c>
      <c r="M18" t="s">
        <v>36</v>
      </c>
      <c r="N18">
        <v>10</v>
      </c>
      <c r="O18">
        <v>50.210999999999999</v>
      </c>
      <c r="P18">
        <v>87.721000000000004</v>
      </c>
      <c r="Q18" t="s">
        <v>1584</v>
      </c>
      <c r="R18" t="s">
        <v>54</v>
      </c>
      <c r="S18" t="s">
        <v>295</v>
      </c>
      <c r="T18">
        <v>2</v>
      </c>
      <c r="U18">
        <v>6.7</v>
      </c>
      <c r="V18">
        <v>643</v>
      </c>
      <c r="W18">
        <v>0</v>
      </c>
      <c r="X18">
        <v>24.5</v>
      </c>
      <c r="Y18">
        <v>10</v>
      </c>
      <c r="Z18">
        <v>0</v>
      </c>
      <c r="AA18">
        <v>7</v>
      </c>
      <c r="AB18">
        <v>0</v>
      </c>
      <c r="AC18">
        <v>691</v>
      </c>
      <c r="AD18" s="8">
        <v>37631.043749999997</v>
      </c>
      <c r="AE18" s="11"/>
    </row>
    <row r="19" spans="1:31" ht="19">
      <c r="A19" t="s">
        <v>1581</v>
      </c>
      <c r="B19">
        <v>6.7</v>
      </c>
      <c r="C19" s="8">
        <v>37843.379166666666</v>
      </c>
      <c r="D19">
        <v>0</v>
      </c>
      <c r="E19">
        <v>6</v>
      </c>
      <c r="G19">
        <v>0</v>
      </c>
      <c r="H19">
        <v>691</v>
      </c>
      <c r="I19" t="s">
        <v>22</v>
      </c>
      <c r="J19">
        <v>556</v>
      </c>
      <c r="K19">
        <v>0</v>
      </c>
      <c r="L19">
        <v>55.4</v>
      </c>
      <c r="M19" t="s">
        <v>829</v>
      </c>
      <c r="N19">
        <v>32</v>
      </c>
      <c r="O19">
        <v>42.648000000000003</v>
      </c>
      <c r="P19">
        <v>144.57</v>
      </c>
      <c r="Q19" t="s">
        <v>1582</v>
      </c>
      <c r="R19" t="s">
        <v>54</v>
      </c>
      <c r="S19" t="s">
        <v>200</v>
      </c>
      <c r="T19">
        <v>2</v>
      </c>
      <c r="U19">
        <v>6.7</v>
      </c>
      <c r="V19">
        <v>556</v>
      </c>
      <c r="W19">
        <v>0</v>
      </c>
      <c r="X19">
        <v>55.4</v>
      </c>
      <c r="Y19">
        <v>32</v>
      </c>
      <c r="Z19">
        <v>0</v>
      </c>
      <c r="AA19">
        <v>6</v>
      </c>
      <c r="AB19">
        <v>0</v>
      </c>
      <c r="AC19">
        <v>691</v>
      </c>
      <c r="AD19" s="8">
        <v>37843.379166666666</v>
      </c>
      <c r="AE19" s="10"/>
    </row>
    <row r="20" spans="1:31">
      <c r="A20" t="s">
        <v>1572</v>
      </c>
      <c r="B20">
        <v>6.8</v>
      </c>
      <c r="C20" s="8">
        <v>37906.193055555559</v>
      </c>
      <c r="D20">
        <v>0</v>
      </c>
      <c r="E20">
        <v>7</v>
      </c>
      <c r="G20">
        <v>0</v>
      </c>
      <c r="H20">
        <v>711</v>
      </c>
      <c r="I20" t="s">
        <v>22</v>
      </c>
      <c r="J20">
        <v>447</v>
      </c>
      <c r="K20">
        <v>0</v>
      </c>
      <c r="L20">
        <v>27.7</v>
      </c>
      <c r="M20" t="s">
        <v>36</v>
      </c>
      <c r="N20">
        <v>10</v>
      </c>
      <c r="O20">
        <v>23.039000000000001</v>
      </c>
      <c r="P20">
        <v>121.36199999999999</v>
      </c>
      <c r="Q20" t="s">
        <v>53</v>
      </c>
      <c r="R20" t="s">
        <v>54</v>
      </c>
      <c r="S20" t="s">
        <v>55</v>
      </c>
      <c r="T20">
        <v>2</v>
      </c>
      <c r="U20">
        <v>6.8</v>
      </c>
      <c r="V20">
        <v>447</v>
      </c>
      <c r="W20">
        <v>0</v>
      </c>
      <c r="X20">
        <v>27.7</v>
      </c>
      <c r="Y20">
        <v>10</v>
      </c>
      <c r="Z20">
        <v>0</v>
      </c>
      <c r="AA20">
        <v>7</v>
      </c>
      <c r="AB20">
        <v>0</v>
      </c>
      <c r="AC20">
        <v>711</v>
      </c>
      <c r="AD20" s="8">
        <v>37906.193055555559</v>
      </c>
    </row>
    <row r="21" spans="1:31">
      <c r="A21" t="s">
        <v>1559</v>
      </c>
      <c r="B21">
        <v>7</v>
      </c>
      <c r="C21" s="8">
        <v>38109.878472222219</v>
      </c>
      <c r="D21">
        <v>0</v>
      </c>
      <c r="E21">
        <v>7</v>
      </c>
      <c r="G21">
        <v>0</v>
      </c>
      <c r="H21">
        <v>754</v>
      </c>
      <c r="I21" t="s">
        <v>22</v>
      </c>
      <c r="J21">
        <v>367</v>
      </c>
      <c r="K21">
        <v>0</v>
      </c>
      <c r="L21">
        <v>33</v>
      </c>
      <c r="M21" t="s">
        <v>829</v>
      </c>
      <c r="N21">
        <v>16.600000000000001</v>
      </c>
      <c r="O21">
        <v>-3.6150000000000002</v>
      </c>
      <c r="P21">
        <v>135.53800000000001</v>
      </c>
      <c r="Q21" t="s">
        <v>1519</v>
      </c>
      <c r="R21" t="s">
        <v>54</v>
      </c>
      <c r="S21" t="s">
        <v>108</v>
      </c>
      <c r="T21">
        <v>2</v>
      </c>
      <c r="U21">
        <v>7</v>
      </c>
      <c r="V21">
        <v>367</v>
      </c>
      <c r="W21">
        <v>0</v>
      </c>
      <c r="X21">
        <v>33</v>
      </c>
      <c r="Y21">
        <v>16.600000000000001</v>
      </c>
      <c r="Z21">
        <v>0</v>
      </c>
      <c r="AA21">
        <v>7</v>
      </c>
      <c r="AB21">
        <v>0</v>
      </c>
      <c r="AC21">
        <v>754</v>
      </c>
      <c r="AD21" s="8">
        <v>38109.878472222219</v>
      </c>
      <c r="AE21" s="11"/>
    </row>
    <row r="22" spans="1:31">
      <c r="A22" t="s">
        <v>1555</v>
      </c>
      <c r="B22">
        <v>6.6</v>
      </c>
      <c r="C22" s="8">
        <v>38111.89166666667</v>
      </c>
      <c r="D22">
        <v>0</v>
      </c>
      <c r="E22">
        <v>4</v>
      </c>
      <c r="G22">
        <v>0</v>
      </c>
      <c r="H22">
        <v>670</v>
      </c>
      <c r="I22" t="s">
        <v>22</v>
      </c>
      <c r="J22">
        <v>728</v>
      </c>
      <c r="K22">
        <v>0</v>
      </c>
      <c r="L22">
        <v>18.3</v>
      </c>
      <c r="M22" t="s">
        <v>36</v>
      </c>
      <c r="N22">
        <v>187.1</v>
      </c>
      <c r="O22">
        <v>36.512</v>
      </c>
      <c r="P22">
        <v>71.028999999999996</v>
      </c>
      <c r="Q22" t="s">
        <v>1556</v>
      </c>
      <c r="R22" t="s">
        <v>54</v>
      </c>
      <c r="S22" t="s">
        <v>649</v>
      </c>
      <c r="T22">
        <v>2</v>
      </c>
      <c r="U22">
        <v>6.6</v>
      </c>
      <c r="V22">
        <v>728</v>
      </c>
      <c r="W22">
        <v>0</v>
      </c>
      <c r="X22">
        <v>18.3</v>
      </c>
      <c r="Y22">
        <v>187.1</v>
      </c>
      <c r="Z22">
        <v>0</v>
      </c>
      <c r="AA22">
        <v>4</v>
      </c>
      <c r="AB22">
        <v>0</v>
      </c>
      <c r="AC22">
        <v>670</v>
      </c>
      <c r="AD22" s="8">
        <v>38111.89166666667</v>
      </c>
    </row>
    <row r="23" spans="1:31" ht="23">
      <c r="A23" t="s">
        <v>1542</v>
      </c>
      <c r="B23">
        <v>7.2</v>
      </c>
      <c r="C23" s="8">
        <v>38116.421527777777</v>
      </c>
      <c r="D23">
        <v>0</v>
      </c>
      <c r="E23">
        <v>5</v>
      </c>
      <c r="G23">
        <v>0</v>
      </c>
      <c r="H23">
        <v>798</v>
      </c>
      <c r="I23" t="s">
        <v>22</v>
      </c>
      <c r="J23">
        <v>643</v>
      </c>
      <c r="K23">
        <v>0</v>
      </c>
      <c r="L23">
        <v>28.4</v>
      </c>
      <c r="M23" t="s">
        <v>829</v>
      </c>
      <c r="N23">
        <v>14</v>
      </c>
      <c r="O23">
        <v>33.07</v>
      </c>
      <c r="P23">
        <v>136.61799999999999</v>
      </c>
      <c r="Q23" t="s">
        <v>1540</v>
      </c>
      <c r="R23" s="3" t="s">
        <v>54</v>
      </c>
      <c r="S23" t="s">
        <v>200</v>
      </c>
      <c r="T23">
        <v>2</v>
      </c>
      <c r="U23">
        <v>7.2</v>
      </c>
      <c r="V23">
        <v>643</v>
      </c>
      <c r="W23">
        <v>0</v>
      </c>
      <c r="X23">
        <v>28.4</v>
      </c>
      <c r="Y23">
        <v>14</v>
      </c>
      <c r="Z23">
        <v>0</v>
      </c>
      <c r="AA23">
        <v>5</v>
      </c>
      <c r="AB23">
        <v>0</v>
      </c>
      <c r="AC23">
        <v>798</v>
      </c>
      <c r="AD23" s="8">
        <v>38116.421527777777</v>
      </c>
      <c r="AE23" s="13"/>
    </row>
    <row r="24" spans="1:31">
      <c r="A24" t="s">
        <v>1541</v>
      </c>
      <c r="B24">
        <v>7.4</v>
      </c>
      <c r="C24" s="8">
        <v>38116.622916666667</v>
      </c>
      <c r="D24">
        <v>0</v>
      </c>
      <c r="E24">
        <v>5</v>
      </c>
      <c r="G24">
        <v>0</v>
      </c>
      <c r="H24">
        <v>842</v>
      </c>
      <c r="I24" t="s">
        <v>22</v>
      </c>
      <c r="J24">
        <v>594</v>
      </c>
      <c r="K24">
        <v>0</v>
      </c>
      <c r="L24">
        <v>27.5</v>
      </c>
      <c r="M24" t="s">
        <v>36</v>
      </c>
      <c r="N24">
        <v>10</v>
      </c>
      <c r="O24">
        <v>33.183999999999997</v>
      </c>
      <c r="P24">
        <v>137.071</v>
      </c>
      <c r="Q24" t="s">
        <v>1540</v>
      </c>
      <c r="R24" t="s">
        <v>54</v>
      </c>
      <c r="S24" t="s">
        <v>200</v>
      </c>
      <c r="T24">
        <v>2</v>
      </c>
      <c r="U24">
        <v>7.4</v>
      </c>
      <c r="V24">
        <v>594</v>
      </c>
      <c r="W24">
        <v>0</v>
      </c>
      <c r="X24">
        <v>27.5</v>
      </c>
      <c r="Y24">
        <v>10</v>
      </c>
      <c r="Z24">
        <v>0</v>
      </c>
      <c r="AA24">
        <v>5</v>
      </c>
      <c r="AB24">
        <v>0</v>
      </c>
      <c r="AC24">
        <v>842</v>
      </c>
      <c r="AD24" s="8">
        <v>38116.622916666667</v>
      </c>
    </row>
    <row r="25" spans="1:31">
      <c r="A25" t="s">
        <v>1539</v>
      </c>
      <c r="B25">
        <v>6.6</v>
      </c>
      <c r="C25" s="8">
        <v>38147.978472222225</v>
      </c>
      <c r="D25">
        <v>0</v>
      </c>
      <c r="E25">
        <v>4</v>
      </c>
      <c r="G25">
        <v>0</v>
      </c>
      <c r="H25">
        <v>670</v>
      </c>
      <c r="I25" t="s">
        <v>22</v>
      </c>
      <c r="J25">
        <v>478</v>
      </c>
      <c r="K25">
        <v>0</v>
      </c>
      <c r="L25">
        <v>29.8</v>
      </c>
      <c r="M25" t="s">
        <v>829</v>
      </c>
      <c r="N25">
        <v>10</v>
      </c>
      <c r="O25">
        <v>33.204999999999998</v>
      </c>
      <c r="P25">
        <v>137.227</v>
      </c>
      <c r="Q25" t="s">
        <v>1540</v>
      </c>
      <c r="R25" t="s">
        <v>54</v>
      </c>
      <c r="S25" t="s">
        <v>200</v>
      </c>
      <c r="T25">
        <v>2</v>
      </c>
      <c r="U25">
        <v>6.6</v>
      </c>
      <c r="V25">
        <v>478</v>
      </c>
      <c r="W25">
        <v>0</v>
      </c>
      <c r="X25">
        <v>29.8</v>
      </c>
      <c r="Y25">
        <v>10</v>
      </c>
      <c r="Z25">
        <v>0</v>
      </c>
      <c r="AA25">
        <v>4</v>
      </c>
      <c r="AB25">
        <v>0</v>
      </c>
      <c r="AC25">
        <v>670</v>
      </c>
      <c r="AD25" s="8">
        <v>38147.978472222225</v>
      </c>
    </row>
    <row r="26" spans="1:31">
      <c r="A26" t="s">
        <v>1513</v>
      </c>
      <c r="B26">
        <v>6.8</v>
      </c>
      <c r="C26" s="8">
        <v>38150.59375</v>
      </c>
      <c r="D26">
        <v>4</v>
      </c>
      <c r="E26">
        <v>7</v>
      </c>
      <c r="G26">
        <v>0</v>
      </c>
      <c r="H26">
        <v>724</v>
      </c>
      <c r="I26" t="s">
        <v>22</v>
      </c>
      <c r="J26">
        <v>759</v>
      </c>
      <c r="K26">
        <v>0</v>
      </c>
      <c r="L26">
        <v>23.6</v>
      </c>
      <c r="M26" t="s">
        <v>36</v>
      </c>
      <c r="N26">
        <v>35</v>
      </c>
      <c r="O26">
        <v>42.9</v>
      </c>
      <c r="P26">
        <v>145.22800000000001</v>
      </c>
      <c r="Q26" t="s">
        <v>1514</v>
      </c>
      <c r="R26" t="s">
        <v>54</v>
      </c>
      <c r="S26" t="s">
        <v>200</v>
      </c>
      <c r="T26">
        <v>2</v>
      </c>
      <c r="U26">
        <v>6.8</v>
      </c>
      <c r="V26">
        <v>759</v>
      </c>
      <c r="W26">
        <v>0</v>
      </c>
      <c r="X26">
        <v>23.6</v>
      </c>
      <c r="Y26">
        <v>35</v>
      </c>
      <c r="Z26">
        <v>4</v>
      </c>
      <c r="AA26">
        <v>7</v>
      </c>
      <c r="AB26">
        <v>0</v>
      </c>
      <c r="AC26">
        <v>724</v>
      </c>
      <c r="AD26" s="8">
        <v>38150.59375</v>
      </c>
    </row>
    <row r="27" spans="1:31">
      <c r="A27" t="s">
        <v>1558</v>
      </c>
      <c r="B27">
        <v>7.3</v>
      </c>
      <c r="C27" s="8">
        <v>38170.112500000003</v>
      </c>
      <c r="D27">
        <v>0</v>
      </c>
      <c r="E27">
        <v>7</v>
      </c>
      <c r="G27">
        <v>0</v>
      </c>
      <c r="H27">
        <v>820</v>
      </c>
      <c r="I27" t="s">
        <v>22</v>
      </c>
      <c r="J27">
        <v>390</v>
      </c>
      <c r="K27">
        <v>0</v>
      </c>
      <c r="L27">
        <v>23</v>
      </c>
      <c r="M27" t="s">
        <v>36</v>
      </c>
      <c r="N27">
        <v>10</v>
      </c>
      <c r="O27">
        <v>-4.0030000000000001</v>
      </c>
      <c r="P27">
        <v>135.023</v>
      </c>
      <c r="Q27" t="s">
        <v>1140</v>
      </c>
      <c r="R27" t="s">
        <v>54</v>
      </c>
      <c r="S27" t="s">
        <v>108</v>
      </c>
      <c r="T27">
        <v>2</v>
      </c>
      <c r="U27">
        <v>7.3</v>
      </c>
      <c r="V27">
        <v>390</v>
      </c>
      <c r="W27">
        <v>0</v>
      </c>
      <c r="X27">
        <v>23</v>
      </c>
      <c r="Y27">
        <v>10</v>
      </c>
      <c r="Z27">
        <v>0</v>
      </c>
      <c r="AA27">
        <v>7</v>
      </c>
      <c r="AB27">
        <v>0</v>
      </c>
      <c r="AC27">
        <v>820</v>
      </c>
      <c r="AD27" s="8">
        <v>38170.112500000003</v>
      </c>
    </row>
    <row r="28" spans="1:31">
      <c r="A28" t="s">
        <v>1557</v>
      </c>
      <c r="B28">
        <v>6.7</v>
      </c>
      <c r="C28" s="8">
        <v>38201.373611111114</v>
      </c>
      <c r="D28">
        <v>0</v>
      </c>
      <c r="E28">
        <v>7</v>
      </c>
      <c r="G28">
        <v>0</v>
      </c>
      <c r="H28">
        <v>691</v>
      </c>
      <c r="I28" t="s">
        <v>22</v>
      </c>
      <c r="J28">
        <v>256</v>
      </c>
      <c r="K28">
        <v>0</v>
      </c>
      <c r="L28">
        <v>33.299999999999997</v>
      </c>
      <c r="M28" t="s">
        <v>829</v>
      </c>
      <c r="N28">
        <v>25.7</v>
      </c>
      <c r="O28">
        <v>-3.665</v>
      </c>
      <c r="P28">
        <v>135.339</v>
      </c>
      <c r="Q28" t="s">
        <v>1519</v>
      </c>
      <c r="R28" t="s">
        <v>54</v>
      </c>
      <c r="S28" t="s">
        <v>108</v>
      </c>
      <c r="T28">
        <v>2</v>
      </c>
      <c r="U28">
        <v>6.7</v>
      </c>
      <c r="V28">
        <v>256</v>
      </c>
      <c r="W28">
        <v>0</v>
      </c>
      <c r="X28">
        <v>33.299999999999997</v>
      </c>
      <c r="Y28">
        <v>25.7</v>
      </c>
      <c r="Z28">
        <v>0</v>
      </c>
      <c r="AA28">
        <v>7</v>
      </c>
      <c r="AB28">
        <v>0</v>
      </c>
      <c r="AC28">
        <v>691</v>
      </c>
      <c r="AD28" s="8">
        <v>38201.373611111114</v>
      </c>
    </row>
    <row r="29" spans="1:31">
      <c r="A29" t="s">
        <v>1536</v>
      </c>
      <c r="B29">
        <v>6.5</v>
      </c>
      <c r="C29" s="8">
        <v>38209.60833333333</v>
      </c>
      <c r="D29">
        <v>5</v>
      </c>
      <c r="E29">
        <v>5</v>
      </c>
      <c r="G29">
        <v>0</v>
      </c>
      <c r="H29">
        <v>665</v>
      </c>
      <c r="I29" t="s">
        <v>22</v>
      </c>
      <c r="J29">
        <v>526</v>
      </c>
      <c r="K29">
        <v>0</v>
      </c>
      <c r="L29">
        <v>18.3</v>
      </c>
      <c r="M29" t="s">
        <v>36</v>
      </c>
      <c r="N29">
        <v>105</v>
      </c>
      <c r="O29">
        <v>13.925000000000001</v>
      </c>
      <c r="P29">
        <v>120.53400000000001</v>
      </c>
      <c r="Q29" t="s">
        <v>1537</v>
      </c>
      <c r="R29" t="s">
        <v>54</v>
      </c>
      <c r="S29" t="s">
        <v>75</v>
      </c>
      <c r="T29">
        <v>2</v>
      </c>
      <c r="U29">
        <v>6.5</v>
      </c>
      <c r="V29">
        <v>526</v>
      </c>
      <c r="W29">
        <v>0</v>
      </c>
      <c r="X29">
        <v>18.3</v>
      </c>
      <c r="Y29">
        <v>105</v>
      </c>
      <c r="Z29">
        <v>5</v>
      </c>
      <c r="AA29">
        <v>5</v>
      </c>
      <c r="AB29">
        <v>0</v>
      </c>
      <c r="AC29">
        <v>665</v>
      </c>
      <c r="AD29" s="8">
        <v>38209.60833333333</v>
      </c>
    </row>
    <row r="30" spans="1:31">
      <c r="A30" t="s">
        <v>1548</v>
      </c>
      <c r="B30">
        <v>6.9</v>
      </c>
      <c r="C30" s="8">
        <v>38266.638194444444</v>
      </c>
      <c r="D30">
        <v>0</v>
      </c>
      <c r="E30">
        <v>5</v>
      </c>
      <c r="G30">
        <v>0</v>
      </c>
      <c r="H30">
        <v>732</v>
      </c>
      <c r="I30" t="s">
        <v>22</v>
      </c>
      <c r="J30">
        <v>798</v>
      </c>
      <c r="K30">
        <v>0</v>
      </c>
      <c r="L30">
        <v>31.2</v>
      </c>
      <c r="M30" t="s">
        <v>36</v>
      </c>
      <c r="N30">
        <v>188.6</v>
      </c>
      <c r="O30">
        <v>55.682000000000002</v>
      </c>
      <c r="P30">
        <v>160.00299999999999</v>
      </c>
      <c r="Q30" t="s">
        <v>1549</v>
      </c>
      <c r="R30" t="s">
        <v>54</v>
      </c>
      <c r="S30" t="s">
        <v>295</v>
      </c>
      <c r="T30">
        <v>2</v>
      </c>
      <c r="U30">
        <v>6.9</v>
      </c>
      <c r="V30">
        <v>798</v>
      </c>
      <c r="W30">
        <v>0</v>
      </c>
      <c r="X30">
        <v>31.2</v>
      </c>
      <c r="Y30">
        <v>188.6</v>
      </c>
      <c r="Z30">
        <v>0</v>
      </c>
      <c r="AA30">
        <v>5</v>
      </c>
      <c r="AB30">
        <v>0</v>
      </c>
      <c r="AC30">
        <v>732</v>
      </c>
      <c r="AD30" s="8">
        <v>38266.638194444444</v>
      </c>
    </row>
    <row r="31" spans="1:31">
      <c r="A31" t="s">
        <v>1526</v>
      </c>
      <c r="B31">
        <v>7.5</v>
      </c>
      <c r="C31" s="8">
        <v>38302.893055555556</v>
      </c>
      <c r="D31">
        <v>5</v>
      </c>
      <c r="E31">
        <v>7</v>
      </c>
      <c r="G31">
        <v>0</v>
      </c>
      <c r="H31">
        <v>870</v>
      </c>
      <c r="I31" t="s">
        <v>22</v>
      </c>
      <c r="J31">
        <v>301</v>
      </c>
      <c r="K31">
        <v>0</v>
      </c>
      <c r="L31">
        <v>33.799999999999997</v>
      </c>
      <c r="M31" t="s">
        <v>829</v>
      </c>
      <c r="N31">
        <v>10</v>
      </c>
      <c r="O31">
        <v>-8.1519999999999992</v>
      </c>
      <c r="P31">
        <v>124.86799999999999</v>
      </c>
      <c r="Q31" t="s">
        <v>701</v>
      </c>
      <c r="R31" t="s">
        <v>54</v>
      </c>
      <c r="S31" t="s">
        <v>108</v>
      </c>
      <c r="T31">
        <v>2</v>
      </c>
      <c r="U31">
        <v>7.5</v>
      </c>
      <c r="V31">
        <v>301</v>
      </c>
      <c r="W31">
        <v>0</v>
      </c>
      <c r="X31">
        <v>33.799999999999997</v>
      </c>
      <c r="Y31">
        <v>10</v>
      </c>
      <c r="Z31">
        <v>5</v>
      </c>
      <c r="AA31">
        <v>7</v>
      </c>
      <c r="AB31">
        <v>0</v>
      </c>
      <c r="AC31">
        <v>870</v>
      </c>
      <c r="AD31" s="8">
        <v>38302.893055555556</v>
      </c>
    </row>
    <row r="32" spans="1:31">
      <c r="A32" t="s">
        <v>696</v>
      </c>
      <c r="B32">
        <v>6.6</v>
      </c>
      <c r="C32" s="8" t="s">
        <v>1500</v>
      </c>
      <c r="D32">
        <v>0</v>
      </c>
      <c r="E32">
        <v>5</v>
      </c>
      <c r="G32">
        <v>0</v>
      </c>
      <c r="H32">
        <v>670</v>
      </c>
      <c r="I32" t="s">
        <v>22</v>
      </c>
      <c r="J32">
        <v>353</v>
      </c>
      <c r="K32">
        <v>0</v>
      </c>
      <c r="L32">
        <v>31.9</v>
      </c>
      <c r="M32" t="s">
        <v>829</v>
      </c>
      <c r="N32">
        <v>16.100000000000001</v>
      </c>
      <c r="O32">
        <v>8.8789999999999996</v>
      </c>
      <c r="P32">
        <v>92.375</v>
      </c>
      <c r="Q32" t="s">
        <v>697</v>
      </c>
      <c r="R32" t="s">
        <v>54</v>
      </c>
      <c r="S32" t="s">
        <v>671</v>
      </c>
      <c r="T32">
        <v>2</v>
      </c>
      <c r="U32">
        <v>6.6</v>
      </c>
      <c r="V32">
        <v>353</v>
      </c>
      <c r="W32">
        <v>0</v>
      </c>
      <c r="X32">
        <v>31.9</v>
      </c>
      <c r="Y32">
        <v>16.100000000000001</v>
      </c>
      <c r="Z32">
        <v>0</v>
      </c>
      <c r="AA32">
        <v>5</v>
      </c>
      <c r="AB32">
        <v>0</v>
      </c>
      <c r="AC32">
        <v>670</v>
      </c>
      <c r="AD32" s="8">
        <v>38347</v>
      </c>
    </row>
    <row r="33" spans="1:31">
      <c r="A33" t="s">
        <v>1504</v>
      </c>
      <c r="B33">
        <v>9.1</v>
      </c>
      <c r="C33" s="8" t="s">
        <v>1505</v>
      </c>
      <c r="D33">
        <v>0</v>
      </c>
      <c r="E33">
        <v>8</v>
      </c>
      <c r="G33">
        <v>0</v>
      </c>
      <c r="H33">
        <v>1274</v>
      </c>
      <c r="I33" t="s">
        <v>1039</v>
      </c>
      <c r="J33">
        <v>601</v>
      </c>
      <c r="K33">
        <v>0</v>
      </c>
      <c r="L33">
        <v>22</v>
      </c>
      <c r="M33" t="s">
        <v>345</v>
      </c>
      <c r="N33">
        <v>30</v>
      </c>
      <c r="O33">
        <v>3.2949999999999999</v>
      </c>
      <c r="P33">
        <v>95.981999999999999</v>
      </c>
      <c r="Q33" t="s">
        <v>1506</v>
      </c>
      <c r="R33" t="s">
        <v>54</v>
      </c>
      <c r="S33" t="s">
        <v>108</v>
      </c>
      <c r="T33">
        <v>2</v>
      </c>
      <c r="U33">
        <v>9.1</v>
      </c>
      <c r="V33">
        <v>601</v>
      </c>
      <c r="W33">
        <v>0</v>
      </c>
      <c r="X33">
        <v>22</v>
      </c>
      <c r="Y33">
        <v>30</v>
      </c>
      <c r="Z33">
        <v>0</v>
      </c>
      <c r="AA33">
        <v>8</v>
      </c>
      <c r="AB33">
        <v>0</v>
      </c>
      <c r="AC33">
        <v>1274</v>
      </c>
      <c r="AD33" s="8">
        <v>38347</v>
      </c>
    </row>
    <row r="34" spans="1:31">
      <c r="A34" t="s">
        <v>988</v>
      </c>
      <c r="B34">
        <v>7.1</v>
      </c>
      <c r="C34" s="8">
        <v>38386.445833333331</v>
      </c>
      <c r="D34">
        <v>0</v>
      </c>
      <c r="E34">
        <v>5</v>
      </c>
      <c r="G34">
        <v>0</v>
      </c>
      <c r="H34">
        <v>776</v>
      </c>
      <c r="I34" t="s">
        <v>22</v>
      </c>
      <c r="J34">
        <v>569</v>
      </c>
      <c r="K34">
        <v>0</v>
      </c>
      <c r="L34">
        <v>18.100000000000001</v>
      </c>
      <c r="M34" t="s">
        <v>36</v>
      </c>
      <c r="N34">
        <v>201.7</v>
      </c>
      <c r="O34">
        <v>-6.5270000000000001</v>
      </c>
      <c r="P34">
        <v>129.93299999999999</v>
      </c>
      <c r="Q34" t="s">
        <v>283</v>
      </c>
      <c r="R34" t="s">
        <v>54</v>
      </c>
      <c r="S34" t="s">
        <v>108</v>
      </c>
      <c r="T34">
        <v>2</v>
      </c>
      <c r="U34">
        <v>7.1</v>
      </c>
      <c r="V34">
        <v>569</v>
      </c>
      <c r="W34">
        <v>0</v>
      </c>
      <c r="X34">
        <v>18.100000000000001</v>
      </c>
      <c r="Y34">
        <v>201.7</v>
      </c>
      <c r="Z34">
        <v>0</v>
      </c>
      <c r="AA34">
        <v>5</v>
      </c>
      <c r="AB34">
        <v>0</v>
      </c>
      <c r="AC34">
        <v>776</v>
      </c>
      <c r="AD34" s="8">
        <v>38386.445833333331</v>
      </c>
    </row>
    <row r="35" spans="1:31" ht="20">
      <c r="A35" t="s">
        <v>1450</v>
      </c>
      <c r="B35">
        <v>6.5</v>
      </c>
      <c r="C35" s="8">
        <v>38395.550694444442</v>
      </c>
      <c r="D35">
        <v>4</v>
      </c>
      <c r="E35">
        <v>5</v>
      </c>
      <c r="G35">
        <v>0</v>
      </c>
      <c r="H35">
        <v>683</v>
      </c>
      <c r="I35" t="s">
        <v>22</v>
      </c>
      <c r="J35">
        <v>464</v>
      </c>
      <c r="K35">
        <v>0</v>
      </c>
      <c r="L35">
        <v>48.8</v>
      </c>
      <c r="M35" t="s">
        <v>829</v>
      </c>
      <c r="N35">
        <v>29</v>
      </c>
      <c r="O35">
        <v>38.088999999999999</v>
      </c>
      <c r="P35">
        <v>142.12200000000001</v>
      </c>
      <c r="Q35" t="s">
        <v>209</v>
      </c>
      <c r="R35" t="s">
        <v>54</v>
      </c>
      <c r="S35" t="s">
        <v>200</v>
      </c>
      <c r="T35">
        <v>2</v>
      </c>
      <c r="U35">
        <v>6.5</v>
      </c>
      <c r="V35">
        <v>464</v>
      </c>
      <c r="W35">
        <v>0</v>
      </c>
      <c r="X35">
        <v>48.8</v>
      </c>
      <c r="Y35">
        <v>29</v>
      </c>
      <c r="Z35">
        <v>4</v>
      </c>
      <c r="AA35">
        <v>5</v>
      </c>
      <c r="AB35">
        <v>0</v>
      </c>
      <c r="AC35">
        <v>683</v>
      </c>
      <c r="AD35" s="8">
        <v>38395.550694444442</v>
      </c>
      <c r="AE35" s="14"/>
    </row>
    <row r="36" spans="1:31">
      <c r="A36" t="s">
        <v>1495</v>
      </c>
      <c r="B36">
        <v>7.1</v>
      </c>
      <c r="C36" s="8">
        <v>38474.515972222223</v>
      </c>
      <c r="D36">
        <v>7</v>
      </c>
      <c r="E36">
        <v>3</v>
      </c>
      <c r="G36">
        <v>0</v>
      </c>
      <c r="H36">
        <v>782</v>
      </c>
      <c r="I36" t="s">
        <v>22</v>
      </c>
      <c r="J36">
        <v>640</v>
      </c>
      <c r="K36">
        <v>0</v>
      </c>
      <c r="L36">
        <v>26.4</v>
      </c>
      <c r="M36" t="s">
        <v>829</v>
      </c>
      <c r="N36">
        <v>525</v>
      </c>
      <c r="O36">
        <v>5.2930000000000001</v>
      </c>
      <c r="P36">
        <v>123.337</v>
      </c>
      <c r="Q36" t="s">
        <v>1496</v>
      </c>
      <c r="R36" t="s">
        <v>54</v>
      </c>
      <c r="S36" t="s">
        <v>75</v>
      </c>
      <c r="T36">
        <v>2</v>
      </c>
      <c r="U36">
        <v>7.1</v>
      </c>
      <c r="V36">
        <v>640</v>
      </c>
      <c r="W36">
        <v>0</v>
      </c>
      <c r="X36">
        <v>26.4</v>
      </c>
      <c r="Y36">
        <v>525</v>
      </c>
      <c r="Z36">
        <v>7</v>
      </c>
      <c r="AA36">
        <v>3</v>
      </c>
      <c r="AB36">
        <v>0</v>
      </c>
      <c r="AC36">
        <v>782</v>
      </c>
      <c r="AD36" s="8">
        <v>38474.515972222223</v>
      </c>
    </row>
    <row r="37" spans="1:31">
      <c r="A37" t="s">
        <v>1467</v>
      </c>
      <c r="B37">
        <v>6.7</v>
      </c>
      <c r="C37" s="8">
        <v>38479.077777777777</v>
      </c>
      <c r="D37">
        <v>3</v>
      </c>
      <c r="E37">
        <v>6</v>
      </c>
      <c r="G37">
        <v>0</v>
      </c>
      <c r="H37">
        <v>693</v>
      </c>
      <c r="I37" t="s">
        <v>22</v>
      </c>
      <c r="J37">
        <v>398</v>
      </c>
      <c r="K37">
        <v>0</v>
      </c>
      <c r="L37">
        <v>22.3</v>
      </c>
      <c r="M37" t="s">
        <v>829</v>
      </c>
      <c r="N37">
        <v>21</v>
      </c>
      <c r="O37">
        <v>1.819</v>
      </c>
      <c r="P37">
        <v>97.081999999999994</v>
      </c>
      <c r="Q37" t="s">
        <v>1422</v>
      </c>
      <c r="R37" t="s">
        <v>54</v>
      </c>
      <c r="S37" t="s">
        <v>108</v>
      </c>
      <c r="T37">
        <v>2</v>
      </c>
      <c r="U37">
        <v>6.7</v>
      </c>
      <c r="V37">
        <v>398</v>
      </c>
      <c r="W37">
        <v>0</v>
      </c>
      <c r="X37">
        <v>22.3</v>
      </c>
      <c r="Y37">
        <v>21</v>
      </c>
      <c r="Z37">
        <v>3</v>
      </c>
      <c r="AA37">
        <v>6</v>
      </c>
      <c r="AB37">
        <v>0</v>
      </c>
      <c r="AC37">
        <v>693</v>
      </c>
      <c r="AD37" s="8">
        <v>38479.077777777777</v>
      </c>
    </row>
    <row r="38" spans="1:31">
      <c r="A38" t="s">
        <v>1465</v>
      </c>
      <c r="B38">
        <v>7.2</v>
      </c>
      <c r="C38" s="8" t="s">
        <v>1466</v>
      </c>
      <c r="D38">
        <v>4</v>
      </c>
      <c r="E38">
        <v>5</v>
      </c>
      <c r="G38">
        <v>0</v>
      </c>
      <c r="H38">
        <v>808</v>
      </c>
      <c r="I38" t="s">
        <v>22</v>
      </c>
      <c r="J38">
        <v>636</v>
      </c>
      <c r="K38">
        <v>0</v>
      </c>
      <c r="L38">
        <v>26.4</v>
      </c>
      <c r="M38" t="s">
        <v>829</v>
      </c>
      <c r="N38">
        <v>16</v>
      </c>
      <c r="O38">
        <v>7.92</v>
      </c>
      <c r="P38">
        <v>92.19</v>
      </c>
      <c r="Q38" t="s">
        <v>697</v>
      </c>
      <c r="R38" t="s">
        <v>54</v>
      </c>
      <c r="S38" t="s">
        <v>671</v>
      </c>
      <c r="T38">
        <v>2</v>
      </c>
      <c r="U38">
        <v>7.2</v>
      </c>
      <c r="V38">
        <v>636</v>
      </c>
      <c r="W38">
        <v>0</v>
      </c>
      <c r="X38">
        <v>26.4</v>
      </c>
      <c r="Y38">
        <v>16</v>
      </c>
      <c r="Z38">
        <v>4</v>
      </c>
      <c r="AA38">
        <v>5</v>
      </c>
      <c r="AB38">
        <v>0</v>
      </c>
      <c r="AC38">
        <v>808</v>
      </c>
      <c r="AD38" s="8">
        <v>38557</v>
      </c>
    </row>
    <row r="39" spans="1:31">
      <c r="A39" t="s">
        <v>1455</v>
      </c>
      <c r="B39">
        <v>7.6</v>
      </c>
      <c r="C39" s="8">
        <v>38574.159722222219</v>
      </c>
      <c r="D39">
        <v>9</v>
      </c>
      <c r="E39">
        <v>9</v>
      </c>
      <c r="G39">
        <v>0</v>
      </c>
      <c r="H39">
        <v>1267</v>
      </c>
      <c r="I39" t="s">
        <v>22</v>
      </c>
      <c r="J39">
        <v>724</v>
      </c>
      <c r="K39">
        <v>0</v>
      </c>
      <c r="L39">
        <v>21.1</v>
      </c>
      <c r="M39" t="s">
        <v>829</v>
      </c>
      <c r="N39">
        <v>26</v>
      </c>
      <c r="O39">
        <v>34.539000000000001</v>
      </c>
      <c r="P39">
        <v>73.587999999999994</v>
      </c>
      <c r="Q39" t="s">
        <v>1456</v>
      </c>
      <c r="R39" t="s">
        <v>54</v>
      </c>
      <c r="S39" t="s">
        <v>907</v>
      </c>
      <c r="T39">
        <v>2</v>
      </c>
      <c r="U39">
        <v>7.6</v>
      </c>
      <c r="V39">
        <v>724</v>
      </c>
      <c r="W39">
        <v>0</v>
      </c>
      <c r="X39">
        <v>21.1</v>
      </c>
      <c r="Y39">
        <v>26</v>
      </c>
      <c r="Z39">
        <v>9</v>
      </c>
      <c r="AA39">
        <v>9</v>
      </c>
      <c r="AB39">
        <v>0</v>
      </c>
      <c r="AC39">
        <v>1267</v>
      </c>
      <c r="AD39" s="8">
        <v>38574.159722222219</v>
      </c>
    </row>
    <row r="40" spans="1:31">
      <c r="A40" t="s">
        <v>1481</v>
      </c>
      <c r="B40">
        <v>6.7</v>
      </c>
      <c r="C40" s="8">
        <v>38629.436805555553</v>
      </c>
      <c r="D40">
        <v>5</v>
      </c>
      <c r="E40">
        <v>6</v>
      </c>
      <c r="G40">
        <v>0</v>
      </c>
      <c r="H40">
        <v>717</v>
      </c>
      <c r="I40" t="s">
        <v>22</v>
      </c>
      <c r="J40">
        <v>656</v>
      </c>
      <c r="K40">
        <v>0</v>
      </c>
      <c r="L40">
        <v>21.2</v>
      </c>
      <c r="M40" t="s">
        <v>829</v>
      </c>
      <c r="N40">
        <v>19</v>
      </c>
      <c r="O40">
        <v>-1.6439999999999999</v>
      </c>
      <c r="P40">
        <v>99.606999999999999</v>
      </c>
      <c r="Q40" t="s">
        <v>1231</v>
      </c>
      <c r="R40" t="s">
        <v>54</v>
      </c>
      <c r="S40" t="s">
        <v>108</v>
      </c>
      <c r="T40">
        <v>2</v>
      </c>
      <c r="U40">
        <v>6.7</v>
      </c>
      <c r="V40">
        <v>656</v>
      </c>
      <c r="W40">
        <v>0</v>
      </c>
      <c r="X40">
        <v>21.2</v>
      </c>
      <c r="Y40">
        <v>19</v>
      </c>
      <c r="Z40">
        <v>5</v>
      </c>
      <c r="AA40">
        <v>6</v>
      </c>
      <c r="AB40">
        <v>0</v>
      </c>
      <c r="AC40">
        <v>717</v>
      </c>
      <c r="AD40" s="8">
        <v>38629.436805555553</v>
      </c>
    </row>
    <row r="41" spans="1:31">
      <c r="A41" t="s">
        <v>1480</v>
      </c>
      <c r="B41">
        <v>6.5</v>
      </c>
      <c r="C41" s="8">
        <v>38629.468055555553</v>
      </c>
      <c r="D41">
        <v>3</v>
      </c>
      <c r="E41">
        <v>6</v>
      </c>
      <c r="G41">
        <v>0</v>
      </c>
      <c r="H41">
        <v>657</v>
      </c>
      <c r="I41" t="s">
        <v>22</v>
      </c>
      <c r="J41">
        <v>478</v>
      </c>
      <c r="K41">
        <v>0</v>
      </c>
      <c r="L41">
        <v>21.2</v>
      </c>
      <c r="M41" t="s">
        <v>829</v>
      </c>
      <c r="N41">
        <v>30</v>
      </c>
      <c r="O41">
        <v>-1.714</v>
      </c>
      <c r="P41">
        <v>99.778999999999996</v>
      </c>
      <c r="Q41" t="s">
        <v>1231</v>
      </c>
      <c r="R41" t="s">
        <v>54</v>
      </c>
      <c r="S41" t="s">
        <v>108</v>
      </c>
      <c r="T41">
        <v>2</v>
      </c>
      <c r="U41">
        <v>6.5</v>
      </c>
      <c r="V41">
        <v>478</v>
      </c>
      <c r="W41">
        <v>0</v>
      </c>
      <c r="X41">
        <v>21.2</v>
      </c>
      <c r="Y41">
        <v>30</v>
      </c>
      <c r="Z41">
        <v>3</v>
      </c>
      <c r="AA41">
        <v>6</v>
      </c>
      <c r="AB41">
        <v>0</v>
      </c>
      <c r="AC41">
        <v>657</v>
      </c>
      <c r="AD41" s="8">
        <v>38629.468055555553</v>
      </c>
    </row>
    <row r="42" spans="1:31">
      <c r="A42" t="s">
        <v>1446</v>
      </c>
      <c r="B42">
        <v>6.5</v>
      </c>
      <c r="C42" s="8">
        <v>38698.907638888886</v>
      </c>
      <c r="D42">
        <v>6</v>
      </c>
      <c r="E42">
        <v>5</v>
      </c>
      <c r="G42">
        <v>0</v>
      </c>
      <c r="H42">
        <v>721</v>
      </c>
      <c r="I42" t="s">
        <v>22</v>
      </c>
      <c r="J42">
        <v>529</v>
      </c>
      <c r="K42">
        <v>0</v>
      </c>
      <c r="L42">
        <v>20.5</v>
      </c>
      <c r="M42" t="s">
        <v>36</v>
      </c>
      <c r="N42">
        <v>224.6</v>
      </c>
      <c r="O42">
        <v>36.356999999999999</v>
      </c>
      <c r="P42">
        <v>71.093000000000004</v>
      </c>
      <c r="Q42" t="s">
        <v>648</v>
      </c>
      <c r="R42" t="s">
        <v>54</v>
      </c>
      <c r="S42" t="s">
        <v>649</v>
      </c>
      <c r="T42">
        <v>2</v>
      </c>
      <c r="U42">
        <v>6.5</v>
      </c>
      <c r="V42">
        <v>529</v>
      </c>
      <c r="W42">
        <v>0</v>
      </c>
      <c r="X42">
        <v>20.5</v>
      </c>
      <c r="Y42">
        <v>224.6</v>
      </c>
      <c r="Z42">
        <v>6</v>
      </c>
      <c r="AA42">
        <v>5</v>
      </c>
      <c r="AB42">
        <v>0</v>
      </c>
      <c r="AC42">
        <v>721</v>
      </c>
      <c r="AD42" s="8">
        <v>38698.907638888886</v>
      </c>
    </row>
    <row r="43" spans="1:31">
      <c r="A43" t="s">
        <v>1358</v>
      </c>
      <c r="B43">
        <v>7.5</v>
      </c>
      <c r="C43" s="8">
        <v>39302.711805555555</v>
      </c>
      <c r="D43">
        <v>0</v>
      </c>
      <c r="E43">
        <v>5</v>
      </c>
      <c r="G43">
        <v>0</v>
      </c>
      <c r="H43">
        <v>865</v>
      </c>
      <c r="I43" t="s">
        <v>22</v>
      </c>
      <c r="J43">
        <v>228</v>
      </c>
      <c r="K43">
        <v>0</v>
      </c>
      <c r="L43">
        <v>30.7</v>
      </c>
      <c r="M43" t="s">
        <v>829</v>
      </c>
      <c r="N43">
        <v>280</v>
      </c>
      <c r="O43">
        <v>-5.859</v>
      </c>
      <c r="P43">
        <v>107.419</v>
      </c>
      <c r="Q43" t="s">
        <v>1359</v>
      </c>
      <c r="R43" t="s">
        <v>54</v>
      </c>
      <c r="S43" t="s">
        <v>108</v>
      </c>
      <c r="T43">
        <v>2</v>
      </c>
      <c r="U43">
        <v>7.5</v>
      </c>
      <c r="V43">
        <v>228</v>
      </c>
      <c r="W43">
        <v>0</v>
      </c>
      <c r="X43">
        <v>30.7</v>
      </c>
      <c r="Y43">
        <v>280</v>
      </c>
      <c r="Z43">
        <v>0</v>
      </c>
      <c r="AA43">
        <v>5</v>
      </c>
      <c r="AB43">
        <v>0</v>
      </c>
      <c r="AC43">
        <v>865</v>
      </c>
      <c r="AD43" s="8">
        <v>39302.711805555555</v>
      </c>
    </row>
    <row r="44" spans="1:31">
      <c r="A44" t="s">
        <v>1349</v>
      </c>
      <c r="B44">
        <v>8.4</v>
      </c>
      <c r="C44" s="8">
        <v>39425.465277777781</v>
      </c>
      <c r="D44">
        <v>0</v>
      </c>
      <c r="E44">
        <v>6</v>
      </c>
      <c r="G44">
        <v>0</v>
      </c>
      <c r="H44">
        <v>1086</v>
      </c>
      <c r="I44" t="s">
        <v>1039</v>
      </c>
      <c r="J44">
        <v>411</v>
      </c>
      <c r="K44">
        <v>0</v>
      </c>
      <c r="L44">
        <v>32.299999999999997</v>
      </c>
      <c r="M44" t="s">
        <v>23</v>
      </c>
      <c r="N44">
        <v>34</v>
      </c>
      <c r="O44">
        <v>-4.4379999999999997</v>
      </c>
      <c r="P44">
        <v>101.367</v>
      </c>
      <c r="Q44" t="s">
        <v>29</v>
      </c>
      <c r="R44" t="s">
        <v>54</v>
      </c>
      <c r="S44" t="s">
        <v>108</v>
      </c>
      <c r="T44">
        <v>2</v>
      </c>
      <c r="U44">
        <v>8.4</v>
      </c>
      <c r="V44">
        <v>411</v>
      </c>
      <c r="W44">
        <v>0</v>
      </c>
      <c r="X44">
        <v>32.299999999999997</v>
      </c>
      <c r="Y44">
        <v>34</v>
      </c>
      <c r="Z44">
        <v>0</v>
      </c>
      <c r="AA44">
        <v>6</v>
      </c>
      <c r="AB44">
        <v>0</v>
      </c>
      <c r="AC44">
        <v>1086</v>
      </c>
      <c r="AD44" s="8">
        <v>39425.465277777781</v>
      </c>
    </row>
    <row r="45" spans="1:31">
      <c r="A45" t="s">
        <v>1347</v>
      </c>
      <c r="B45">
        <v>7.9</v>
      </c>
      <c r="C45" s="8">
        <v>39425.992361111108</v>
      </c>
      <c r="D45">
        <v>8</v>
      </c>
      <c r="E45">
        <v>7</v>
      </c>
      <c r="G45">
        <v>0</v>
      </c>
      <c r="H45">
        <v>1133</v>
      </c>
      <c r="I45" t="s">
        <v>22</v>
      </c>
      <c r="J45">
        <v>446</v>
      </c>
      <c r="K45">
        <v>0</v>
      </c>
      <c r="L45">
        <v>29.1</v>
      </c>
      <c r="M45" t="s">
        <v>829</v>
      </c>
      <c r="N45">
        <v>35</v>
      </c>
      <c r="O45">
        <v>-2.625</v>
      </c>
      <c r="P45">
        <v>100.84099999999999</v>
      </c>
      <c r="Q45" t="s">
        <v>626</v>
      </c>
      <c r="R45" t="s">
        <v>54</v>
      </c>
      <c r="S45" t="s">
        <v>108</v>
      </c>
      <c r="T45">
        <v>2</v>
      </c>
      <c r="U45">
        <v>7.9</v>
      </c>
      <c r="V45">
        <v>446</v>
      </c>
      <c r="W45">
        <v>0</v>
      </c>
      <c r="X45">
        <v>29.1</v>
      </c>
      <c r="Y45">
        <v>35</v>
      </c>
      <c r="Z45">
        <v>8</v>
      </c>
      <c r="AA45">
        <v>7</v>
      </c>
      <c r="AB45">
        <v>0</v>
      </c>
      <c r="AC45">
        <v>1133</v>
      </c>
      <c r="AD45" s="8">
        <v>39425.992361111108</v>
      </c>
    </row>
    <row r="46" spans="1:31">
      <c r="A46" t="s">
        <v>1348</v>
      </c>
      <c r="B46">
        <v>7.8</v>
      </c>
      <c r="C46" s="8">
        <v>39425.992361111108</v>
      </c>
      <c r="D46">
        <v>7</v>
      </c>
      <c r="E46">
        <v>8</v>
      </c>
      <c r="G46">
        <v>0</v>
      </c>
      <c r="H46">
        <v>1152</v>
      </c>
      <c r="I46" t="s">
        <v>1276</v>
      </c>
      <c r="J46">
        <v>0</v>
      </c>
      <c r="K46">
        <v>0</v>
      </c>
      <c r="L46">
        <v>0</v>
      </c>
      <c r="M46" t="s">
        <v>23</v>
      </c>
      <c r="N46">
        <v>40.5</v>
      </c>
      <c r="O46">
        <v>-2.52</v>
      </c>
      <c r="P46">
        <v>100.139</v>
      </c>
      <c r="Q46" t="s">
        <v>626</v>
      </c>
      <c r="R46" t="s">
        <v>54</v>
      </c>
      <c r="S46" t="s">
        <v>108</v>
      </c>
      <c r="T46">
        <v>2</v>
      </c>
      <c r="U46">
        <v>7.8</v>
      </c>
      <c r="V46">
        <v>0</v>
      </c>
      <c r="W46">
        <v>0</v>
      </c>
      <c r="X46">
        <v>0</v>
      </c>
      <c r="Y46">
        <v>40.5</v>
      </c>
      <c r="Z46">
        <v>7</v>
      </c>
      <c r="AA46">
        <v>8</v>
      </c>
      <c r="AB46">
        <v>0</v>
      </c>
      <c r="AC46">
        <v>1152</v>
      </c>
      <c r="AD46" s="8">
        <v>39425.992361111108</v>
      </c>
    </row>
    <row r="47" spans="1:31">
      <c r="A47" t="s">
        <v>1288</v>
      </c>
      <c r="B47">
        <v>6.9</v>
      </c>
      <c r="C47" s="8">
        <v>39510.59097222222</v>
      </c>
      <c r="D47">
        <v>4</v>
      </c>
      <c r="E47">
        <v>5</v>
      </c>
      <c r="G47">
        <v>0</v>
      </c>
      <c r="H47">
        <v>740</v>
      </c>
      <c r="I47" t="s">
        <v>22</v>
      </c>
      <c r="J47">
        <v>544</v>
      </c>
      <c r="K47">
        <v>0</v>
      </c>
      <c r="L47">
        <v>25.9</v>
      </c>
      <c r="M47" t="s">
        <v>829</v>
      </c>
      <c r="N47">
        <v>24</v>
      </c>
      <c r="O47">
        <v>13.351000000000001</v>
      </c>
      <c r="P47">
        <v>125.63</v>
      </c>
      <c r="Q47" t="s">
        <v>1289</v>
      </c>
      <c r="R47" t="s">
        <v>54</v>
      </c>
      <c r="S47" t="s">
        <v>75</v>
      </c>
      <c r="T47">
        <v>2</v>
      </c>
      <c r="U47">
        <v>6.9</v>
      </c>
      <c r="V47">
        <v>544</v>
      </c>
      <c r="W47">
        <v>0</v>
      </c>
      <c r="X47">
        <v>25.9</v>
      </c>
      <c r="Y47">
        <v>24</v>
      </c>
      <c r="Z47">
        <v>4</v>
      </c>
      <c r="AA47">
        <v>5</v>
      </c>
      <c r="AB47">
        <v>0</v>
      </c>
      <c r="AC47">
        <v>740</v>
      </c>
      <c r="AD47" s="8">
        <v>39510.59097222222</v>
      </c>
    </row>
    <row r="48" spans="1:31">
      <c r="A48" t="s">
        <v>1261</v>
      </c>
      <c r="B48">
        <v>6.7</v>
      </c>
      <c r="C48" s="8">
        <v>39578.661111111112</v>
      </c>
      <c r="D48">
        <v>0</v>
      </c>
      <c r="E48">
        <v>6</v>
      </c>
      <c r="G48">
        <v>0</v>
      </c>
      <c r="H48">
        <v>691</v>
      </c>
      <c r="I48" t="s">
        <v>22</v>
      </c>
      <c r="J48">
        <v>529</v>
      </c>
      <c r="K48">
        <v>0</v>
      </c>
      <c r="L48">
        <v>22.3</v>
      </c>
      <c r="M48" t="s">
        <v>829</v>
      </c>
      <c r="N48">
        <v>27.4</v>
      </c>
      <c r="O48">
        <v>39.533000000000001</v>
      </c>
      <c r="P48">
        <v>73.823999999999998</v>
      </c>
      <c r="Q48" t="s">
        <v>1262</v>
      </c>
      <c r="R48" t="s">
        <v>54</v>
      </c>
      <c r="S48" t="s">
        <v>1263</v>
      </c>
      <c r="T48">
        <v>2</v>
      </c>
      <c r="U48">
        <v>6.7</v>
      </c>
      <c r="V48">
        <v>529</v>
      </c>
      <c r="W48">
        <v>0</v>
      </c>
      <c r="X48">
        <v>22.3</v>
      </c>
      <c r="Y48">
        <v>27.4</v>
      </c>
      <c r="Z48">
        <v>0</v>
      </c>
      <c r="AA48">
        <v>6</v>
      </c>
      <c r="AB48">
        <v>0</v>
      </c>
      <c r="AC48">
        <v>691</v>
      </c>
      <c r="AD48" s="8">
        <v>39578.661111111112</v>
      </c>
    </row>
    <row r="49" spans="1:30">
      <c r="A49" t="s">
        <v>1277</v>
      </c>
      <c r="B49">
        <v>6.6</v>
      </c>
      <c r="C49" s="8" t="s">
        <v>1278</v>
      </c>
      <c r="D49">
        <v>4</v>
      </c>
      <c r="E49">
        <v>5</v>
      </c>
      <c r="G49">
        <v>0</v>
      </c>
      <c r="H49">
        <v>680</v>
      </c>
      <c r="I49" t="s">
        <v>22</v>
      </c>
      <c r="J49">
        <v>630</v>
      </c>
      <c r="K49">
        <v>0</v>
      </c>
      <c r="L49">
        <v>18.399999999999999</v>
      </c>
      <c r="M49" t="s">
        <v>829</v>
      </c>
      <c r="N49">
        <v>17</v>
      </c>
      <c r="O49">
        <v>11.005000000000001</v>
      </c>
      <c r="P49">
        <v>91.823999999999998</v>
      </c>
      <c r="Q49" t="s">
        <v>1180</v>
      </c>
      <c r="R49" t="s">
        <v>54</v>
      </c>
      <c r="S49" t="s">
        <v>671</v>
      </c>
      <c r="T49">
        <v>2</v>
      </c>
      <c r="U49">
        <v>6.6</v>
      </c>
      <c r="V49">
        <v>630</v>
      </c>
      <c r="W49">
        <v>0</v>
      </c>
      <c r="X49">
        <v>18.399999999999999</v>
      </c>
      <c r="Y49">
        <v>17</v>
      </c>
      <c r="Z49">
        <v>4</v>
      </c>
      <c r="AA49">
        <v>5</v>
      </c>
      <c r="AB49">
        <v>0</v>
      </c>
      <c r="AC49">
        <v>680</v>
      </c>
      <c r="AD49" s="8">
        <v>39626</v>
      </c>
    </row>
    <row r="50" spans="1:30">
      <c r="A50" t="s">
        <v>1284</v>
      </c>
      <c r="B50">
        <v>6.9</v>
      </c>
      <c r="C50" s="8">
        <v>39634.697916666664</v>
      </c>
      <c r="D50">
        <v>5</v>
      </c>
      <c r="E50">
        <v>5</v>
      </c>
      <c r="G50">
        <v>0</v>
      </c>
      <c r="H50">
        <v>910</v>
      </c>
      <c r="I50" t="s">
        <v>22</v>
      </c>
      <c r="J50">
        <v>519</v>
      </c>
      <c r="K50">
        <v>0</v>
      </c>
      <c r="L50">
        <v>21.1</v>
      </c>
      <c r="M50" t="s">
        <v>829</v>
      </c>
      <c r="N50">
        <v>27</v>
      </c>
      <c r="O50">
        <v>36.164000000000001</v>
      </c>
      <c r="P50">
        <v>141.52600000000001</v>
      </c>
      <c r="Q50" t="s">
        <v>1108</v>
      </c>
      <c r="R50" s="3" t="s">
        <v>54</v>
      </c>
      <c r="S50" t="s">
        <v>200</v>
      </c>
      <c r="T50">
        <v>2</v>
      </c>
      <c r="U50">
        <v>6.9</v>
      </c>
      <c r="V50">
        <v>519</v>
      </c>
      <c r="W50">
        <v>0</v>
      </c>
      <c r="X50">
        <v>21.1</v>
      </c>
      <c r="Y50">
        <v>27</v>
      </c>
      <c r="Z50">
        <v>5</v>
      </c>
      <c r="AA50">
        <v>5</v>
      </c>
      <c r="AB50">
        <v>0</v>
      </c>
      <c r="AC50">
        <v>910</v>
      </c>
      <c r="AD50" s="8">
        <v>39634.697916666664</v>
      </c>
    </row>
    <row r="51" spans="1:30">
      <c r="A51" t="s">
        <v>1265</v>
      </c>
      <c r="B51">
        <v>6.6</v>
      </c>
      <c r="C51" s="8">
        <v>39761</v>
      </c>
      <c r="D51">
        <v>0</v>
      </c>
      <c r="E51">
        <v>6</v>
      </c>
      <c r="G51">
        <v>0</v>
      </c>
      <c r="H51">
        <v>670</v>
      </c>
      <c r="I51" t="s">
        <v>22</v>
      </c>
      <c r="J51">
        <v>463</v>
      </c>
      <c r="K51">
        <v>0</v>
      </c>
      <c r="L51">
        <v>14.1</v>
      </c>
      <c r="M51" t="s">
        <v>829</v>
      </c>
      <c r="N51">
        <v>96</v>
      </c>
      <c r="O51">
        <v>1.885</v>
      </c>
      <c r="P51">
        <v>127.363</v>
      </c>
      <c r="Q51" t="s">
        <v>797</v>
      </c>
      <c r="R51" t="s">
        <v>54</v>
      </c>
      <c r="S51" t="s">
        <v>108</v>
      </c>
      <c r="T51">
        <v>2</v>
      </c>
      <c r="U51">
        <v>6.6</v>
      </c>
      <c r="V51">
        <v>463</v>
      </c>
      <c r="W51">
        <v>0</v>
      </c>
      <c r="X51">
        <v>14.1</v>
      </c>
      <c r="Y51">
        <v>96</v>
      </c>
      <c r="Z51">
        <v>0</v>
      </c>
      <c r="AA51">
        <v>6</v>
      </c>
      <c r="AB51">
        <v>0</v>
      </c>
      <c r="AC51">
        <v>670</v>
      </c>
      <c r="AD51" s="8">
        <v>39761</v>
      </c>
    </row>
    <row r="52" spans="1:30">
      <c r="A52" t="s">
        <v>1264</v>
      </c>
      <c r="B52">
        <v>6.8</v>
      </c>
      <c r="C52" s="8">
        <v>39761.013888888891</v>
      </c>
      <c r="D52">
        <v>0</v>
      </c>
      <c r="E52">
        <v>6</v>
      </c>
      <c r="G52">
        <v>0</v>
      </c>
      <c r="H52">
        <v>711</v>
      </c>
      <c r="I52" t="s">
        <v>22</v>
      </c>
      <c r="J52">
        <v>500</v>
      </c>
      <c r="K52">
        <v>0</v>
      </c>
      <c r="L52">
        <v>22.2</v>
      </c>
      <c r="M52" t="s">
        <v>829</v>
      </c>
      <c r="N52">
        <v>25</v>
      </c>
      <c r="O52">
        <v>41.892000000000003</v>
      </c>
      <c r="P52">
        <v>143.75399999999999</v>
      </c>
      <c r="Q52" t="s">
        <v>981</v>
      </c>
      <c r="R52" t="s">
        <v>54</v>
      </c>
      <c r="S52" t="s">
        <v>200</v>
      </c>
      <c r="T52">
        <v>2</v>
      </c>
      <c r="U52">
        <v>6.8</v>
      </c>
      <c r="V52">
        <v>500</v>
      </c>
      <c r="W52">
        <v>0</v>
      </c>
      <c r="X52">
        <v>22.2</v>
      </c>
      <c r="Y52">
        <v>25</v>
      </c>
      <c r="Z52">
        <v>0</v>
      </c>
      <c r="AA52">
        <v>6</v>
      </c>
      <c r="AB52">
        <v>0</v>
      </c>
      <c r="AC52">
        <v>711</v>
      </c>
      <c r="AD52" s="8">
        <v>39761.013888888891</v>
      </c>
    </row>
    <row r="53" spans="1:30">
      <c r="A53" t="s">
        <v>1282</v>
      </c>
      <c r="B53">
        <v>7.9</v>
      </c>
      <c r="C53" s="8">
        <v>39787.269444444442</v>
      </c>
      <c r="D53">
        <v>9</v>
      </c>
      <c r="E53">
        <v>9</v>
      </c>
      <c r="G53">
        <v>0</v>
      </c>
      <c r="H53">
        <v>1870</v>
      </c>
      <c r="I53" t="s">
        <v>22</v>
      </c>
      <c r="J53">
        <v>774</v>
      </c>
      <c r="K53">
        <v>0</v>
      </c>
      <c r="L53">
        <v>11.3</v>
      </c>
      <c r="M53" t="s">
        <v>829</v>
      </c>
      <c r="N53">
        <v>19</v>
      </c>
      <c r="O53">
        <v>31.001999999999999</v>
      </c>
      <c r="P53">
        <v>103.322</v>
      </c>
      <c r="Q53" t="s">
        <v>1283</v>
      </c>
      <c r="R53" t="s">
        <v>54</v>
      </c>
      <c r="S53" t="s">
        <v>1752</v>
      </c>
      <c r="T53">
        <v>2</v>
      </c>
      <c r="U53">
        <v>7.9</v>
      </c>
      <c r="V53">
        <v>774</v>
      </c>
      <c r="W53">
        <v>0</v>
      </c>
      <c r="X53">
        <v>11.3</v>
      </c>
      <c r="Y53">
        <v>19</v>
      </c>
      <c r="Z53">
        <v>9</v>
      </c>
      <c r="AA53">
        <v>9</v>
      </c>
      <c r="AB53">
        <v>0</v>
      </c>
      <c r="AC53">
        <v>1870</v>
      </c>
      <c r="AD53" s="8">
        <v>39787.269444444442</v>
      </c>
    </row>
    <row r="54" spans="1:30">
      <c r="A54" t="s">
        <v>1221</v>
      </c>
      <c r="B54">
        <v>6.6</v>
      </c>
      <c r="C54" s="8">
        <v>39823.077777777777</v>
      </c>
      <c r="D54">
        <v>7</v>
      </c>
      <c r="E54">
        <v>7</v>
      </c>
      <c r="G54">
        <v>0</v>
      </c>
      <c r="H54">
        <v>787</v>
      </c>
      <c r="I54" t="s">
        <v>22</v>
      </c>
      <c r="J54">
        <v>417</v>
      </c>
      <c r="K54">
        <v>0</v>
      </c>
      <c r="L54">
        <v>30.1</v>
      </c>
      <c r="M54" t="s">
        <v>829</v>
      </c>
      <c r="N54">
        <v>9</v>
      </c>
      <c r="O54">
        <v>-2.4820000000000002</v>
      </c>
      <c r="P54">
        <v>101.524</v>
      </c>
      <c r="Q54" t="s">
        <v>626</v>
      </c>
      <c r="R54" t="s">
        <v>54</v>
      </c>
      <c r="S54" t="s">
        <v>108</v>
      </c>
      <c r="T54">
        <v>2</v>
      </c>
      <c r="U54">
        <v>6.6</v>
      </c>
      <c r="V54">
        <v>417</v>
      </c>
      <c r="W54">
        <v>0</v>
      </c>
      <c r="X54">
        <v>30.1</v>
      </c>
      <c r="Y54">
        <v>9</v>
      </c>
      <c r="Z54">
        <v>7</v>
      </c>
      <c r="AA54">
        <v>7</v>
      </c>
      <c r="AB54">
        <v>0</v>
      </c>
      <c r="AC54">
        <v>787</v>
      </c>
      <c r="AD54" s="8">
        <v>39823.077777777777</v>
      </c>
    </row>
    <row r="55" spans="1:30">
      <c r="A55" t="s">
        <v>1227</v>
      </c>
      <c r="B55">
        <v>7</v>
      </c>
      <c r="C55" s="8">
        <v>39853.329861111109</v>
      </c>
      <c r="D55">
        <v>7</v>
      </c>
      <c r="E55">
        <v>7</v>
      </c>
      <c r="G55">
        <v>0</v>
      </c>
      <c r="H55">
        <v>1175</v>
      </c>
      <c r="I55" t="s">
        <v>22</v>
      </c>
      <c r="J55">
        <v>312</v>
      </c>
      <c r="K55">
        <v>0</v>
      </c>
      <c r="L55">
        <v>16.3</v>
      </c>
      <c r="M55" t="s">
        <v>829</v>
      </c>
      <c r="N55">
        <v>46</v>
      </c>
      <c r="O55">
        <v>-7.782</v>
      </c>
      <c r="P55">
        <v>107.297</v>
      </c>
      <c r="Q55" t="s">
        <v>1228</v>
      </c>
      <c r="R55" t="s">
        <v>54</v>
      </c>
      <c r="S55" t="s">
        <v>108</v>
      </c>
      <c r="T55">
        <v>2</v>
      </c>
      <c r="U55">
        <v>7</v>
      </c>
      <c r="V55">
        <v>312</v>
      </c>
      <c r="W55">
        <v>0</v>
      </c>
      <c r="X55">
        <v>16.3</v>
      </c>
      <c r="Y55">
        <v>46</v>
      </c>
      <c r="Z55">
        <v>7</v>
      </c>
      <c r="AA55">
        <v>7</v>
      </c>
      <c r="AB55">
        <v>0</v>
      </c>
      <c r="AC55">
        <v>1175</v>
      </c>
      <c r="AD55" s="8">
        <v>39853.329861111109</v>
      </c>
    </row>
    <row r="56" spans="1:30">
      <c r="A56" t="s">
        <v>1254</v>
      </c>
      <c r="B56">
        <v>7.7</v>
      </c>
      <c r="C56" s="8">
        <v>39873.821527777778</v>
      </c>
      <c r="D56">
        <v>5</v>
      </c>
      <c r="E56">
        <v>7</v>
      </c>
      <c r="G56">
        <v>0</v>
      </c>
      <c r="H56">
        <v>918</v>
      </c>
      <c r="I56" t="s">
        <v>22</v>
      </c>
      <c r="J56">
        <v>288</v>
      </c>
      <c r="K56">
        <v>0</v>
      </c>
      <c r="L56">
        <v>29.8</v>
      </c>
      <c r="M56" t="s">
        <v>829</v>
      </c>
      <c r="N56">
        <v>17</v>
      </c>
      <c r="O56">
        <v>-0.41399999999999998</v>
      </c>
      <c r="P56">
        <v>132.88499999999999</v>
      </c>
      <c r="Q56" t="s">
        <v>1025</v>
      </c>
      <c r="R56" t="s">
        <v>54</v>
      </c>
      <c r="S56" t="s">
        <v>108</v>
      </c>
      <c r="T56">
        <v>2</v>
      </c>
      <c r="U56">
        <v>7.7</v>
      </c>
      <c r="V56">
        <v>288</v>
      </c>
      <c r="W56">
        <v>0</v>
      </c>
      <c r="X56">
        <v>29.8</v>
      </c>
      <c r="Y56">
        <v>17</v>
      </c>
      <c r="Z56">
        <v>5</v>
      </c>
      <c r="AA56">
        <v>7</v>
      </c>
      <c r="AB56">
        <v>0</v>
      </c>
      <c r="AC56">
        <v>918</v>
      </c>
      <c r="AD56" s="8">
        <v>39873.821527777778</v>
      </c>
    </row>
    <row r="57" spans="1:30">
      <c r="A57" t="s">
        <v>1252</v>
      </c>
      <c r="B57">
        <v>6.6</v>
      </c>
      <c r="C57" s="8">
        <v>39873.849305555559</v>
      </c>
      <c r="D57">
        <v>5</v>
      </c>
      <c r="E57">
        <v>4</v>
      </c>
      <c r="G57">
        <v>0</v>
      </c>
      <c r="H57">
        <v>765</v>
      </c>
      <c r="I57" t="s">
        <v>22</v>
      </c>
      <c r="J57">
        <v>344</v>
      </c>
      <c r="K57">
        <v>0</v>
      </c>
      <c r="L57">
        <v>22.6</v>
      </c>
      <c r="M57" t="s">
        <v>829</v>
      </c>
      <c r="N57">
        <v>204.8</v>
      </c>
      <c r="O57">
        <v>36.418999999999997</v>
      </c>
      <c r="P57">
        <v>70.742999999999995</v>
      </c>
      <c r="Q57" t="s">
        <v>1253</v>
      </c>
      <c r="R57" t="s">
        <v>54</v>
      </c>
      <c r="S57" t="s">
        <v>649</v>
      </c>
      <c r="T57">
        <v>2</v>
      </c>
      <c r="U57">
        <v>6.6</v>
      </c>
      <c r="V57">
        <v>344</v>
      </c>
      <c r="W57">
        <v>0</v>
      </c>
      <c r="X57">
        <v>22.6</v>
      </c>
      <c r="Y57">
        <v>204.8</v>
      </c>
      <c r="Z57">
        <v>5</v>
      </c>
      <c r="AA57">
        <v>4</v>
      </c>
      <c r="AB57">
        <v>0</v>
      </c>
      <c r="AC57">
        <v>765</v>
      </c>
      <c r="AD57" s="8">
        <v>39873.849305555559</v>
      </c>
    </row>
    <row r="58" spans="1:30">
      <c r="A58" t="s">
        <v>1251</v>
      </c>
      <c r="B58">
        <v>7.4</v>
      </c>
      <c r="C58" s="8">
        <v>39873.939583333333</v>
      </c>
      <c r="D58">
        <v>7</v>
      </c>
      <c r="E58">
        <v>7</v>
      </c>
      <c r="G58">
        <v>0</v>
      </c>
      <c r="H58">
        <v>846</v>
      </c>
      <c r="I58" t="s">
        <v>22</v>
      </c>
      <c r="J58">
        <v>314</v>
      </c>
      <c r="K58">
        <v>0</v>
      </c>
      <c r="L58">
        <v>21.1</v>
      </c>
      <c r="M58" t="s">
        <v>829</v>
      </c>
      <c r="N58">
        <v>23</v>
      </c>
      <c r="O58">
        <v>-0.69099999999999995</v>
      </c>
      <c r="P58">
        <v>133.30500000000001</v>
      </c>
      <c r="Q58" t="s">
        <v>1025</v>
      </c>
      <c r="R58" t="s">
        <v>54</v>
      </c>
      <c r="S58" t="s">
        <v>108</v>
      </c>
      <c r="T58">
        <v>2</v>
      </c>
      <c r="U58">
        <v>7.4</v>
      </c>
      <c r="V58">
        <v>314</v>
      </c>
      <c r="W58">
        <v>0</v>
      </c>
      <c r="X58">
        <v>21.1</v>
      </c>
      <c r="Y58">
        <v>23</v>
      </c>
      <c r="Z58">
        <v>7</v>
      </c>
      <c r="AA58">
        <v>7</v>
      </c>
      <c r="AB58">
        <v>0</v>
      </c>
      <c r="AC58">
        <v>846</v>
      </c>
      <c r="AD58" s="8">
        <v>39873.939583333333</v>
      </c>
    </row>
    <row r="59" spans="1:30">
      <c r="A59" t="s">
        <v>1211</v>
      </c>
      <c r="B59">
        <v>6.6</v>
      </c>
      <c r="C59" s="8">
        <v>40036.820138888892</v>
      </c>
      <c r="D59">
        <v>7</v>
      </c>
      <c r="E59">
        <v>6</v>
      </c>
      <c r="G59">
        <v>0</v>
      </c>
      <c r="H59">
        <v>677</v>
      </c>
      <c r="I59" t="s">
        <v>22</v>
      </c>
      <c r="J59">
        <v>305</v>
      </c>
      <c r="K59">
        <v>0</v>
      </c>
      <c r="L59">
        <v>20.399999999999999</v>
      </c>
      <c r="M59" t="s">
        <v>829</v>
      </c>
      <c r="N59">
        <v>18</v>
      </c>
      <c r="O59">
        <v>-8.2070000000000007</v>
      </c>
      <c r="P59">
        <v>118.631</v>
      </c>
      <c r="Q59" t="s">
        <v>1212</v>
      </c>
      <c r="R59" t="s">
        <v>54</v>
      </c>
      <c r="S59" t="s">
        <v>108</v>
      </c>
      <c r="T59">
        <v>2</v>
      </c>
      <c r="U59">
        <v>6.6</v>
      </c>
      <c r="V59">
        <v>305</v>
      </c>
      <c r="W59">
        <v>0</v>
      </c>
      <c r="X59">
        <v>20.399999999999999</v>
      </c>
      <c r="Y59">
        <v>18</v>
      </c>
      <c r="Z59">
        <v>7</v>
      </c>
      <c r="AA59">
        <v>6</v>
      </c>
      <c r="AB59">
        <v>0</v>
      </c>
      <c r="AC59">
        <v>677</v>
      </c>
      <c r="AD59" s="8">
        <v>40036.820138888892</v>
      </c>
    </row>
    <row r="60" spans="1:30">
      <c r="A60" t="s">
        <v>1235</v>
      </c>
      <c r="B60">
        <v>7.1</v>
      </c>
      <c r="C60" s="8">
        <v>40064.454861111109</v>
      </c>
      <c r="D60">
        <v>5</v>
      </c>
      <c r="E60">
        <v>4</v>
      </c>
      <c r="G60">
        <v>0</v>
      </c>
      <c r="H60">
        <v>1005</v>
      </c>
      <c r="I60" t="s">
        <v>22</v>
      </c>
      <c r="J60">
        <v>447</v>
      </c>
      <c r="K60">
        <v>0</v>
      </c>
      <c r="L60">
        <v>14.2</v>
      </c>
      <c r="M60" t="s">
        <v>829</v>
      </c>
      <c r="N60">
        <v>292</v>
      </c>
      <c r="O60">
        <v>33.167000000000002</v>
      </c>
      <c r="P60">
        <v>137.94399999999999</v>
      </c>
      <c r="Q60" t="s">
        <v>1236</v>
      </c>
      <c r="R60" s="3" t="s">
        <v>54</v>
      </c>
      <c r="S60" t="s">
        <v>200</v>
      </c>
      <c r="T60">
        <v>2</v>
      </c>
      <c r="U60">
        <v>7.1</v>
      </c>
      <c r="V60">
        <v>447</v>
      </c>
      <c r="W60">
        <v>0</v>
      </c>
      <c r="X60">
        <v>14.2</v>
      </c>
      <c r="Y60">
        <v>292</v>
      </c>
      <c r="Z60">
        <v>5</v>
      </c>
      <c r="AA60">
        <v>4</v>
      </c>
      <c r="AB60">
        <v>0</v>
      </c>
      <c r="AC60">
        <v>1005</v>
      </c>
      <c r="AD60" s="8">
        <v>40064.454861111109</v>
      </c>
    </row>
    <row r="61" spans="1:30">
      <c r="A61" t="s">
        <v>1234</v>
      </c>
      <c r="B61">
        <v>7.5</v>
      </c>
      <c r="C61" s="8">
        <v>40094.829861111109</v>
      </c>
      <c r="D61">
        <v>7</v>
      </c>
      <c r="E61">
        <v>6</v>
      </c>
      <c r="G61">
        <v>0</v>
      </c>
      <c r="H61">
        <v>1248</v>
      </c>
      <c r="I61" t="s">
        <v>22</v>
      </c>
      <c r="J61">
        <v>303</v>
      </c>
      <c r="K61">
        <v>0</v>
      </c>
      <c r="L61">
        <v>18.2</v>
      </c>
      <c r="M61" t="s">
        <v>829</v>
      </c>
      <c r="N61">
        <v>24</v>
      </c>
      <c r="O61">
        <v>14.099</v>
      </c>
      <c r="P61">
        <v>92.902000000000001</v>
      </c>
      <c r="Q61" t="s">
        <v>1180</v>
      </c>
      <c r="R61" t="s">
        <v>54</v>
      </c>
      <c r="S61" t="s">
        <v>671</v>
      </c>
      <c r="T61">
        <v>2</v>
      </c>
      <c r="U61">
        <v>7.5</v>
      </c>
      <c r="V61">
        <v>303</v>
      </c>
      <c r="W61">
        <v>0</v>
      </c>
      <c r="X61">
        <v>18.2</v>
      </c>
      <c r="Y61">
        <v>24</v>
      </c>
      <c r="Z61">
        <v>7</v>
      </c>
      <c r="AA61">
        <v>6</v>
      </c>
      <c r="AB61">
        <v>0</v>
      </c>
      <c r="AC61">
        <v>1248</v>
      </c>
      <c r="AD61" s="8">
        <v>40094.829861111109</v>
      </c>
    </row>
    <row r="62" spans="1:30">
      <c r="A62" t="s">
        <v>1250</v>
      </c>
      <c r="B62">
        <v>7.2</v>
      </c>
      <c r="C62" s="8">
        <v>40119.731944444444</v>
      </c>
      <c r="D62">
        <v>3</v>
      </c>
      <c r="E62">
        <v>7</v>
      </c>
      <c r="G62">
        <v>0</v>
      </c>
      <c r="H62">
        <v>802</v>
      </c>
      <c r="I62" t="s">
        <v>22</v>
      </c>
      <c r="J62">
        <v>432</v>
      </c>
      <c r="K62">
        <v>0</v>
      </c>
      <c r="L62">
        <v>18.600000000000001</v>
      </c>
      <c r="M62" t="s">
        <v>829</v>
      </c>
      <c r="N62">
        <v>20</v>
      </c>
      <c r="O62">
        <v>3.8860000000000001</v>
      </c>
      <c r="P62">
        <v>126.387</v>
      </c>
      <c r="Q62" t="s">
        <v>668</v>
      </c>
      <c r="R62" t="s">
        <v>54</v>
      </c>
      <c r="S62" t="s">
        <v>108</v>
      </c>
      <c r="T62">
        <v>2</v>
      </c>
      <c r="U62">
        <v>7.2</v>
      </c>
      <c r="V62">
        <v>432</v>
      </c>
      <c r="W62">
        <v>0</v>
      </c>
      <c r="X62">
        <v>18.600000000000001</v>
      </c>
      <c r="Y62">
        <v>20</v>
      </c>
      <c r="Z62">
        <v>3</v>
      </c>
      <c r="AA62">
        <v>7</v>
      </c>
      <c r="AB62">
        <v>0</v>
      </c>
      <c r="AC62">
        <v>802</v>
      </c>
      <c r="AD62" s="8">
        <v>40119.731944444444</v>
      </c>
    </row>
    <row r="63" spans="1:30">
      <c r="A63" t="s">
        <v>1232</v>
      </c>
      <c r="B63">
        <v>6.6</v>
      </c>
      <c r="C63" s="8">
        <v>40155.949999999997</v>
      </c>
      <c r="D63">
        <v>4</v>
      </c>
      <c r="E63">
        <v>5</v>
      </c>
      <c r="G63">
        <v>0</v>
      </c>
      <c r="H63">
        <v>703</v>
      </c>
      <c r="I63" t="s">
        <v>22</v>
      </c>
      <c r="J63">
        <v>336</v>
      </c>
      <c r="K63">
        <v>0</v>
      </c>
      <c r="L63">
        <v>14.1</v>
      </c>
      <c r="M63" t="s">
        <v>829</v>
      </c>
      <c r="N63">
        <v>53</v>
      </c>
      <c r="O63">
        <v>32.820999999999998</v>
      </c>
      <c r="P63">
        <v>140.39500000000001</v>
      </c>
      <c r="Q63" t="s">
        <v>1233</v>
      </c>
      <c r="R63" t="s">
        <v>54</v>
      </c>
      <c r="S63" t="s">
        <v>200</v>
      </c>
      <c r="T63">
        <v>2</v>
      </c>
      <c r="U63">
        <v>6.6</v>
      </c>
      <c r="V63">
        <v>336</v>
      </c>
      <c r="W63">
        <v>0</v>
      </c>
      <c r="X63">
        <v>14.1</v>
      </c>
      <c r="Y63">
        <v>53</v>
      </c>
      <c r="Z63">
        <v>4</v>
      </c>
      <c r="AA63">
        <v>5</v>
      </c>
      <c r="AB63">
        <v>0</v>
      </c>
      <c r="AC63">
        <v>703</v>
      </c>
      <c r="AD63" s="8">
        <v>40155.949999999997</v>
      </c>
    </row>
    <row r="64" spans="1:30">
      <c r="A64" t="s">
        <v>1178</v>
      </c>
      <c r="B64">
        <v>6.6</v>
      </c>
      <c r="C64" s="8" t="s">
        <v>1179</v>
      </c>
      <c r="D64">
        <v>5</v>
      </c>
      <c r="E64">
        <v>6</v>
      </c>
      <c r="G64">
        <v>0</v>
      </c>
      <c r="H64">
        <v>701</v>
      </c>
      <c r="I64" t="s">
        <v>22</v>
      </c>
      <c r="J64">
        <v>413</v>
      </c>
      <c r="K64">
        <v>0</v>
      </c>
      <c r="L64">
        <v>16.7</v>
      </c>
      <c r="M64" t="s">
        <v>829</v>
      </c>
      <c r="N64">
        <v>34</v>
      </c>
      <c r="O64">
        <v>13.667</v>
      </c>
      <c r="P64">
        <v>92.831000000000003</v>
      </c>
      <c r="Q64" t="s">
        <v>1180</v>
      </c>
      <c r="R64" t="s">
        <v>54</v>
      </c>
      <c r="S64" t="s">
        <v>671</v>
      </c>
      <c r="T64">
        <v>2</v>
      </c>
      <c r="U64">
        <v>6.6</v>
      </c>
      <c r="V64">
        <v>413</v>
      </c>
      <c r="W64">
        <v>0</v>
      </c>
      <c r="X64">
        <v>16.7</v>
      </c>
      <c r="Y64">
        <v>34</v>
      </c>
      <c r="Z64">
        <v>5</v>
      </c>
      <c r="AA64">
        <v>6</v>
      </c>
      <c r="AB64">
        <v>0</v>
      </c>
      <c r="AC64">
        <v>701</v>
      </c>
      <c r="AD64" s="8">
        <v>40267</v>
      </c>
    </row>
    <row r="65" spans="1:30">
      <c r="A65" t="s">
        <v>1188</v>
      </c>
      <c r="B65">
        <v>6.8</v>
      </c>
      <c r="C65" s="8">
        <v>40301.671527777777</v>
      </c>
      <c r="D65">
        <v>4</v>
      </c>
      <c r="E65">
        <v>6</v>
      </c>
      <c r="G65">
        <v>0</v>
      </c>
      <c r="H65">
        <v>717</v>
      </c>
      <c r="I65" t="s">
        <v>22</v>
      </c>
      <c r="J65">
        <v>401</v>
      </c>
      <c r="K65">
        <v>0</v>
      </c>
      <c r="L65">
        <v>23.2</v>
      </c>
      <c r="M65" t="s">
        <v>829</v>
      </c>
      <c r="N65">
        <v>26</v>
      </c>
      <c r="O65">
        <v>-3.762</v>
      </c>
      <c r="P65">
        <v>100.991</v>
      </c>
      <c r="Q65" t="s">
        <v>29</v>
      </c>
      <c r="R65" t="s">
        <v>54</v>
      </c>
      <c r="S65" t="s">
        <v>108</v>
      </c>
      <c r="T65">
        <v>2</v>
      </c>
      <c r="U65">
        <v>6.8</v>
      </c>
      <c r="V65">
        <v>401</v>
      </c>
      <c r="W65">
        <v>0</v>
      </c>
      <c r="X65">
        <v>23.2</v>
      </c>
      <c r="Y65">
        <v>26</v>
      </c>
      <c r="Z65">
        <v>4</v>
      </c>
      <c r="AA65">
        <v>6</v>
      </c>
      <c r="AB65">
        <v>0</v>
      </c>
      <c r="AC65">
        <v>717</v>
      </c>
      <c r="AD65" s="8">
        <v>40301.671527777777</v>
      </c>
    </row>
    <row r="66" spans="1:30">
      <c r="A66" t="s">
        <v>1175</v>
      </c>
      <c r="B66">
        <v>7.8</v>
      </c>
      <c r="C66" s="8">
        <v>40333.927083333336</v>
      </c>
      <c r="D66">
        <v>0</v>
      </c>
      <c r="E66">
        <v>7</v>
      </c>
      <c r="G66">
        <v>0</v>
      </c>
      <c r="H66">
        <v>936</v>
      </c>
      <c r="I66" t="s">
        <v>22</v>
      </c>
      <c r="J66">
        <v>352</v>
      </c>
      <c r="K66">
        <v>0</v>
      </c>
      <c r="L66">
        <v>19.2</v>
      </c>
      <c r="M66" t="s">
        <v>829</v>
      </c>
      <c r="N66">
        <v>31</v>
      </c>
      <c r="O66">
        <v>2.383</v>
      </c>
      <c r="P66">
        <v>97.048000000000002</v>
      </c>
      <c r="Q66" t="s">
        <v>197</v>
      </c>
      <c r="R66" t="s">
        <v>54</v>
      </c>
      <c r="S66" t="s">
        <v>108</v>
      </c>
      <c r="T66">
        <v>2</v>
      </c>
      <c r="U66">
        <v>7.8</v>
      </c>
      <c r="V66">
        <v>352</v>
      </c>
      <c r="W66">
        <v>0</v>
      </c>
      <c r="X66">
        <v>19.2</v>
      </c>
      <c r="Y66">
        <v>31</v>
      </c>
      <c r="Z66">
        <v>0</v>
      </c>
      <c r="AA66">
        <v>7</v>
      </c>
      <c r="AB66">
        <v>0</v>
      </c>
      <c r="AC66">
        <v>936</v>
      </c>
      <c r="AD66" s="8">
        <v>40333.927083333336</v>
      </c>
    </row>
    <row r="67" spans="1:30">
      <c r="A67" t="s">
        <v>1169</v>
      </c>
      <c r="B67">
        <v>7.2</v>
      </c>
      <c r="C67" s="8">
        <v>40426.249305555553</v>
      </c>
      <c r="D67">
        <v>5</v>
      </c>
      <c r="E67">
        <v>6</v>
      </c>
      <c r="G67">
        <v>0</v>
      </c>
      <c r="H67">
        <v>918</v>
      </c>
      <c r="I67" t="s">
        <v>22</v>
      </c>
      <c r="J67">
        <v>611</v>
      </c>
      <c r="K67">
        <v>0</v>
      </c>
      <c r="L67">
        <v>20.6</v>
      </c>
      <c r="M67" t="s">
        <v>829</v>
      </c>
      <c r="N67">
        <v>38</v>
      </c>
      <c r="O67">
        <v>3.7480000000000002</v>
      </c>
      <c r="P67">
        <v>96.018000000000001</v>
      </c>
      <c r="Q67" t="s">
        <v>1170</v>
      </c>
      <c r="R67" t="s">
        <v>54</v>
      </c>
      <c r="S67" t="s">
        <v>108</v>
      </c>
      <c r="T67">
        <v>2</v>
      </c>
      <c r="U67">
        <v>7.2</v>
      </c>
      <c r="V67">
        <v>611</v>
      </c>
      <c r="W67">
        <v>0</v>
      </c>
      <c r="X67">
        <v>20.6</v>
      </c>
      <c r="Y67">
        <v>38</v>
      </c>
      <c r="Z67">
        <v>5</v>
      </c>
      <c r="AA67">
        <v>6</v>
      </c>
      <c r="AB67">
        <v>0</v>
      </c>
      <c r="AC67">
        <v>918</v>
      </c>
      <c r="AD67" s="8">
        <v>40426.249305555553</v>
      </c>
    </row>
    <row r="68" spans="1:30">
      <c r="A68" t="s">
        <v>1166</v>
      </c>
      <c r="B68">
        <v>7.5</v>
      </c>
      <c r="C68" s="8">
        <v>40518.80972222222</v>
      </c>
      <c r="D68">
        <v>6</v>
      </c>
      <c r="E68">
        <v>5</v>
      </c>
      <c r="G68">
        <v>0</v>
      </c>
      <c r="H68">
        <v>1144</v>
      </c>
      <c r="I68" t="s">
        <v>22</v>
      </c>
      <c r="J68">
        <v>514</v>
      </c>
      <c r="K68">
        <v>0</v>
      </c>
      <c r="L68">
        <v>18.600000000000001</v>
      </c>
      <c r="M68" t="s">
        <v>829</v>
      </c>
      <c r="N68">
        <v>35</v>
      </c>
      <c r="O68">
        <v>7.8810000000000002</v>
      </c>
      <c r="P68">
        <v>91.936000000000007</v>
      </c>
      <c r="Q68" t="s">
        <v>697</v>
      </c>
      <c r="R68" t="s">
        <v>54</v>
      </c>
      <c r="S68" t="s">
        <v>671</v>
      </c>
      <c r="T68">
        <v>2</v>
      </c>
      <c r="U68">
        <v>7.5</v>
      </c>
      <c r="V68">
        <v>514</v>
      </c>
      <c r="W68">
        <v>0</v>
      </c>
      <c r="X68">
        <v>18.600000000000001</v>
      </c>
      <c r="Y68">
        <v>35</v>
      </c>
      <c r="Z68">
        <v>6</v>
      </c>
      <c r="AA68">
        <v>5</v>
      </c>
      <c r="AB68">
        <v>0</v>
      </c>
      <c r="AC68">
        <v>1144</v>
      </c>
      <c r="AD68" s="8">
        <v>40518.80972222222</v>
      </c>
    </row>
    <row r="69" spans="1:30">
      <c r="A69" t="s">
        <v>1074</v>
      </c>
      <c r="B69">
        <v>6.7</v>
      </c>
      <c r="C69" s="8">
        <v>40672.746527777781</v>
      </c>
      <c r="D69">
        <v>5</v>
      </c>
      <c r="E69">
        <v>6</v>
      </c>
      <c r="G69">
        <v>0</v>
      </c>
      <c r="H69">
        <v>915</v>
      </c>
      <c r="I69" t="s">
        <v>22</v>
      </c>
      <c r="J69">
        <v>447</v>
      </c>
      <c r="K69">
        <v>0</v>
      </c>
      <c r="L69">
        <v>15.3</v>
      </c>
      <c r="M69" t="s">
        <v>23</v>
      </c>
      <c r="N69">
        <v>91</v>
      </c>
      <c r="O69">
        <v>2.9649999999999999</v>
      </c>
      <c r="P69">
        <v>97.893000000000001</v>
      </c>
      <c r="Q69" t="s">
        <v>1075</v>
      </c>
      <c r="R69" t="s">
        <v>54</v>
      </c>
      <c r="S69" t="s">
        <v>108</v>
      </c>
      <c r="T69">
        <v>2</v>
      </c>
      <c r="U69">
        <v>6.7</v>
      </c>
      <c r="V69">
        <v>447</v>
      </c>
      <c r="W69">
        <v>0</v>
      </c>
      <c r="X69">
        <v>15.3</v>
      </c>
      <c r="Y69">
        <v>91</v>
      </c>
      <c r="Z69">
        <v>5</v>
      </c>
      <c r="AA69">
        <v>6</v>
      </c>
      <c r="AB69">
        <v>0</v>
      </c>
      <c r="AC69">
        <v>915</v>
      </c>
      <c r="AD69" s="8">
        <v>40672.746527777781</v>
      </c>
    </row>
    <row r="70" spans="1:30">
      <c r="A70" t="s">
        <v>1097</v>
      </c>
      <c r="B70">
        <v>7.1</v>
      </c>
      <c r="C70" s="8">
        <v>40728.605555555558</v>
      </c>
      <c r="D70">
        <v>8</v>
      </c>
      <c r="E70">
        <v>8</v>
      </c>
      <c r="G70">
        <v>0</v>
      </c>
      <c r="H70">
        <v>1114</v>
      </c>
      <c r="I70" t="s">
        <v>22</v>
      </c>
      <c r="J70">
        <v>446</v>
      </c>
      <c r="K70">
        <v>0</v>
      </c>
      <c r="L70">
        <v>17.7</v>
      </c>
      <c r="M70" t="s">
        <v>23</v>
      </c>
      <c r="N70">
        <v>42</v>
      </c>
      <c r="O70">
        <v>38.276000000000003</v>
      </c>
      <c r="P70">
        <v>141.58799999999999</v>
      </c>
      <c r="Q70" t="s">
        <v>209</v>
      </c>
      <c r="R70" t="s">
        <v>54</v>
      </c>
      <c r="S70" t="s">
        <v>200</v>
      </c>
      <c r="T70">
        <v>2</v>
      </c>
      <c r="U70">
        <v>7.1</v>
      </c>
      <c r="V70">
        <v>446</v>
      </c>
      <c r="W70">
        <v>0</v>
      </c>
      <c r="X70">
        <v>17.7</v>
      </c>
      <c r="Y70">
        <v>42</v>
      </c>
      <c r="Z70">
        <v>8</v>
      </c>
      <c r="AA70">
        <v>8</v>
      </c>
      <c r="AB70">
        <v>0</v>
      </c>
      <c r="AC70">
        <v>1114</v>
      </c>
      <c r="AD70" s="8">
        <v>40728.605555555558</v>
      </c>
    </row>
    <row r="71" spans="1:30">
      <c r="A71" t="s">
        <v>1115</v>
      </c>
      <c r="B71">
        <v>7.3</v>
      </c>
      <c r="C71" s="8">
        <v>40789.114583333336</v>
      </c>
      <c r="D71">
        <v>5</v>
      </c>
      <c r="E71">
        <v>5</v>
      </c>
      <c r="G71">
        <v>0</v>
      </c>
      <c r="H71">
        <v>972</v>
      </c>
      <c r="I71" t="s">
        <v>22</v>
      </c>
      <c r="J71">
        <v>550</v>
      </c>
      <c r="K71">
        <v>0</v>
      </c>
      <c r="L71">
        <v>17.399999999999999</v>
      </c>
      <c r="M71" t="s">
        <v>23</v>
      </c>
      <c r="N71">
        <v>32</v>
      </c>
      <c r="O71">
        <v>38.435000000000002</v>
      </c>
      <c r="P71">
        <v>142.84200000000001</v>
      </c>
      <c r="Q71" t="s">
        <v>754</v>
      </c>
      <c r="R71" s="3" t="s">
        <v>54</v>
      </c>
      <c r="S71" t="s">
        <v>200</v>
      </c>
      <c r="T71">
        <v>2</v>
      </c>
      <c r="U71">
        <v>7.3</v>
      </c>
      <c r="V71">
        <v>550</v>
      </c>
      <c r="W71">
        <v>0</v>
      </c>
      <c r="X71">
        <v>17.399999999999999</v>
      </c>
      <c r="Y71">
        <v>32</v>
      </c>
      <c r="Z71">
        <v>5</v>
      </c>
      <c r="AA71">
        <v>5</v>
      </c>
      <c r="AB71">
        <v>0</v>
      </c>
      <c r="AC71">
        <v>972</v>
      </c>
      <c r="AD71" s="8">
        <v>40789.114583333336</v>
      </c>
    </row>
    <row r="72" spans="1:30">
      <c r="A72" t="s">
        <v>1113</v>
      </c>
      <c r="B72">
        <v>9.1</v>
      </c>
      <c r="C72" s="8">
        <v>40850.240277777775</v>
      </c>
      <c r="D72">
        <v>9</v>
      </c>
      <c r="E72">
        <v>8</v>
      </c>
      <c r="G72">
        <v>0</v>
      </c>
      <c r="H72">
        <v>2184</v>
      </c>
      <c r="I72" t="s">
        <v>1039</v>
      </c>
      <c r="J72">
        <v>541</v>
      </c>
      <c r="K72">
        <v>0</v>
      </c>
      <c r="L72">
        <v>9.5</v>
      </c>
      <c r="M72" t="s">
        <v>23</v>
      </c>
      <c r="N72">
        <v>29</v>
      </c>
      <c r="O72">
        <v>38.296999999999997</v>
      </c>
      <c r="P72">
        <v>142.37299999999999</v>
      </c>
      <c r="Q72" t="s">
        <v>1114</v>
      </c>
      <c r="R72" t="s">
        <v>54</v>
      </c>
      <c r="S72" t="s">
        <v>200</v>
      </c>
      <c r="T72">
        <v>2</v>
      </c>
      <c r="U72">
        <v>9.1</v>
      </c>
      <c r="V72">
        <v>541</v>
      </c>
      <c r="W72">
        <v>0</v>
      </c>
      <c r="X72">
        <v>9.5</v>
      </c>
      <c r="Y72">
        <v>29</v>
      </c>
      <c r="Z72">
        <v>9</v>
      </c>
      <c r="AA72">
        <v>8</v>
      </c>
      <c r="AB72">
        <v>0</v>
      </c>
      <c r="AC72">
        <v>2184</v>
      </c>
      <c r="AD72" s="8">
        <v>40850.240277777775</v>
      </c>
    </row>
    <row r="73" spans="1:30">
      <c r="A73" t="s">
        <v>1111</v>
      </c>
      <c r="B73">
        <v>7.9</v>
      </c>
      <c r="C73" s="8">
        <v>40850.260416666664</v>
      </c>
      <c r="D73">
        <v>8</v>
      </c>
      <c r="E73">
        <v>7</v>
      </c>
      <c r="G73">
        <v>0</v>
      </c>
      <c r="H73">
        <v>1140</v>
      </c>
      <c r="I73" t="s">
        <v>22</v>
      </c>
      <c r="J73">
        <v>163</v>
      </c>
      <c r="K73">
        <v>0</v>
      </c>
      <c r="L73">
        <v>48.4</v>
      </c>
      <c r="M73" t="s">
        <v>829</v>
      </c>
      <c r="N73">
        <v>42.6</v>
      </c>
      <c r="O73">
        <v>36.280999999999999</v>
      </c>
      <c r="P73">
        <v>141.11099999999999</v>
      </c>
      <c r="Q73" t="s">
        <v>1112</v>
      </c>
      <c r="R73" t="s">
        <v>54</v>
      </c>
      <c r="S73" t="s">
        <v>200</v>
      </c>
      <c r="T73">
        <v>2</v>
      </c>
      <c r="U73">
        <v>7.9</v>
      </c>
      <c r="V73">
        <v>163</v>
      </c>
      <c r="W73">
        <v>0</v>
      </c>
      <c r="X73">
        <v>48.4</v>
      </c>
      <c r="Y73">
        <v>42.6</v>
      </c>
      <c r="Z73">
        <v>8</v>
      </c>
      <c r="AA73">
        <v>7</v>
      </c>
      <c r="AB73">
        <v>0</v>
      </c>
      <c r="AC73">
        <v>1140</v>
      </c>
      <c r="AD73" s="8">
        <v>40850.260416666664</v>
      </c>
    </row>
    <row r="74" spans="1:30">
      <c r="A74" t="s">
        <v>1109</v>
      </c>
      <c r="B74">
        <v>7.7</v>
      </c>
      <c r="C74" s="8">
        <v>40850.267361111109</v>
      </c>
      <c r="D74">
        <v>7</v>
      </c>
      <c r="E74">
        <v>4</v>
      </c>
      <c r="G74">
        <v>0</v>
      </c>
      <c r="H74">
        <v>931</v>
      </c>
      <c r="I74" t="s">
        <v>22</v>
      </c>
      <c r="J74">
        <v>507</v>
      </c>
      <c r="K74">
        <v>0</v>
      </c>
      <c r="L74">
        <v>10.8</v>
      </c>
      <c r="M74" t="s">
        <v>829</v>
      </c>
      <c r="N74">
        <v>18.600000000000001</v>
      </c>
      <c r="O74">
        <v>38.058</v>
      </c>
      <c r="P74">
        <v>144.59</v>
      </c>
      <c r="Q74" t="s">
        <v>1110</v>
      </c>
      <c r="R74" t="s">
        <v>54</v>
      </c>
      <c r="S74" t="s">
        <v>200</v>
      </c>
      <c r="T74">
        <v>2</v>
      </c>
      <c r="U74">
        <v>7.7</v>
      </c>
      <c r="V74">
        <v>507</v>
      </c>
      <c r="W74">
        <v>0</v>
      </c>
      <c r="X74">
        <v>10.8</v>
      </c>
      <c r="Y74">
        <v>18.600000000000001</v>
      </c>
      <c r="Z74">
        <v>7</v>
      </c>
      <c r="AA74">
        <v>4</v>
      </c>
      <c r="AB74">
        <v>0</v>
      </c>
      <c r="AC74">
        <v>931</v>
      </c>
      <c r="AD74" s="8">
        <v>40850.267361111109</v>
      </c>
    </row>
    <row r="75" spans="1:30">
      <c r="A75" t="s">
        <v>1106</v>
      </c>
      <c r="B75">
        <v>6.5</v>
      </c>
      <c r="C75" s="8">
        <v>40850.34652777778</v>
      </c>
      <c r="D75">
        <v>0</v>
      </c>
      <c r="E75">
        <v>4</v>
      </c>
      <c r="G75">
        <v>0</v>
      </c>
      <c r="H75">
        <v>650</v>
      </c>
      <c r="I75" t="s">
        <v>22</v>
      </c>
      <c r="J75">
        <v>369</v>
      </c>
      <c r="K75">
        <v>0</v>
      </c>
      <c r="L75">
        <v>18.7</v>
      </c>
      <c r="M75" t="s">
        <v>1107</v>
      </c>
      <c r="N75">
        <v>6.8</v>
      </c>
      <c r="O75">
        <v>36.165999999999997</v>
      </c>
      <c r="P75">
        <v>141.56200000000001</v>
      </c>
      <c r="Q75" t="s">
        <v>1108</v>
      </c>
      <c r="R75" t="s">
        <v>54</v>
      </c>
      <c r="S75" t="s">
        <v>200</v>
      </c>
      <c r="T75">
        <v>2</v>
      </c>
      <c r="U75">
        <v>6.5</v>
      </c>
      <c r="V75">
        <v>369</v>
      </c>
      <c r="W75">
        <v>0</v>
      </c>
      <c r="X75">
        <v>18.7</v>
      </c>
      <c r="Y75">
        <v>6.8</v>
      </c>
      <c r="Z75">
        <v>0</v>
      </c>
      <c r="AA75">
        <v>4</v>
      </c>
      <c r="AB75">
        <v>0</v>
      </c>
      <c r="AC75">
        <v>650</v>
      </c>
      <c r="AD75" s="8">
        <v>40850.34652777778</v>
      </c>
    </row>
    <row r="76" spans="1:30">
      <c r="A76" t="s">
        <v>1103</v>
      </c>
      <c r="B76">
        <v>6.6</v>
      </c>
      <c r="C76" s="8">
        <v>40850.48333333333</v>
      </c>
      <c r="D76">
        <v>6</v>
      </c>
      <c r="E76">
        <v>5</v>
      </c>
      <c r="G76">
        <v>0</v>
      </c>
      <c r="H76">
        <v>673</v>
      </c>
      <c r="I76" t="s">
        <v>22</v>
      </c>
      <c r="J76">
        <v>668</v>
      </c>
      <c r="K76">
        <v>0</v>
      </c>
      <c r="L76">
        <v>9.5</v>
      </c>
      <c r="M76" t="s">
        <v>1104</v>
      </c>
      <c r="N76">
        <v>25.7</v>
      </c>
      <c r="O76">
        <v>39.241</v>
      </c>
      <c r="P76">
        <v>142.46299999999999</v>
      </c>
      <c r="Q76" t="s">
        <v>1105</v>
      </c>
      <c r="R76" t="s">
        <v>54</v>
      </c>
      <c r="S76" t="s">
        <v>200</v>
      </c>
      <c r="T76">
        <v>2</v>
      </c>
      <c r="U76">
        <v>6.6</v>
      </c>
      <c r="V76">
        <v>668</v>
      </c>
      <c r="W76">
        <v>0</v>
      </c>
      <c r="X76">
        <v>9.5</v>
      </c>
      <c r="Y76">
        <v>25.7</v>
      </c>
      <c r="Z76">
        <v>6</v>
      </c>
      <c r="AA76">
        <v>5</v>
      </c>
      <c r="AB76">
        <v>0</v>
      </c>
      <c r="AC76">
        <v>673</v>
      </c>
      <c r="AD76" s="8">
        <v>40850.48333333333</v>
      </c>
    </row>
    <row r="77" spans="1:30">
      <c r="A77" t="s">
        <v>1095</v>
      </c>
      <c r="B77">
        <v>6.6</v>
      </c>
      <c r="C77" s="8">
        <v>40851.344444444447</v>
      </c>
      <c r="D77">
        <v>7</v>
      </c>
      <c r="E77">
        <v>7</v>
      </c>
      <c r="G77">
        <v>0</v>
      </c>
      <c r="H77">
        <v>822</v>
      </c>
      <c r="I77" t="s">
        <v>22</v>
      </c>
      <c r="J77">
        <v>586</v>
      </c>
      <c r="K77">
        <v>0</v>
      </c>
      <c r="L77">
        <v>10.1</v>
      </c>
      <c r="M77" t="s">
        <v>23</v>
      </c>
      <c r="N77">
        <v>11</v>
      </c>
      <c r="O77">
        <v>37.000999999999998</v>
      </c>
      <c r="P77">
        <v>140.40100000000001</v>
      </c>
      <c r="Q77" t="s">
        <v>1096</v>
      </c>
      <c r="R77" t="s">
        <v>54</v>
      </c>
      <c r="S77" t="s">
        <v>200</v>
      </c>
      <c r="T77">
        <v>2</v>
      </c>
      <c r="U77">
        <v>6.6</v>
      </c>
      <c r="V77">
        <v>586</v>
      </c>
      <c r="W77">
        <v>0</v>
      </c>
      <c r="X77">
        <v>10.1</v>
      </c>
      <c r="Y77">
        <v>11</v>
      </c>
      <c r="Z77">
        <v>7</v>
      </c>
      <c r="AA77">
        <v>7</v>
      </c>
      <c r="AB77">
        <v>0</v>
      </c>
      <c r="AC77">
        <v>822</v>
      </c>
      <c r="AD77" s="8">
        <v>40851.344444444447</v>
      </c>
    </row>
    <row r="78" spans="1:30">
      <c r="A78" t="s">
        <v>1050</v>
      </c>
      <c r="B78">
        <v>6.7</v>
      </c>
      <c r="C78" s="8">
        <v>41062.15902777778</v>
      </c>
      <c r="D78">
        <v>9</v>
      </c>
      <c r="E78">
        <v>7</v>
      </c>
      <c r="G78">
        <v>0</v>
      </c>
      <c r="H78">
        <v>1551</v>
      </c>
      <c r="I78" t="s">
        <v>22</v>
      </c>
      <c r="J78">
        <v>572</v>
      </c>
      <c r="K78">
        <v>0</v>
      </c>
      <c r="L78">
        <v>11.1</v>
      </c>
      <c r="M78" t="s">
        <v>23</v>
      </c>
      <c r="N78">
        <v>11</v>
      </c>
      <c r="O78">
        <v>9.9990000000000006</v>
      </c>
      <c r="P78">
        <v>123.206</v>
      </c>
      <c r="Q78" t="s">
        <v>1051</v>
      </c>
      <c r="R78" t="s">
        <v>54</v>
      </c>
      <c r="S78" t="s">
        <v>75</v>
      </c>
      <c r="T78">
        <v>2</v>
      </c>
      <c r="U78">
        <v>6.7</v>
      </c>
      <c r="V78">
        <v>572</v>
      </c>
      <c r="W78">
        <v>0</v>
      </c>
      <c r="X78">
        <v>11.1</v>
      </c>
      <c r="Y78">
        <v>11</v>
      </c>
      <c r="Z78">
        <v>9</v>
      </c>
      <c r="AA78">
        <v>7</v>
      </c>
      <c r="AB78">
        <v>0</v>
      </c>
      <c r="AC78">
        <v>1551</v>
      </c>
      <c r="AD78" s="8">
        <v>41062.15902777778</v>
      </c>
    </row>
    <row r="79" spans="1:30">
      <c r="A79" t="s">
        <v>989</v>
      </c>
      <c r="B79">
        <v>7.3</v>
      </c>
      <c r="C79" s="8">
        <v>41102.345833333333</v>
      </c>
      <c r="D79">
        <v>6</v>
      </c>
      <c r="E79">
        <v>5</v>
      </c>
      <c r="G79">
        <v>0</v>
      </c>
      <c r="H79">
        <v>1014</v>
      </c>
      <c r="I79" t="s">
        <v>22</v>
      </c>
      <c r="J79">
        <v>918</v>
      </c>
      <c r="K79">
        <v>0</v>
      </c>
      <c r="L79">
        <v>14.8</v>
      </c>
      <c r="M79" t="s">
        <v>23</v>
      </c>
      <c r="N79">
        <v>31</v>
      </c>
      <c r="O79">
        <v>37.89</v>
      </c>
      <c r="P79">
        <v>143.94900000000001</v>
      </c>
      <c r="Q79" t="s">
        <v>754</v>
      </c>
      <c r="R79" t="s">
        <v>54</v>
      </c>
      <c r="S79" t="s">
        <v>200</v>
      </c>
      <c r="T79">
        <v>2</v>
      </c>
      <c r="U79">
        <v>7.3</v>
      </c>
      <c r="V79">
        <v>918</v>
      </c>
      <c r="W79">
        <v>0</v>
      </c>
      <c r="X79">
        <v>14.8</v>
      </c>
      <c r="Y79">
        <v>31</v>
      </c>
      <c r="Z79">
        <v>6</v>
      </c>
      <c r="AA79">
        <v>5</v>
      </c>
      <c r="AB79">
        <v>0</v>
      </c>
      <c r="AC79">
        <v>1014</v>
      </c>
      <c r="AD79" s="8">
        <v>41102.345833333333</v>
      </c>
    </row>
    <row r="80" spans="1:30">
      <c r="A80" t="s">
        <v>988</v>
      </c>
      <c r="B80">
        <v>7.1</v>
      </c>
      <c r="C80" s="8">
        <v>41194.703472222223</v>
      </c>
      <c r="D80">
        <v>5</v>
      </c>
      <c r="E80">
        <v>5</v>
      </c>
      <c r="G80">
        <v>0</v>
      </c>
      <c r="H80">
        <v>843</v>
      </c>
      <c r="I80" t="s">
        <v>22</v>
      </c>
      <c r="J80">
        <v>517</v>
      </c>
      <c r="K80">
        <v>0</v>
      </c>
      <c r="L80">
        <v>8.6999999999999993</v>
      </c>
      <c r="M80" t="s">
        <v>23</v>
      </c>
      <c r="N80">
        <v>155</v>
      </c>
      <c r="O80">
        <v>-6.5330000000000004</v>
      </c>
      <c r="P80">
        <v>129.82499999999999</v>
      </c>
      <c r="Q80" t="s">
        <v>283</v>
      </c>
      <c r="R80" t="s">
        <v>54</v>
      </c>
      <c r="S80" t="s">
        <v>108</v>
      </c>
      <c r="T80">
        <v>2</v>
      </c>
      <c r="U80">
        <v>7.1</v>
      </c>
      <c r="V80">
        <v>517</v>
      </c>
      <c r="W80">
        <v>0</v>
      </c>
      <c r="X80">
        <v>8.6999999999999993</v>
      </c>
      <c r="Y80">
        <v>155</v>
      </c>
      <c r="Z80">
        <v>5</v>
      </c>
      <c r="AA80">
        <v>5</v>
      </c>
      <c r="AB80">
        <v>0</v>
      </c>
      <c r="AC80">
        <v>843</v>
      </c>
      <c r="AD80" s="8">
        <v>41194.703472222223</v>
      </c>
    </row>
    <row r="81" spans="1:30">
      <c r="A81" t="s">
        <v>992</v>
      </c>
      <c r="B81">
        <v>6.8</v>
      </c>
      <c r="C81" s="8">
        <v>41224.050000000003</v>
      </c>
      <c r="D81">
        <v>7</v>
      </c>
      <c r="E81">
        <v>6</v>
      </c>
      <c r="G81">
        <v>0</v>
      </c>
      <c r="H81">
        <v>795</v>
      </c>
      <c r="I81" t="s">
        <v>22</v>
      </c>
      <c r="J81">
        <v>391</v>
      </c>
      <c r="K81">
        <v>0</v>
      </c>
      <c r="L81">
        <v>13.7</v>
      </c>
      <c r="M81" t="s">
        <v>23</v>
      </c>
      <c r="N81">
        <v>13.7</v>
      </c>
      <c r="O81">
        <v>23.004999999999999</v>
      </c>
      <c r="P81">
        <v>95.885000000000005</v>
      </c>
      <c r="Q81" t="s">
        <v>993</v>
      </c>
      <c r="R81" t="s">
        <v>54</v>
      </c>
      <c r="S81" t="s">
        <v>620</v>
      </c>
      <c r="T81">
        <v>2</v>
      </c>
      <c r="U81">
        <v>6.8</v>
      </c>
      <c r="V81">
        <v>391</v>
      </c>
      <c r="W81">
        <v>0</v>
      </c>
      <c r="X81">
        <v>13.7</v>
      </c>
      <c r="Y81">
        <v>13.7</v>
      </c>
      <c r="Z81">
        <v>7</v>
      </c>
      <c r="AA81">
        <v>6</v>
      </c>
      <c r="AB81">
        <v>0</v>
      </c>
      <c r="AC81">
        <v>795</v>
      </c>
      <c r="AD81" s="8">
        <v>41224.050000000003</v>
      </c>
    </row>
    <row r="82" spans="1:30">
      <c r="A82" t="s">
        <v>1001</v>
      </c>
      <c r="B82">
        <v>6.6</v>
      </c>
      <c r="C82" s="8">
        <v>41253.021527777775</v>
      </c>
      <c r="D82">
        <v>3</v>
      </c>
      <c r="E82">
        <v>5</v>
      </c>
      <c r="G82">
        <v>0</v>
      </c>
      <c r="H82">
        <v>675</v>
      </c>
      <c r="I82" t="s">
        <v>22</v>
      </c>
      <c r="J82">
        <v>291</v>
      </c>
      <c r="K82">
        <v>0</v>
      </c>
      <c r="L82">
        <v>17.7</v>
      </c>
      <c r="M82" t="s">
        <v>23</v>
      </c>
      <c r="N82">
        <v>13</v>
      </c>
      <c r="O82">
        <v>-4.8920000000000003</v>
      </c>
      <c r="P82">
        <v>134.03</v>
      </c>
      <c r="Q82" t="s">
        <v>1002</v>
      </c>
      <c r="R82" t="s">
        <v>54</v>
      </c>
      <c r="S82" t="s">
        <v>108</v>
      </c>
      <c r="T82">
        <v>2</v>
      </c>
      <c r="U82">
        <v>6.6</v>
      </c>
      <c r="V82">
        <v>291</v>
      </c>
      <c r="W82">
        <v>0</v>
      </c>
      <c r="X82">
        <v>17.7</v>
      </c>
      <c r="Y82">
        <v>13</v>
      </c>
      <c r="Z82">
        <v>3</v>
      </c>
      <c r="AA82">
        <v>5</v>
      </c>
      <c r="AB82">
        <v>0</v>
      </c>
      <c r="AC82">
        <v>675</v>
      </c>
      <c r="AD82" s="8">
        <v>41253.021527777775</v>
      </c>
    </row>
    <row r="83" spans="1:30">
      <c r="A83" t="s">
        <v>964</v>
      </c>
      <c r="B83">
        <v>6.5</v>
      </c>
      <c r="C83" s="8">
        <v>41277.555555555555</v>
      </c>
      <c r="D83">
        <v>3</v>
      </c>
      <c r="E83">
        <v>6</v>
      </c>
      <c r="F83" t="s">
        <v>21</v>
      </c>
      <c r="G83">
        <v>0</v>
      </c>
      <c r="H83">
        <v>651</v>
      </c>
      <c r="I83" t="s">
        <v>22</v>
      </c>
      <c r="J83">
        <v>480</v>
      </c>
      <c r="K83">
        <v>0</v>
      </c>
      <c r="L83">
        <v>20.7</v>
      </c>
      <c r="M83" t="s">
        <v>23</v>
      </c>
      <c r="N83">
        <v>29</v>
      </c>
      <c r="O83">
        <v>50.957999999999998</v>
      </c>
      <c r="P83">
        <v>157.40799999999999</v>
      </c>
      <c r="Q83" t="s">
        <v>415</v>
      </c>
      <c r="R83" t="s">
        <v>54</v>
      </c>
      <c r="S83" t="s">
        <v>295</v>
      </c>
      <c r="T83">
        <v>2</v>
      </c>
      <c r="U83">
        <v>6.5</v>
      </c>
      <c r="V83">
        <v>480</v>
      </c>
      <c r="W83">
        <v>0</v>
      </c>
      <c r="X83">
        <v>20.7</v>
      </c>
      <c r="Y83">
        <v>29</v>
      </c>
      <c r="Z83">
        <v>3</v>
      </c>
      <c r="AA83">
        <v>6</v>
      </c>
      <c r="AB83">
        <v>0</v>
      </c>
      <c r="AC83">
        <v>651</v>
      </c>
      <c r="AD83" s="8">
        <v>41277.555555555555</v>
      </c>
    </row>
    <row r="84" spans="1:30">
      <c r="A84" t="s">
        <v>917</v>
      </c>
      <c r="B84">
        <v>6.5</v>
      </c>
      <c r="C84" s="8">
        <v>41283.494444444441</v>
      </c>
      <c r="D84">
        <v>4</v>
      </c>
      <c r="E84">
        <v>5</v>
      </c>
      <c r="F84" t="s">
        <v>21</v>
      </c>
      <c r="G84">
        <v>0</v>
      </c>
      <c r="H84">
        <v>668</v>
      </c>
      <c r="I84" t="s">
        <v>22</v>
      </c>
      <c r="J84">
        <v>0</v>
      </c>
      <c r="K84">
        <v>3.097</v>
      </c>
      <c r="L84">
        <v>11</v>
      </c>
      <c r="M84" t="s">
        <v>23</v>
      </c>
      <c r="N84">
        <v>112</v>
      </c>
      <c r="O84">
        <v>-7.44</v>
      </c>
      <c r="P84">
        <v>128.221</v>
      </c>
      <c r="Q84" t="s">
        <v>134</v>
      </c>
      <c r="R84" t="s">
        <v>54</v>
      </c>
      <c r="S84" t="s">
        <v>108</v>
      </c>
      <c r="T84">
        <v>2</v>
      </c>
      <c r="U84">
        <v>6.5</v>
      </c>
      <c r="V84">
        <v>0</v>
      </c>
      <c r="W84">
        <v>3.097</v>
      </c>
      <c r="X84">
        <v>11</v>
      </c>
      <c r="Y84">
        <v>112</v>
      </c>
      <c r="Z84">
        <v>4</v>
      </c>
      <c r="AA84">
        <v>5</v>
      </c>
      <c r="AB84">
        <v>0</v>
      </c>
      <c r="AC84">
        <v>668</v>
      </c>
      <c r="AD84" s="8">
        <v>41283.494444444441</v>
      </c>
    </row>
    <row r="85" spans="1:30">
      <c r="A85" t="s">
        <v>901</v>
      </c>
      <c r="B85">
        <v>6.7</v>
      </c>
      <c r="C85" s="8">
        <v>41284.151388888888</v>
      </c>
      <c r="D85">
        <v>0</v>
      </c>
      <c r="E85">
        <v>3</v>
      </c>
      <c r="F85" t="s">
        <v>21</v>
      </c>
      <c r="G85">
        <v>0</v>
      </c>
      <c r="H85">
        <v>691</v>
      </c>
      <c r="I85" t="s">
        <v>22</v>
      </c>
      <c r="J85">
        <v>0</v>
      </c>
      <c r="K85">
        <v>2.9580000000000002</v>
      </c>
      <c r="L85">
        <v>11</v>
      </c>
      <c r="M85" t="s">
        <v>23</v>
      </c>
      <c r="N85">
        <v>573</v>
      </c>
      <c r="O85">
        <v>53.1995</v>
      </c>
      <c r="P85">
        <v>152.786</v>
      </c>
      <c r="Q85" t="s">
        <v>902</v>
      </c>
      <c r="R85" t="s">
        <v>54</v>
      </c>
      <c r="S85" t="s">
        <v>1750</v>
      </c>
      <c r="T85">
        <v>2</v>
      </c>
      <c r="U85">
        <v>6.7</v>
      </c>
      <c r="V85">
        <v>0</v>
      </c>
      <c r="W85">
        <v>2.9580000000000002</v>
      </c>
      <c r="X85">
        <v>11</v>
      </c>
      <c r="Y85">
        <v>573</v>
      </c>
      <c r="Z85">
        <v>0</v>
      </c>
      <c r="AA85">
        <v>3</v>
      </c>
      <c r="AB85">
        <v>0</v>
      </c>
      <c r="AC85">
        <v>691</v>
      </c>
      <c r="AD85" s="8">
        <v>41284.151388888888</v>
      </c>
    </row>
    <row r="86" spans="1:30">
      <c r="A86" t="s">
        <v>980</v>
      </c>
      <c r="B86">
        <v>6.9</v>
      </c>
      <c r="C86" s="8">
        <v>41307.595138888886</v>
      </c>
      <c r="D86">
        <v>6</v>
      </c>
      <c r="E86">
        <v>7</v>
      </c>
      <c r="F86" t="s">
        <v>45</v>
      </c>
      <c r="G86">
        <v>0</v>
      </c>
      <c r="H86">
        <v>814</v>
      </c>
      <c r="I86" t="s">
        <v>22</v>
      </c>
      <c r="J86">
        <v>686</v>
      </c>
      <c r="K86">
        <v>0</v>
      </c>
      <c r="L86">
        <v>28</v>
      </c>
      <c r="M86" t="s">
        <v>23</v>
      </c>
      <c r="N86">
        <v>107</v>
      </c>
      <c r="O86">
        <v>42.77</v>
      </c>
      <c r="P86">
        <v>143.09200000000001</v>
      </c>
      <c r="Q86" t="s">
        <v>981</v>
      </c>
      <c r="R86" t="s">
        <v>54</v>
      </c>
      <c r="S86" t="s">
        <v>200</v>
      </c>
      <c r="T86">
        <v>2</v>
      </c>
      <c r="U86">
        <v>6.9</v>
      </c>
      <c r="V86">
        <v>686</v>
      </c>
      <c r="W86">
        <v>0</v>
      </c>
      <c r="X86">
        <v>28</v>
      </c>
      <c r="Y86">
        <v>107</v>
      </c>
      <c r="Z86">
        <v>6</v>
      </c>
      <c r="AA86">
        <v>7</v>
      </c>
      <c r="AB86">
        <v>0</v>
      </c>
      <c r="AC86">
        <v>814</v>
      </c>
      <c r="AD86" s="8">
        <v>41307.595138888886</v>
      </c>
    </row>
    <row r="87" spans="1:30">
      <c r="A87" t="s">
        <v>915</v>
      </c>
      <c r="B87">
        <v>6.5</v>
      </c>
      <c r="C87" s="8">
        <v>41373.012499999997</v>
      </c>
      <c r="D87">
        <v>5</v>
      </c>
      <c r="E87">
        <v>3</v>
      </c>
      <c r="F87" t="s">
        <v>21</v>
      </c>
      <c r="G87">
        <v>0</v>
      </c>
      <c r="H87">
        <v>739</v>
      </c>
      <c r="I87" t="s">
        <v>22</v>
      </c>
      <c r="J87">
        <v>0</v>
      </c>
      <c r="K87">
        <v>3.2759999999999998</v>
      </c>
      <c r="L87">
        <v>26</v>
      </c>
      <c r="M87" t="s">
        <v>23</v>
      </c>
      <c r="N87">
        <v>402</v>
      </c>
      <c r="O87">
        <v>29.9377</v>
      </c>
      <c r="P87">
        <v>138.833</v>
      </c>
      <c r="Q87" t="s">
        <v>916</v>
      </c>
      <c r="R87" t="s">
        <v>54</v>
      </c>
      <c r="S87" t="s">
        <v>200</v>
      </c>
      <c r="T87">
        <v>2</v>
      </c>
      <c r="U87">
        <v>6.5</v>
      </c>
      <c r="V87">
        <v>0</v>
      </c>
      <c r="W87">
        <v>3.2759999999999998</v>
      </c>
      <c r="X87">
        <v>26</v>
      </c>
      <c r="Y87">
        <v>402</v>
      </c>
      <c r="Z87">
        <v>5</v>
      </c>
      <c r="AA87">
        <v>3</v>
      </c>
      <c r="AB87">
        <v>0</v>
      </c>
      <c r="AC87">
        <v>739</v>
      </c>
      <c r="AD87" s="8">
        <v>41373.012499999997</v>
      </c>
    </row>
    <row r="88" spans="1:30">
      <c r="A88" t="s">
        <v>962</v>
      </c>
      <c r="B88">
        <v>7</v>
      </c>
      <c r="C88" s="8">
        <v>41429.195833333331</v>
      </c>
      <c r="D88">
        <v>3</v>
      </c>
      <c r="E88">
        <v>7</v>
      </c>
      <c r="F88" t="s">
        <v>21</v>
      </c>
      <c r="G88">
        <v>1</v>
      </c>
      <c r="H88">
        <v>755</v>
      </c>
      <c r="I88" t="s">
        <v>22</v>
      </c>
      <c r="J88">
        <v>640</v>
      </c>
      <c r="K88">
        <v>0</v>
      </c>
      <c r="L88">
        <v>11.4</v>
      </c>
      <c r="M88" t="s">
        <v>23</v>
      </c>
      <c r="N88">
        <v>66</v>
      </c>
      <c r="O88">
        <v>-3.5169999999999999</v>
      </c>
      <c r="P88">
        <v>138.476</v>
      </c>
      <c r="Q88" t="s">
        <v>729</v>
      </c>
      <c r="R88" t="s">
        <v>54</v>
      </c>
      <c r="S88" t="s">
        <v>108</v>
      </c>
      <c r="T88">
        <v>2</v>
      </c>
      <c r="U88">
        <v>7</v>
      </c>
      <c r="V88">
        <v>640</v>
      </c>
      <c r="W88">
        <v>0</v>
      </c>
      <c r="X88">
        <v>11.4</v>
      </c>
      <c r="Y88">
        <v>66</v>
      </c>
      <c r="Z88">
        <v>3</v>
      </c>
      <c r="AA88">
        <v>7</v>
      </c>
      <c r="AB88">
        <v>1</v>
      </c>
      <c r="AC88">
        <v>755</v>
      </c>
      <c r="AD88" s="8">
        <v>41429.195833333331</v>
      </c>
    </row>
    <row r="89" spans="1:30">
      <c r="A89" t="s">
        <v>869</v>
      </c>
      <c r="B89">
        <v>6.5</v>
      </c>
      <c r="C89" s="8">
        <v>41673.84097222222</v>
      </c>
      <c r="D89">
        <v>4</v>
      </c>
      <c r="E89">
        <v>5</v>
      </c>
      <c r="F89" t="s">
        <v>21</v>
      </c>
      <c r="G89">
        <v>1</v>
      </c>
      <c r="H89">
        <v>668</v>
      </c>
      <c r="I89" t="s">
        <v>22</v>
      </c>
      <c r="J89">
        <v>0</v>
      </c>
      <c r="K89">
        <v>1.0009999999999999</v>
      </c>
      <c r="L89">
        <v>17</v>
      </c>
      <c r="M89" t="s">
        <v>23</v>
      </c>
      <c r="N89">
        <v>119</v>
      </c>
      <c r="O89">
        <v>27.4312</v>
      </c>
      <c r="P89">
        <v>127.367</v>
      </c>
      <c r="Q89" t="s">
        <v>870</v>
      </c>
      <c r="R89" t="s">
        <v>54</v>
      </c>
      <c r="S89" t="s">
        <v>200</v>
      </c>
      <c r="T89">
        <v>2</v>
      </c>
      <c r="U89">
        <v>6.5</v>
      </c>
      <c r="V89">
        <v>0</v>
      </c>
      <c r="W89">
        <v>1.0009999999999999</v>
      </c>
      <c r="X89">
        <v>17</v>
      </c>
      <c r="Y89">
        <v>119</v>
      </c>
      <c r="Z89">
        <v>4</v>
      </c>
      <c r="AA89">
        <v>5</v>
      </c>
      <c r="AB89">
        <v>1</v>
      </c>
      <c r="AC89">
        <v>668</v>
      </c>
      <c r="AD89" s="8">
        <v>41673.84097222222</v>
      </c>
    </row>
    <row r="90" spans="1:30">
      <c r="A90" t="s">
        <v>790</v>
      </c>
      <c r="B90">
        <v>6.6</v>
      </c>
      <c r="C90" s="8">
        <v>41682.21597222222</v>
      </c>
      <c r="D90">
        <v>1</v>
      </c>
      <c r="E90">
        <v>3</v>
      </c>
      <c r="F90" t="s">
        <v>21</v>
      </c>
      <c r="G90">
        <v>0</v>
      </c>
      <c r="H90">
        <v>670</v>
      </c>
      <c r="I90" t="s">
        <v>22</v>
      </c>
      <c r="J90">
        <v>0</v>
      </c>
      <c r="K90">
        <v>2.6</v>
      </c>
      <c r="L90">
        <v>9</v>
      </c>
      <c r="M90" t="s">
        <v>23</v>
      </c>
      <c r="N90">
        <v>614</v>
      </c>
      <c r="O90">
        <v>6.1571999999999996</v>
      </c>
      <c r="P90">
        <v>123.126</v>
      </c>
      <c r="Q90" t="s">
        <v>791</v>
      </c>
      <c r="R90" t="s">
        <v>54</v>
      </c>
      <c r="S90" t="s">
        <v>75</v>
      </c>
      <c r="T90">
        <v>2</v>
      </c>
      <c r="U90">
        <v>6.6</v>
      </c>
      <c r="V90">
        <v>0</v>
      </c>
      <c r="W90">
        <v>2.6</v>
      </c>
      <c r="X90">
        <v>9</v>
      </c>
      <c r="Y90">
        <v>614</v>
      </c>
      <c r="Z90">
        <v>1</v>
      </c>
      <c r="AA90">
        <v>3</v>
      </c>
      <c r="AB90">
        <v>0</v>
      </c>
      <c r="AC90">
        <v>670</v>
      </c>
      <c r="AD90" s="8">
        <v>41682.21597222222</v>
      </c>
    </row>
    <row r="91" spans="1:30">
      <c r="A91" t="s">
        <v>817</v>
      </c>
      <c r="B91">
        <v>6.5</v>
      </c>
      <c r="C91" s="8">
        <v>41950.806944444441</v>
      </c>
      <c r="D91">
        <v>5</v>
      </c>
      <c r="E91">
        <v>4</v>
      </c>
      <c r="F91" t="s">
        <v>21</v>
      </c>
      <c r="G91">
        <v>1</v>
      </c>
      <c r="H91">
        <v>706</v>
      </c>
      <c r="I91" t="s">
        <v>22</v>
      </c>
      <c r="J91">
        <v>0</v>
      </c>
      <c r="K91">
        <v>2.4209999999999998</v>
      </c>
      <c r="L91">
        <v>9</v>
      </c>
      <c r="M91" t="s">
        <v>23</v>
      </c>
      <c r="N91">
        <v>20</v>
      </c>
      <c r="O91">
        <v>37.005200000000002</v>
      </c>
      <c r="P91">
        <v>142.452</v>
      </c>
      <c r="Q91" t="s">
        <v>104</v>
      </c>
      <c r="R91" t="s">
        <v>54</v>
      </c>
      <c r="S91" t="s">
        <v>200</v>
      </c>
      <c r="T91">
        <v>2</v>
      </c>
      <c r="U91">
        <v>6.5</v>
      </c>
      <c r="V91">
        <v>0</v>
      </c>
      <c r="W91">
        <v>2.4209999999999998</v>
      </c>
      <c r="X91">
        <v>9</v>
      </c>
      <c r="Y91">
        <v>20</v>
      </c>
      <c r="Z91">
        <v>5</v>
      </c>
      <c r="AA91">
        <v>4</v>
      </c>
      <c r="AB91">
        <v>1</v>
      </c>
      <c r="AC91">
        <v>706</v>
      </c>
      <c r="AD91" s="8">
        <v>41950.806944444441</v>
      </c>
    </row>
    <row r="92" spans="1:30">
      <c r="A92" t="s">
        <v>874</v>
      </c>
      <c r="B92">
        <v>6.9</v>
      </c>
      <c r="C92" s="8">
        <v>41975.388194444444</v>
      </c>
      <c r="D92">
        <v>3</v>
      </c>
      <c r="E92">
        <v>8</v>
      </c>
      <c r="F92" t="s">
        <v>45</v>
      </c>
      <c r="G92">
        <v>0</v>
      </c>
      <c r="H92">
        <v>733</v>
      </c>
      <c r="I92" t="s">
        <v>22</v>
      </c>
      <c r="J92">
        <v>0</v>
      </c>
      <c r="K92">
        <v>7.4960000000000004</v>
      </c>
      <c r="L92">
        <v>18</v>
      </c>
      <c r="M92" t="s">
        <v>23</v>
      </c>
      <c r="N92">
        <v>10</v>
      </c>
      <c r="O92">
        <v>35.905299999999997</v>
      </c>
      <c r="P92">
        <v>82.586399999999998</v>
      </c>
      <c r="Q92" t="s">
        <v>875</v>
      </c>
      <c r="R92" t="s">
        <v>54</v>
      </c>
      <c r="S92" t="s">
        <v>1752</v>
      </c>
      <c r="T92">
        <v>2</v>
      </c>
      <c r="U92">
        <v>6.9</v>
      </c>
      <c r="V92">
        <v>0</v>
      </c>
      <c r="W92">
        <v>7.4960000000000004</v>
      </c>
      <c r="X92">
        <v>18</v>
      </c>
      <c r="Y92">
        <v>10</v>
      </c>
      <c r="Z92">
        <v>3</v>
      </c>
      <c r="AA92">
        <v>8</v>
      </c>
      <c r="AB92">
        <v>0</v>
      </c>
      <c r="AC92">
        <v>733</v>
      </c>
      <c r="AD92" s="8">
        <v>41975.388194444444</v>
      </c>
    </row>
    <row r="93" spans="1:30">
      <c r="A93" t="s">
        <v>700</v>
      </c>
      <c r="B93">
        <v>6.5</v>
      </c>
      <c r="C93" s="8">
        <v>42105.155555555553</v>
      </c>
      <c r="D93">
        <v>5</v>
      </c>
      <c r="E93">
        <v>7</v>
      </c>
      <c r="F93" t="s">
        <v>21</v>
      </c>
      <c r="G93">
        <v>0</v>
      </c>
      <c r="H93">
        <v>657</v>
      </c>
      <c r="I93" t="s">
        <v>22</v>
      </c>
      <c r="J93">
        <v>0</v>
      </c>
      <c r="K93">
        <v>1.53</v>
      </c>
      <c r="L93">
        <v>21</v>
      </c>
      <c r="M93" t="s">
        <v>23</v>
      </c>
      <c r="N93">
        <v>20</v>
      </c>
      <c r="O93">
        <v>-8.3381000000000007</v>
      </c>
      <c r="P93">
        <v>124.875</v>
      </c>
      <c r="Q93" t="s">
        <v>701</v>
      </c>
      <c r="R93" t="s">
        <v>54</v>
      </c>
      <c r="S93" t="s">
        <v>108</v>
      </c>
      <c r="T93">
        <v>2</v>
      </c>
      <c r="U93">
        <v>6.5</v>
      </c>
      <c r="V93">
        <v>0</v>
      </c>
      <c r="W93">
        <v>1.53</v>
      </c>
      <c r="X93">
        <v>21</v>
      </c>
      <c r="Y93">
        <v>20</v>
      </c>
      <c r="Z93">
        <v>5</v>
      </c>
      <c r="AA93">
        <v>7</v>
      </c>
      <c r="AB93">
        <v>0</v>
      </c>
      <c r="AC93">
        <v>657</v>
      </c>
      <c r="AD93" s="8">
        <v>42105.155555555553</v>
      </c>
    </row>
    <row r="94" spans="1:30">
      <c r="A94" t="s">
        <v>677</v>
      </c>
      <c r="B94">
        <v>7.2</v>
      </c>
      <c r="C94" s="8">
        <v>42197.326388888891</v>
      </c>
      <c r="D94">
        <v>4</v>
      </c>
      <c r="E94">
        <v>7</v>
      </c>
      <c r="F94" t="s">
        <v>21</v>
      </c>
      <c r="G94">
        <v>0</v>
      </c>
      <c r="H94">
        <v>827</v>
      </c>
      <c r="I94" t="s">
        <v>22</v>
      </c>
      <c r="J94">
        <v>0</v>
      </c>
      <c r="K94">
        <v>1.1160000000000001</v>
      </c>
      <c r="L94">
        <v>18</v>
      </c>
      <c r="M94" t="s">
        <v>23</v>
      </c>
      <c r="N94">
        <v>22</v>
      </c>
      <c r="O94">
        <v>38.210700000000003</v>
      </c>
      <c r="P94">
        <v>72.779700000000005</v>
      </c>
      <c r="Q94" t="s">
        <v>585</v>
      </c>
      <c r="R94" t="s">
        <v>54</v>
      </c>
      <c r="S94" t="s">
        <v>678</v>
      </c>
      <c r="T94">
        <v>2</v>
      </c>
      <c r="U94">
        <v>7.2</v>
      </c>
      <c r="V94">
        <v>0</v>
      </c>
      <c r="W94">
        <v>1.1160000000000001</v>
      </c>
      <c r="X94">
        <v>18</v>
      </c>
      <c r="Y94">
        <v>22</v>
      </c>
      <c r="Z94">
        <v>4</v>
      </c>
      <c r="AA94">
        <v>7</v>
      </c>
      <c r="AB94">
        <v>0</v>
      </c>
      <c r="AC94">
        <v>827</v>
      </c>
      <c r="AD94" s="8">
        <v>42197.326388888891</v>
      </c>
    </row>
    <row r="95" spans="1:30">
      <c r="A95" t="s">
        <v>727</v>
      </c>
      <c r="B95">
        <v>7</v>
      </c>
      <c r="C95" s="8" t="s">
        <v>728</v>
      </c>
      <c r="D95">
        <v>9</v>
      </c>
      <c r="E95">
        <v>7</v>
      </c>
      <c r="F95" t="s">
        <v>21</v>
      </c>
      <c r="G95">
        <v>1</v>
      </c>
      <c r="H95">
        <v>762</v>
      </c>
      <c r="I95" t="s">
        <v>22</v>
      </c>
      <c r="J95">
        <v>0</v>
      </c>
      <c r="K95">
        <v>6.2779999999999996</v>
      </c>
      <c r="L95">
        <v>12</v>
      </c>
      <c r="M95" t="s">
        <v>23</v>
      </c>
      <c r="N95">
        <v>48</v>
      </c>
      <c r="O95">
        <v>-2.6286</v>
      </c>
      <c r="P95">
        <v>138.52799999999999</v>
      </c>
      <c r="Q95" t="s">
        <v>729</v>
      </c>
      <c r="R95" t="s">
        <v>54</v>
      </c>
      <c r="S95" t="s">
        <v>108</v>
      </c>
      <c r="T95">
        <v>2</v>
      </c>
      <c r="U95">
        <v>7</v>
      </c>
      <c r="V95">
        <v>0</v>
      </c>
      <c r="W95">
        <v>6.2779999999999996</v>
      </c>
      <c r="X95">
        <v>12</v>
      </c>
      <c r="Y95">
        <v>48</v>
      </c>
      <c r="Z95">
        <v>9</v>
      </c>
      <c r="AA95">
        <v>7</v>
      </c>
      <c r="AB95">
        <v>1</v>
      </c>
      <c r="AC95">
        <v>762</v>
      </c>
      <c r="AD95" s="8">
        <v>42212</v>
      </c>
    </row>
    <row r="96" spans="1:30">
      <c r="A96" t="s">
        <v>696</v>
      </c>
      <c r="B96">
        <v>6.6</v>
      </c>
      <c r="C96" s="8">
        <v>42227.699305555558</v>
      </c>
      <c r="D96">
        <v>7</v>
      </c>
      <c r="E96">
        <v>4</v>
      </c>
      <c r="F96" t="s">
        <v>21</v>
      </c>
      <c r="G96">
        <v>0</v>
      </c>
      <c r="H96">
        <v>675</v>
      </c>
      <c r="I96" t="s">
        <v>22</v>
      </c>
      <c r="J96">
        <v>0</v>
      </c>
      <c r="K96">
        <v>2.7919999999999998</v>
      </c>
      <c r="L96">
        <v>31</v>
      </c>
      <c r="M96" t="s">
        <v>23</v>
      </c>
      <c r="N96">
        <v>10</v>
      </c>
      <c r="O96">
        <v>6.8430999999999997</v>
      </c>
      <c r="P96">
        <v>94.647999999999996</v>
      </c>
      <c r="Q96" t="s">
        <v>697</v>
      </c>
      <c r="R96" t="s">
        <v>54</v>
      </c>
      <c r="S96" t="s">
        <v>671</v>
      </c>
      <c r="T96">
        <v>2</v>
      </c>
      <c r="U96">
        <v>6.6</v>
      </c>
      <c r="V96">
        <v>0</v>
      </c>
      <c r="W96">
        <v>2.7919999999999998</v>
      </c>
      <c r="X96">
        <v>31</v>
      </c>
      <c r="Y96">
        <v>10</v>
      </c>
      <c r="Z96">
        <v>7</v>
      </c>
      <c r="AA96">
        <v>4</v>
      </c>
      <c r="AB96">
        <v>0</v>
      </c>
      <c r="AC96">
        <v>675</v>
      </c>
      <c r="AD96" s="8">
        <v>42227.699305555558</v>
      </c>
    </row>
    <row r="97" spans="1:30">
      <c r="A97" t="s">
        <v>675</v>
      </c>
      <c r="B97">
        <v>6.9</v>
      </c>
      <c r="C97" s="8">
        <v>42259.431250000001</v>
      </c>
      <c r="D97">
        <v>8</v>
      </c>
      <c r="E97">
        <v>5</v>
      </c>
      <c r="F97" t="s">
        <v>21</v>
      </c>
      <c r="G97">
        <v>0</v>
      </c>
      <c r="H97">
        <v>738</v>
      </c>
      <c r="I97" t="s">
        <v>22</v>
      </c>
      <c r="J97">
        <v>0</v>
      </c>
      <c r="K97">
        <v>2.9790000000000001</v>
      </c>
      <c r="L97">
        <v>14</v>
      </c>
      <c r="M97" t="s">
        <v>23</v>
      </c>
      <c r="N97">
        <v>21</v>
      </c>
      <c r="O97">
        <v>-4.1063999999999998</v>
      </c>
      <c r="P97">
        <v>129.50800000000001</v>
      </c>
      <c r="Q97" t="s">
        <v>676</v>
      </c>
      <c r="R97" t="s">
        <v>54</v>
      </c>
      <c r="S97" t="s">
        <v>108</v>
      </c>
      <c r="T97">
        <v>2</v>
      </c>
      <c r="U97">
        <v>6.9</v>
      </c>
      <c r="V97">
        <v>0</v>
      </c>
      <c r="W97">
        <v>2.9790000000000001</v>
      </c>
      <c r="X97">
        <v>14</v>
      </c>
      <c r="Y97">
        <v>21</v>
      </c>
      <c r="Z97">
        <v>8</v>
      </c>
      <c r="AA97">
        <v>5</v>
      </c>
      <c r="AB97">
        <v>0</v>
      </c>
      <c r="AC97">
        <v>738</v>
      </c>
      <c r="AD97" s="8">
        <v>42259.431250000001</v>
      </c>
    </row>
    <row r="98" spans="1:30">
      <c r="A98" t="s">
        <v>702</v>
      </c>
      <c r="B98">
        <v>7.5</v>
      </c>
      <c r="C98" s="8" t="s">
        <v>703</v>
      </c>
      <c r="D98">
        <v>8</v>
      </c>
      <c r="E98">
        <v>7</v>
      </c>
      <c r="F98" t="s">
        <v>66</v>
      </c>
      <c r="G98">
        <v>0</v>
      </c>
      <c r="H98">
        <v>1448</v>
      </c>
      <c r="I98" t="s">
        <v>22</v>
      </c>
      <c r="J98">
        <v>0</v>
      </c>
      <c r="K98">
        <v>0.622</v>
      </c>
      <c r="L98">
        <v>18</v>
      </c>
      <c r="M98" t="s">
        <v>23</v>
      </c>
      <c r="N98">
        <v>231</v>
      </c>
      <c r="O98">
        <v>36.5244</v>
      </c>
      <c r="P98">
        <v>70.367599999999996</v>
      </c>
      <c r="Q98" t="s">
        <v>704</v>
      </c>
      <c r="R98" t="s">
        <v>54</v>
      </c>
      <c r="S98" t="s">
        <v>649</v>
      </c>
      <c r="T98">
        <v>2</v>
      </c>
      <c r="U98">
        <v>7.5</v>
      </c>
      <c r="V98">
        <v>0</v>
      </c>
      <c r="W98">
        <v>0.622</v>
      </c>
      <c r="X98">
        <v>18</v>
      </c>
      <c r="Y98">
        <v>231</v>
      </c>
      <c r="Z98">
        <v>8</v>
      </c>
      <c r="AA98">
        <v>7</v>
      </c>
      <c r="AB98">
        <v>0</v>
      </c>
      <c r="AC98">
        <v>1448</v>
      </c>
      <c r="AD98" s="8">
        <v>42303</v>
      </c>
    </row>
    <row r="99" spans="1:30">
      <c r="A99" t="s">
        <v>755</v>
      </c>
      <c r="B99">
        <v>7.3</v>
      </c>
      <c r="C99" s="8">
        <v>42343.295138888891</v>
      </c>
      <c r="D99">
        <v>8</v>
      </c>
      <c r="E99">
        <v>7</v>
      </c>
      <c r="F99" t="s">
        <v>66</v>
      </c>
      <c r="G99">
        <v>0</v>
      </c>
      <c r="H99">
        <v>1563</v>
      </c>
      <c r="I99" t="s">
        <v>22</v>
      </c>
      <c r="J99">
        <v>0</v>
      </c>
      <c r="K99">
        <v>0.67700000000000005</v>
      </c>
      <c r="L99">
        <v>11</v>
      </c>
      <c r="M99" t="s">
        <v>23</v>
      </c>
      <c r="N99">
        <v>15</v>
      </c>
      <c r="O99">
        <v>27.808700000000002</v>
      </c>
      <c r="P99">
        <v>86.0655</v>
      </c>
      <c r="Q99" t="s">
        <v>756</v>
      </c>
      <c r="R99" t="s">
        <v>54</v>
      </c>
      <c r="S99" t="s">
        <v>756</v>
      </c>
      <c r="T99">
        <v>2</v>
      </c>
      <c r="U99">
        <v>7.3</v>
      </c>
      <c r="V99">
        <v>0</v>
      </c>
      <c r="W99">
        <v>0.67700000000000005</v>
      </c>
      <c r="X99">
        <v>11</v>
      </c>
      <c r="Y99">
        <v>15</v>
      </c>
      <c r="Z99">
        <v>8</v>
      </c>
      <c r="AA99">
        <v>7</v>
      </c>
      <c r="AB99">
        <v>0</v>
      </c>
      <c r="AC99">
        <v>1563</v>
      </c>
      <c r="AD99" s="8">
        <v>42343.295138888891</v>
      </c>
    </row>
    <row r="100" spans="1:30">
      <c r="A100" t="s">
        <v>753</v>
      </c>
      <c r="B100">
        <v>6.8</v>
      </c>
      <c r="C100" s="8">
        <v>42343.883333333331</v>
      </c>
      <c r="D100">
        <v>8</v>
      </c>
      <c r="E100">
        <v>6</v>
      </c>
      <c r="F100" t="s">
        <v>21</v>
      </c>
      <c r="G100">
        <v>1</v>
      </c>
      <c r="H100">
        <v>831</v>
      </c>
      <c r="I100" t="s">
        <v>22</v>
      </c>
      <c r="J100">
        <v>0</v>
      </c>
      <c r="K100">
        <v>1.4219999999999999</v>
      </c>
      <c r="L100">
        <v>8</v>
      </c>
      <c r="M100" t="s">
        <v>23</v>
      </c>
      <c r="N100">
        <v>35</v>
      </c>
      <c r="O100">
        <v>38.9056</v>
      </c>
      <c r="P100">
        <v>142.03200000000001</v>
      </c>
      <c r="Q100" t="s">
        <v>754</v>
      </c>
      <c r="R100" t="s">
        <v>54</v>
      </c>
      <c r="S100" t="s">
        <v>200</v>
      </c>
      <c r="T100">
        <v>2</v>
      </c>
      <c r="U100">
        <v>6.8</v>
      </c>
      <c r="V100">
        <v>0</v>
      </c>
      <c r="W100">
        <v>1.4219999999999999</v>
      </c>
      <c r="X100">
        <v>8</v>
      </c>
      <c r="Y100">
        <v>35</v>
      </c>
      <c r="Z100">
        <v>8</v>
      </c>
      <c r="AA100">
        <v>6</v>
      </c>
      <c r="AB100">
        <v>1</v>
      </c>
      <c r="AC100">
        <v>831</v>
      </c>
      <c r="AD100" s="8">
        <v>42343.883333333331</v>
      </c>
    </row>
    <row r="101" spans="1:30">
      <c r="A101" t="s">
        <v>625</v>
      </c>
      <c r="B101">
        <v>6.6</v>
      </c>
      <c r="C101" s="8">
        <v>42375.955555555556</v>
      </c>
      <c r="D101">
        <v>4</v>
      </c>
      <c r="E101">
        <v>6</v>
      </c>
      <c r="F101" t="s">
        <v>21</v>
      </c>
      <c r="G101">
        <v>0</v>
      </c>
      <c r="H101">
        <v>671</v>
      </c>
      <c r="I101" t="s">
        <v>22</v>
      </c>
      <c r="J101">
        <v>0</v>
      </c>
      <c r="K101">
        <v>2.4350000000000001</v>
      </c>
      <c r="L101">
        <v>16</v>
      </c>
      <c r="M101" t="s">
        <v>23</v>
      </c>
      <c r="N101">
        <v>50</v>
      </c>
      <c r="O101">
        <v>-2.0966999999999998</v>
      </c>
      <c r="P101">
        <v>100.66500000000001</v>
      </c>
      <c r="Q101" t="s">
        <v>626</v>
      </c>
      <c r="R101" t="s">
        <v>54</v>
      </c>
      <c r="S101" t="s">
        <v>108</v>
      </c>
      <c r="T101">
        <v>2</v>
      </c>
      <c r="U101">
        <v>6.6</v>
      </c>
      <c r="V101">
        <v>0</v>
      </c>
      <c r="W101">
        <v>2.4350000000000001</v>
      </c>
      <c r="X101">
        <v>16</v>
      </c>
      <c r="Y101">
        <v>50</v>
      </c>
      <c r="Z101">
        <v>4</v>
      </c>
      <c r="AA101">
        <v>6</v>
      </c>
      <c r="AB101">
        <v>0</v>
      </c>
      <c r="AC101">
        <v>671</v>
      </c>
      <c r="AD101" s="8">
        <v>42375.955555555556</v>
      </c>
    </row>
    <row r="102" spans="1:30">
      <c r="A102" t="s">
        <v>653</v>
      </c>
      <c r="B102">
        <v>7.8</v>
      </c>
      <c r="C102" s="8">
        <v>42403.53402777778</v>
      </c>
      <c r="D102">
        <v>4</v>
      </c>
      <c r="E102">
        <v>3</v>
      </c>
      <c r="F102" t="s">
        <v>21</v>
      </c>
      <c r="G102">
        <v>0</v>
      </c>
      <c r="H102">
        <v>948</v>
      </c>
      <c r="I102" t="s">
        <v>22</v>
      </c>
      <c r="J102">
        <v>0</v>
      </c>
      <c r="K102">
        <v>7.0090000000000003</v>
      </c>
      <c r="L102">
        <v>20</v>
      </c>
      <c r="M102" t="s">
        <v>23</v>
      </c>
      <c r="N102">
        <v>24</v>
      </c>
      <c r="O102">
        <v>-4.9520999999999997</v>
      </c>
      <c r="P102">
        <v>94.329899999999995</v>
      </c>
      <c r="Q102" t="s">
        <v>654</v>
      </c>
      <c r="R102" t="s">
        <v>54</v>
      </c>
      <c r="S102" t="s">
        <v>108</v>
      </c>
      <c r="T102">
        <v>2</v>
      </c>
      <c r="U102">
        <v>7.8</v>
      </c>
      <c r="V102">
        <v>0</v>
      </c>
      <c r="W102">
        <v>7.0090000000000003</v>
      </c>
      <c r="X102">
        <v>20</v>
      </c>
      <c r="Y102">
        <v>24</v>
      </c>
      <c r="Z102">
        <v>4</v>
      </c>
      <c r="AA102">
        <v>3</v>
      </c>
      <c r="AB102">
        <v>0</v>
      </c>
      <c r="AC102">
        <v>948</v>
      </c>
      <c r="AD102" s="8">
        <v>42403.53402777778</v>
      </c>
    </row>
    <row r="103" spans="1:30">
      <c r="A103" t="s">
        <v>669</v>
      </c>
      <c r="B103">
        <v>6.7</v>
      </c>
      <c r="C103" s="8">
        <v>42430.961805555555</v>
      </c>
      <c r="D103">
        <v>8</v>
      </c>
      <c r="E103">
        <v>7</v>
      </c>
      <c r="F103" t="s">
        <v>66</v>
      </c>
      <c r="G103">
        <v>0</v>
      </c>
      <c r="H103">
        <v>1515</v>
      </c>
      <c r="I103" t="s">
        <v>22</v>
      </c>
      <c r="J103">
        <v>0</v>
      </c>
      <c r="K103">
        <v>1.794</v>
      </c>
      <c r="L103">
        <v>16</v>
      </c>
      <c r="M103" t="s">
        <v>23</v>
      </c>
      <c r="N103">
        <v>55</v>
      </c>
      <c r="O103">
        <v>24.803599999999999</v>
      </c>
      <c r="P103">
        <v>93.650499999999994</v>
      </c>
      <c r="Q103" t="s">
        <v>670</v>
      </c>
      <c r="R103" t="s">
        <v>54</v>
      </c>
      <c r="S103" t="s">
        <v>671</v>
      </c>
      <c r="T103">
        <v>2</v>
      </c>
      <c r="U103">
        <v>6.7</v>
      </c>
      <c r="V103">
        <v>0</v>
      </c>
      <c r="W103">
        <v>1.794</v>
      </c>
      <c r="X103">
        <v>16</v>
      </c>
      <c r="Y103">
        <v>55</v>
      </c>
      <c r="Z103">
        <v>8</v>
      </c>
      <c r="AA103">
        <v>7</v>
      </c>
      <c r="AB103">
        <v>0</v>
      </c>
      <c r="AC103">
        <v>1515</v>
      </c>
      <c r="AD103" s="8">
        <v>42430.961805555555</v>
      </c>
    </row>
    <row r="104" spans="1:30">
      <c r="A104" t="s">
        <v>581</v>
      </c>
      <c r="B104">
        <v>6.5</v>
      </c>
      <c r="C104" s="8">
        <v>42533.918749999997</v>
      </c>
      <c r="D104">
        <v>9</v>
      </c>
      <c r="E104">
        <v>8</v>
      </c>
      <c r="F104" t="s">
        <v>45</v>
      </c>
      <c r="G104">
        <v>0</v>
      </c>
      <c r="H104">
        <v>731</v>
      </c>
      <c r="I104" t="s">
        <v>22</v>
      </c>
      <c r="J104">
        <v>0</v>
      </c>
      <c r="K104">
        <v>0.77800000000000002</v>
      </c>
      <c r="L104">
        <v>27</v>
      </c>
      <c r="M104" t="s">
        <v>23</v>
      </c>
      <c r="N104">
        <v>13</v>
      </c>
      <c r="O104">
        <v>5.2834000000000003</v>
      </c>
      <c r="P104">
        <v>96.1678</v>
      </c>
      <c r="Q104" t="s">
        <v>582</v>
      </c>
      <c r="R104" t="s">
        <v>54</v>
      </c>
      <c r="S104" t="s">
        <v>108</v>
      </c>
      <c r="T104">
        <v>2</v>
      </c>
      <c r="U104">
        <v>6.5</v>
      </c>
      <c r="V104">
        <v>0</v>
      </c>
      <c r="W104">
        <v>0.77800000000000002</v>
      </c>
      <c r="X104">
        <v>27</v>
      </c>
      <c r="Y104">
        <v>13</v>
      </c>
      <c r="Z104">
        <v>9</v>
      </c>
      <c r="AA104">
        <v>8</v>
      </c>
      <c r="AB104">
        <v>0</v>
      </c>
      <c r="AC104">
        <v>731</v>
      </c>
      <c r="AD104" s="8">
        <v>42533.918749999997</v>
      </c>
    </row>
    <row r="105" spans="1:30">
      <c r="A105" t="s">
        <v>647</v>
      </c>
      <c r="B105">
        <v>6.6</v>
      </c>
      <c r="C105" s="8">
        <v>42647.436111111114</v>
      </c>
      <c r="D105">
        <v>6</v>
      </c>
      <c r="E105">
        <v>4</v>
      </c>
      <c r="F105" t="s">
        <v>21</v>
      </c>
      <c r="G105">
        <v>0</v>
      </c>
      <c r="H105">
        <v>738</v>
      </c>
      <c r="I105" t="s">
        <v>22</v>
      </c>
      <c r="J105">
        <v>0</v>
      </c>
      <c r="K105">
        <v>0.78900000000000003</v>
      </c>
      <c r="L105">
        <v>17</v>
      </c>
      <c r="M105" t="s">
        <v>23</v>
      </c>
      <c r="N105">
        <v>212</v>
      </c>
      <c r="O105">
        <v>36.472499999999997</v>
      </c>
      <c r="P105">
        <v>71.131100000000004</v>
      </c>
      <c r="Q105" t="s">
        <v>648</v>
      </c>
      <c r="R105" t="s">
        <v>54</v>
      </c>
      <c r="S105" t="s">
        <v>649</v>
      </c>
      <c r="T105">
        <v>2</v>
      </c>
      <c r="U105">
        <v>6.6</v>
      </c>
      <c r="V105">
        <v>0</v>
      </c>
      <c r="W105">
        <v>0.78900000000000003</v>
      </c>
      <c r="X105">
        <v>17</v>
      </c>
      <c r="Y105">
        <v>212</v>
      </c>
      <c r="Z105">
        <v>6</v>
      </c>
      <c r="AA105">
        <v>4</v>
      </c>
      <c r="AB105">
        <v>0</v>
      </c>
      <c r="AC105">
        <v>738</v>
      </c>
      <c r="AD105" s="8">
        <v>42647.436111111114</v>
      </c>
    </row>
    <row r="106" spans="1:30">
      <c r="A106" t="s">
        <v>667</v>
      </c>
      <c r="B106">
        <v>6.5</v>
      </c>
      <c r="C106" s="8">
        <v>42675.693055555559</v>
      </c>
      <c r="D106">
        <v>3</v>
      </c>
      <c r="E106">
        <v>6</v>
      </c>
      <c r="F106" t="s">
        <v>21</v>
      </c>
      <c r="G106">
        <v>1</v>
      </c>
      <c r="H106">
        <v>651</v>
      </c>
      <c r="I106" t="s">
        <v>22</v>
      </c>
      <c r="J106">
        <v>0</v>
      </c>
      <c r="K106">
        <v>3.1440000000000001</v>
      </c>
      <c r="L106">
        <v>22</v>
      </c>
      <c r="M106" t="s">
        <v>23</v>
      </c>
      <c r="N106">
        <v>13</v>
      </c>
      <c r="O106">
        <v>3.8965000000000001</v>
      </c>
      <c r="P106">
        <v>126.86199999999999</v>
      </c>
      <c r="Q106" t="s">
        <v>668</v>
      </c>
      <c r="R106" t="s">
        <v>54</v>
      </c>
      <c r="S106" t="s">
        <v>108</v>
      </c>
      <c r="T106">
        <v>2</v>
      </c>
      <c r="U106">
        <v>6.5</v>
      </c>
      <c r="V106">
        <v>0</v>
      </c>
      <c r="W106">
        <v>3.1440000000000001</v>
      </c>
      <c r="X106">
        <v>22</v>
      </c>
      <c r="Y106">
        <v>13</v>
      </c>
      <c r="Z106">
        <v>3</v>
      </c>
      <c r="AA106">
        <v>6</v>
      </c>
      <c r="AB106">
        <v>1</v>
      </c>
      <c r="AC106">
        <v>651</v>
      </c>
      <c r="AD106" s="8">
        <v>42675.693055555559</v>
      </c>
    </row>
    <row r="107" spans="1:30">
      <c r="A107" t="s">
        <v>526</v>
      </c>
      <c r="B107">
        <v>6.5</v>
      </c>
      <c r="C107" s="8">
        <v>42893.335416666669</v>
      </c>
      <c r="D107">
        <v>9</v>
      </c>
      <c r="E107">
        <v>8</v>
      </c>
      <c r="F107" t="s">
        <v>45</v>
      </c>
      <c r="G107">
        <v>1</v>
      </c>
      <c r="H107">
        <v>740</v>
      </c>
      <c r="I107" t="s">
        <v>22</v>
      </c>
      <c r="J107">
        <v>0</v>
      </c>
      <c r="K107">
        <v>4.1390000000000002</v>
      </c>
      <c r="L107">
        <v>30</v>
      </c>
      <c r="M107" t="s">
        <v>23</v>
      </c>
      <c r="N107">
        <v>9</v>
      </c>
      <c r="O107">
        <v>11.126899999999999</v>
      </c>
      <c r="P107">
        <v>124.629</v>
      </c>
      <c r="Q107" t="s">
        <v>527</v>
      </c>
      <c r="R107" t="s">
        <v>54</v>
      </c>
      <c r="S107" t="s">
        <v>75</v>
      </c>
      <c r="T107">
        <v>2</v>
      </c>
      <c r="U107">
        <v>6.5</v>
      </c>
      <c r="V107">
        <v>0</v>
      </c>
      <c r="W107">
        <v>4.1390000000000002</v>
      </c>
      <c r="X107">
        <v>30</v>
      </c>
      <c r="Y107">
        <v>9</v>
      </c>
      <c r="Z107">
        <v>9</v>
      </c>
      <c r="AA107">
        <v>8</v>
      </c>
      <c r="AB107">
        <v>1</v>
      </c>
      <c r="AC107">
        <v>740</v>
      </c>
      <c r="AD107" s="8">
        <v>42893.335416666669</v>
      </c>
    </row>
    <row r="108" spans="1:30">
      <c r="A108" t="s">
        <v>516</v>
      </c>
      <c r="B108">
        <v>6.5</v>
      </c>
      <c r="C108" s="8">
        <v>42955.554861111108</v>
      </c>
      <c r="D108">
        <v>5</v>
      </c>
      <c r="E108">
        <v>7</v>
      </c>
      <c r="F108" t="s">
        <v>45</v>
      </c>
      <c r="G108">
        <v>0</v>
      </c>
      <c r="H108">
        <v>707</v>
      </c>
      <c r="I108" t="s">
        <v>22</v>
      </c>
      <c r="J108">
        <v>0</v>
      </c>
      <c r="K108">
        <v>11.411</v>
      </c>
      <c r="L108">
        <v>22</v>
      </c>
      <c r="M108" t="s">
        <v>23</v>
      </c>
      <c r="N108">
        <v>9</v>
      </c>
      <c r="O108">
        <v>33.192599999999999</v>
      </c>
      <c r="P108">
        <v>103.855</v>
      </c>
      <c r="Q108" t="s">
        <v>517</v>
      </c>
      <c r="R108" t="s">
        <v>54</v>
      </c>
      <c r="S108" t="s">
        <v>1752</v>
      </c>
      <c r="T108">
        <v>2</v>
      </c>
      <c r="U108">
        <v>6.5</v>
      </c>
      <c r="V108">
        <v>0</v>
      </c>
      <c r="W108">
        <v>11.411</v>
      </c>
      <c r="X108">
        <v>22</v>
      </c>
      <c r="Y108">
        <v>9</v>
      </c>
      <c r="Z108">
        <v>5</v>
      </c>
      <c r="AA108">
        <v>7</v>
      </c>
      <c r="AB108">
        <v>0</v>
      </c>
      <c r="AC108">
        <v>707</v>
      </c>
      <c r="AD108" s="8">
        <v>42955.554861111108</v>
      </c>
    </row>
    <row r="109" spans="1:30">
      <c r="A109" t="s">
        <v>565</v>
      </c>
      <c r="B109">
        <v>7.3</v>
      </c>
      <c r="C109" s="8">
        <v>43009.259027777778</v>
      </c>
      <c r="D109">
        <v>6</v>
      </c>
      <c r="E109">
        <v>3</v>
      </c>
      <c r="F109" t="s">
        <v>21</v>
      </c>
      <c r="G109">
        <v>1</v>
      </c>
      <c r="H109">
        <v>849</v>
      </c>
      <c r="I109" t="s">
        <v>22</v>
      </c>
      <c r="J109">
        <v>0</v>
      </c>
      <c r="K109">
        <v>3.8130000000000002</v>
      </c>
      <c r="L109">
        <v>18</v>
      </c>
      <c r="M109" t="s">
        <v>23</v>
      </c>
      <c r="N109">
        <v>627.16999999999996</v>
      </c>
      <c r="O109">
        <v>4.4782000000000002</v>
      </c>
      <c r="P109">
        <v>122.617</v>
      </c>
      <c r="Q109" t="s">
        <v>566</v>
      </c>
      <c r="R109" t="s">
        <v>54</v>
      </c>
      <c r="S109" t="s">
        <v>1740</v>
      </c>
      <c r="T109">
        <v>2</v>
      </c>
      <c r="U109">
        <v>7.3</v>
      </c>
      <c r="V109">
        <v>0</v>
      </c>
      <c r="W109">
        <v>3.8130000000000002</v>
      </c>
      <c r="X109">
        <v>18</v>
      </c>
      <c r="Y109">
        <v>627.16999999999996</v>
      </c>
      <c r="Z109">
        <v>6</v>
      </c>
      <c r="AA109">
        <v>3</v>
      </c>
      <c r="AB109">
        <v>1</v>
      </c>
      <c r="AC109">
        <v>849</v>
      </c>
      <c r="AD109" s="8">
        <v>43009.259027777778</v>
      </c>
    </row>
    <row r="110" spans="1:30">
      <c r="A110" t="s">
        <v>558</v>
      </c>
      <c r="B110">
        <v>6.5</v>
      </c>
      <c r="C110" s="8">
        <v>43010.585416666669</v>
      </c>
      <c r="D110">
        <v>8</v>
      </c>
      <c r="E110">
        <v>7</v>
      </c>
      <c r="F110" t="s">
        <v>45</v>
      </c>
      <c r="G110">
        <v>1</v>
      </c>
      <c r="H110">
        <v>718</v>
      </c>
      <c r="I110" t="s">
        <v>22</v>
      </c>
      <c r="J110">
        <v>0</v>
      </c>
      <c r="K110">
        <v>2.8220000000000001</v>
      </c>
      <c r="L110">
        <v>36</v>
      </c>
      <c r="M110" t="s">
        <v>23</v>
      </c>
      <c r="N110">
        <v>15</v>
      </c>
      <c r="O110">
        <v>9.9070999999999998</v>
      </c>
      <c r="P110">
        <v>125.452</v>
      </c>
      <c r="Q110" t="s">
        <v>559</v>
      </c>
      <c r="R110" t="s">
        <v>54</v>
      </c>
      <c r="S110" t="s">
        <v>75</v>
      </c>
      <c r="T110">
        <v>2</v>
      </c>
      <c r="U110">
        <v>6.5</v>
      </c>
      <c r="V110">
        <v>0</v>
      </c>
      <c r="W110">
        <v>2.8220000000000001</v>
      </c>
      <c r="X110">
        <v>36</v>
      </c>
      <c r="Y110">
        <v>15</v>
      </c>
      <c r="Z110">
        <v>8</v>
      </c>
      <c r="AA110">
        <v>7</v>
      </c>
      <c r="AB110">
        <v>1</v>
      </c>
      <c r="AC110">
        <v>718</v>
      </c>
      <c r="AD110" s="8">
        <v>43010.585416666669</v>
      </c>
    </row>
    <row r="111" spans="1:30">
      <c r="A111" t="s">
        <v>496</v>
      </c>
      <c r="B111">
        <v>7.3</v>
      </c>
      <c r="C111" s="8">
        <v>43080.762499999997</v>
      </c>
      <c r="D111">
        <v>8</v>
      </c>
      <c r="E111">
        <v>9</v>
      </c>
      <c r="F111" t="s">
        <v>103</v>
      </c>
      <c r="G111">
        <v>0</v>
      </c>
      <c r="H111">
        <v>2790</v>
      </c>
      <c r="I111" t="s">
        <v>22</v>
      </c>
      <c r="J111">
        <v>0</v>
      </c>
      <c r="K111">
        <v>0.28399999999999997</v>
      </c>
      <c r="L111">
        <v>33</v>
      </c>
      <c r="M111" t="s">
        <v>23</v>
      </c>
      <c r="N111">
        <v>19</v>
      </c>
      <c r="O111">
        <v>34.910899999999998</v>
      </c>
      <c r="P111">
        <v>45.959200000000003</v>
      </c>
      <c r="Q111" t="s">
        <v>497</v>
      </c>
      <c r="R111" t="s">
        <v>54</v>
      </c>
      <c r="S111" t="s">
        <v>498</v>
      </c>
      <c r="T111">
        <v>2</v>
      </c>
      <c r="U111">
        <v>7.3</v>
      </c>
      <c r="V111">
        <v>0</v>
      </c>
      <c r="W111">
        <v>0.28399999999999997</v>
      </c>
      <c r="X111">
        <v>33</v>
      </c>
      <c r="Y111">
        <v>19</v>
      </c>
      <c r="Z111">
        <v>8</v>
      </c>
      <c r="AA111">
        <v>9</v>
      </c>
      <c r="AB111">
        <v>0</v>
      </c>
      <c r="AC111">
        <v>2790</v>
      </c>
      <c r="AD111" s="8">
        <v>43080.762499999997</v>
      </c>
    </row>
    <row r="112" spans="1:30">
      <c r="A112" t="s">
        <v>454</v>
      </c>
      <c r="B112">
        <v>6.9</v>
      </c>
      <c r="C112" s="8">
        <v>43228.490277777775</v>
      </c>
      <c r="D112">
        <v>9</v>
      </c>
      <c r="E112">
        <v>8</v>
      </c>
      <c r="F112" t="s">
        <v>66</v>
      </c>
      <c r="G112">
        <v>0</v>
      </c>
      <c r="H112">
        <v>1704</v>
      </c>
      <c r="I112" t="s">
        <v>22</v>
      </c>
      <c r="J112">
        <v>0</v>
      </c>
      <c r="K112">
        <v>2.2709999999999999</v>
      </c>
      <c r="L112">
        <v>15</v>
      </c>
      <c r="M112" t="s">
        <v>23</v>
      </c>
      <c r="N112">
        <v>34</v>
      </c>
      <c r="O112">
        <v>-8.2581000000000007</v>
      </c>
      <c r="P112">
        <v>116.438</v>
      </c>
      <c r="Q112" t="s">
        <v>445</v>
      </c>
      <c r="R112" t="s">
        <v>54</v>
      </c>
      <c r="S112" t="s">
        <v>108</v>
      </c>
      <c r="T112">
        <v>2</v>
      </c>
      <c r="U112">
        <v>6.9</v>
      </c>
      <c r="V112">
        <v>0</v>
      </c>
      <c r="W112">
        <v>2.2709999999999999</v>
      </c>
      <c r="X112">
        <v>15</v>
      </c>
      <c r="Y112">
        <v>34</v>
      </c>
      <c r="Z112">
        <v>9</v>
      </c>
      <c r="AA112">
        <v>8</v>
      </c>
      <c r="AB112">
        <v>0</v>
      </c>
      <c r="AC112">
        <v>1704</v>
      </c>
      <c r="AD112" s="8">
        <v>43228.490277777775</v>
      </c>
    </row>
    <row r="113" spans="1:30">
      <c r="A113" t="s">
        <v>430</v>
      </c>
      <c r="B113">
        <v>6.6</v>
      </c>
      <c r="C113" s="8">
        <v>43229.754861111112</v>
      </c>
      <c r="D113">
        <v>8</v>
      </c>
      <c r="E113">
        <v>9</v>
      </c>
      <c r="F113" t="s">
        <v>66</v>
      </c>
      <c r="G113">
        <v>1</v>
      </c>
      <c r="H113">
        <v>1075</v>
      </c>
      <c r="I113" t="s">
        <v>22</v>
      </c>
      <c r="J113">
        <v>0</v>
      </c>
      <c r="K113">
        <v>1.1299999999999999</v>
      </c>
      <c r="L113">
        <v>32</v>
      </c>
      <c r="M113" t="s">
        <v>23</v>
      </c>
      <c r="N113">
        <v>35</v>
      </c>
      <c r="O113">
        <v>42.686100000000003</v>
      </c>
      <c r="P113">
        <v>141.929</v>
      </c>
      <c r="Q113" t="s">
        <v>431</v>
      </c>
      <c r="R113" t="s">
        <v>54</v>
      </c>
      <c r="S113" t="s">
        <v>200</v>
      </c>
      <c r="T113">
        <v>2</v>
      </c>
      <c r="U113">
        <v>6.6</v>
      </c>
      <c r="V113">
        <v>0</v>
      </c>
      <c r="W113">
        <v>1.1299999999999999</v>
      </c>
      <c r="X113">
        <v>32</v>
      </c>
      <c r="Y113">
        <v>35</v>
      </c>
      <c r="Z113">
        <v>8</v>
      </c>
      <c r="AA113">
        <v>9</v>
      </c>
      <c r="AB113">
        <v>1</v>
      </c>
      <c r="AC113">
        <v>1075</v>
      </c>
      <c r="AD113" s="8">
        <v>43229.754861111112</v>
      </c>
    </row>
    <row r="114" spans="1:30">
      <c r="A114" t="s">
        <v>416</v>
      </c>
      <c r="B114">
        <v>6.5</v>
      </c>
      <c r="C114" s="8">
        <v>43383.969444444447</v>
      </c>
      <c r="D114">
        <v>0</v>
      </c>
      <c r="E114">
        <v>4</v>
      </c>
      <c r="F114" t="s">
        <v>21</v>
      </c>
      <c r="G114">
        <v>1</v>
      </c>
      <c r="H114">
        <v>650</v>
      </c>
      <c r="I114" t="s">
        <v>22</v>
      </c>
      <c r="J114">
        <v>0</v>
      </c>
      <c r="K114">
        <v>3.923</v>
      </c>
      <c r="L114">
        <v>14</v>
      </c>
      <c r="M114" t="s">
        <v>23</v>
      </c>
      <c r="N114">
        <v>20</v>
      </c>
      <c r="O114">
        <v>49.290199999999999</v>
      </c>
      <c r="P114">
        <v>156.297</v>
      </c>
      <c r="Q114" t="s">
        <v>291</v>
      </c>
      <c r="R114" t="s">
        <v>54</v>
      </c>
      <c r="S114" t="s">
        <v>295</v>
      </c>
      <c r="T114">
        <v>2</v>
      </c>
      <c r="U114">
        <v>6.5</v>
      </c>
      <c r="V114">
        <v>0</v>
      </c>
      <c r="W114">
        <v>3.923</v>
      </c>
      <c r="X114">
        <v>14</v>
      </c>
      <c r="Y114">
        <v>20</v>
      </c>
      <c r="Z114">
        <v>0</v>
      </c>
      <c r="AA114">
        <v>4</v>
      </c>
      <c r="AB114">
        <v>1</v>
      </c>
      <c r="AC114">
        <v>650</v>
      </c>
      <c r="AD114" s="8">
        <v>43383.969444444447</v>
      </c>
    </row>
    <row r="115" spans="1:30">
      <c r="A115" t="s">
        <v>329</v>
      </c>
      <c r="B115">
        <v>6.9</v>
      </c>
      <c r="C115" s="8">
        <v>43504.502083333333</v>
      </c>
      <c r="D115">
        <v>4</v>
      </c>
      <c r="E115">
        <v>6</v>
      </c>
      <c r="F115" t="s">
        <v>21</v>
      </c>
      <c r="G115">
        <v>0</v>
      </c>
      <c r="H115">
        <v>875</v>
      </c>
      <c r="I115" t="s">
        <v>22</v>
      </c>
      <c r="J115">
        <v>0</v>
      </c>
      <c r="K115">
        <v>2.839</v>
      </c>
      <c r="L115">
        <v>23</v>
      </c>
      <c r="M115" t="s">
        <v>23</v>
      </c>
      <c r="N115">
        <v>49</v>
      </c>
      <c r="O115">
        <v>-7.2821999999999996</v>
      </c>
      <c r="P115">
        <v>104.791</v>
      </c>
      <c r="Q115" t="s">
        <v>119</v>
      </c>
      <c r="R115" t="s">
        <v>54</v>
      </c>
      <c r="S115" t="s">
        <v>108</v>
      </c>
      <c r="T115">
        <v>2</v>
      </c>
      <c r="U115">
        <v>6.9</v>
      </c>
      <c r="V115">
        <v>0</v>
      </c>
      <c r="W115">
        <v>2.839</v>
      </c>
      <c r="X115">
        <v>23</v>
      </c>
      <c r="Y115">
        <v>49</v>
      </c>
      <c r="Z115">
        <v>4</v>
      </c>
      <c r="AA115">
        <v>6</v>
      </c>
      <c r="AB115">
        <v>0</v>
      </c>
      <c r="AC115">
        <v>875</v>
      </c>
      <c r="AD115" s="8">
        <v>43504.502083333333</v>
      </c>
    </row>
    <row r="116" spans="1:30">
      <c r="A116" t="s">
        <v>383</v>
      </c>
      <c r="B116">
        <v>6.6</v>
      </c>
      <c r="C116" s="8">
        <v>43617.727083333331</v>
      </c>
      <c r="D116">
        <v>2</v>
      </c>
      <c r="E116">
        <v>4</v>
      </c>
      <c r="F116" t="s">
        <v>21</v>
      </c>
      <c r="G116">
        <v>1</v>
      </c>
      <c r="H116">
        <v>672</v>
      </c>
      <c r="I116" t="s">
        <v>22</v>
      </c>
      <c r="J116">
        <v>0</v>
      </c>
      <c r="K116">
        <v>1.5960000000000001</v>
      </c>
      <c r="L116">
        <v>33</v>
      </c>
      <c r="M116" t="s">
        <v>23</v>
      </c>
      <c r="N116">
        <v>43.21</v>
      </c>
      <c r="O116">
        <v>2.258</v>
      </c>
      <c r="P116">
        <v>126.758</v>
      </c>
      <c r="Q116" t="s">
        <v>384</v>
      </c>
      <c r="R116" t="s">
        <v>54</v>
      </c>
      <c r="S116" t="s">
        <v>108</v>
      </c>
      <c r="T116">
        <v>2</v>
      </c>
      <c r="U116">
        <v>6.6</v>
      </c>
      <c r="V116">
        <v>0</v>
      </c>
      <c r="W116">
        <v>1.5960000000000001</v>
      </c>
      <c r="X116">
        <v>33</v>
      </c>
      <c r="Y116">
        <v>43.21</v>
      </c>
      <c r="Z116">
        <v>2</v>
      </c>
      <c r="AA116">
        <v>4</v>
      </c>
      <c r="AB116">
        <v>1</v>
      </c>
      <c r="AC116">
        <v>672</v>
      </c>
      <c r="AD116" s="8">
        <v>43617.727083333331</v>
      </c>
    </row>
    <row r="117" spans="1:30">
      <c r="A117" t="s">
        <v>341</v>
      </c>
      <c r="B117">
        <v>6.9</v>
      </c>
      <c r="C117" s="8">
        <v>43653.630555555559</v>
      </c>
      <c r="D117">
        <v>7</v>
      </c>
      <c r="E117">
        <v>5</v>
      </c>
      <c r="F117" t="s">
        <v>21</v>
      </c>
      <c r="G117">
        <v>0</v>
      </c>
      <c r="H117">
        <v>747</v>
      </c>
      <c r="I117" t="s">
        <v>22</v>
      </c>
      <c r="J117">
        <v>0</v>
      </c>
      <c r="K117">
        <v>1.2050000000000001</v>
      </c>
      <c r="L117">
        <v>21</v>
      </c>
      <c r="M117" t="s">
        <v>23</v>
      </c>
      <c r="N117">
        <v>35</v>
      </c>
      <c r="O117">
        <v>0.51259999999999994</v>
      </c>
      <c r="P117">
        <v>126.18899999999999</v>
      </c>
      <c r="Q117" t="s">
        <v>342</v>
      </c>
      <c r="R117" t="s">
        <v>54</v>
      </c>
      <c r="S117" t="s">
        <v>108</v>
      </c>
      <c r="T117">
        <v>2</v>
      </c>
      <c r="U117">
        <v>6.9</v>
      </c>
      <c r="V117">
        <v>0</v>
      </c>
      <c r="W117">
        <v>1.2050000000000001</v>
      </c>
      <c r="X117">
        <v>21</v>
      </c>
      <c r="Y117">
        <v>35</v>
      </c>
      <c r="Z117">
        <v>7</v>
      </c>
      <c r="AA117">
        <v>5</v>
      </c>
      <c r="AB117">
        <v>0</v>
      </c>
      <c r="AC117">
        <v>747</v>
      </c>
      <c r="AD117" s="8">
        <v>43653.630555555559</v>
      </c>
    </row>
    <row r="118" spans="1:30">
      <c r="A118" t="s">
        <v>364</v>
      </c>
      <c r="B118">
        <v>6.8</v>
      </c>
      <c r="C118" s="8">
        <v>43803.486111111109</v>
      </c>
      <c r="D118">
        <v>5</v>
      </c>
      <c r="E118">
        <v>6</v>
      </c>
      <c r="F118" t="s">
        <v>21</v>
      </c>
      <c r="G118">
        <v>1</v>
      </c>
      <c r="H118">
        <v>717</v>
      </c>
      <c r="I118" t="s">
        <v>22</v>
      </c>
      <c r="J118">
        <v>0</v>
      </c>
      <c r="K118">
        <v>0.79100000000000004</v>
      </c>
      <c r="L118">
        <v>28</v>
      </c>
      <c r="M118" t="s">
        <v>23</v>
      </c>
      <c r="N118">
        <v>15.46</v>
      </c>
      <c r="O118">
        <v>-1.8146</v>
      </c>
      <c r="P118">
        <v>122.58</v>
      </c>
      <c r="Q118" t="s">
        <v>365</v>
      </c>
      <c r="R118" t="s">
        <v>54</v>
      </c>
      <c r="S118" t="s">
        <v>108</v>
      </c>
      <c r="T118">
        <v>2</v>
      </c>
      <c r="U118">
        <v>6.8</v>
      </c>
      <c r="V118">
        <v>0</v>
      </c>
      <c r="W118">
        <v>0.79100000000000004</v>
      </c>
      <c r="X118">
        <v>28</v>
      </c>
      <c r="Y118">
        <v>15.46</v>
      </c>
      <c r="Z118">
        <v>5</v>
      </c>
      <c r="AA118">
        <v>6</v>
      </c>
      <c r="AB118">
        <v>1</v>
      </c>
      <c r="AC118">
        <v>717</v>
      </c>
      <c r="AD118" s="8">
        <v>43803.486111111109</v>
      </c>
    </row>
    <row r="119" spans="1:30">
      <c r="A119" t="s">
        <v>282</v>
      </c>
      <c r="B119">
        <v>6.8</v>
      </c>
      <c r="C119" s="8">
        <v>43987.578472222223</v>
      </c>
      <c r="D119">
        <v>4</v>
      </c>
      <c r="E119">
        <v>6</v>
      </c>
      <c r="F119" t="s">
        <v>21</v>
      </c>
      <c r="G119">
        <v>0</v>
      </c>
      <c r="H119">
        <v>738</v>
      </c>
      <c r="I119" t="s">
        <v>22</v>
      </c>
      <c r="J119">
        <v>0</v>
      </c>
      <c r="K119">
        <v>1.921</v>
      </c>
      <c r="L119">
        <v>16</v>
      </c>
      <c r="M119" t="s">
        <v>23</v>
      </c>
      <c r="N119">
        <v>96</v>
      </c>
      <c r="O119">
        <v>-6.7762000000000002</v>
      </c>
      <c r="P119">
        <v>129.785</v>
      </c>
      <c r="Q119" t="s">
        <v>283</v>
      </c>
      <c r="R119" t="s">
        <v>54</v>
      </c>
      <c r="S119" t="s">
        <v>108</v>
      </c>
      <c r="T119">
        <v>2</v>
      </c>
      <c r="U119">
        <v>6.8</v>
      </c>
      <c r="V119">
        <v>0</v>
      </c>
      <c r="W119">
        <v>1.921</v>
      </c>
      <c r="X119">
        <v>16</v>
      </c>
      <c r="Y119">
        <v>96</v>
      </c>
      <c r="Z119">
        <v>4</v>
      </c>
      <c r="AA119">
        <v>6</v>
      </c>
      <c r="AB119">
        <v>0</v>
      </c>
      <c r="AC119">
        <v>738</v>
      </c>
      <c r="AD119" s="8">
        <v>43987.578472222223</v>
      </c>
    </row>
    <row r="120" spans="1:30">
      <c r="A120" t="s">
        <v>263</v>
      </c>
      <c r="B120">
        <v>6.6</v>
      </c>
      <c r="C120" s="8">
        <v>43989.95416666667</v>
      </c>
      <c r="D120">
        <v>4</v>
      </c>
      <c r="E120">
        <v>2</v>
      </c>
      <c r="F120" t="s">
        <v>21</v>
      </c>
      <c r="G120">
        <v>0</v>
      </c>
      <c r="H120">
        <v>684</v>
      </c>
      <c r="I120" t="s">
        <v>22</v>
      </c>
      <c r="J120">
        <v>0</v>
      </c>
      <c r="K120">
        <v>1.458</v>
      </c>
      <c r="L120">
        <v>14</v>
      </c>
      <c r="M120" t="s">
        <v>23</v>
      </c>
      <c r="N120">
        <v>533.76</v>
      </c>
      <c r="O120">
        <v>-5.6368</v>
      </c>
      <c r="P120">
        <v>110.678</v>
      </c>
      <c r="Q120" t="s">
        <v>264</v>
      </c>
      <c r="R120" t="s">
        <v>54</v>
      </c>
      <c r="S120" t="s">
        <v>108</v>
      </c>
      <c r="T120">
        <v>2</v>
      </c>
      <c r="U120">
        <v>6.6</v>
      </c>
      <c r="V120">
        <v>0</v>
      </c>
      <c r="W120">
        <v>1.458</v>
      </c>
      <c r="X120">
        <v>14</v>
      </c>
      <c r="Y120">
        <v>533.76</v>
      </c>
      <c r="Z120">
        <v>4</v>
      </c>
      <c r="AA120">
        <v>2</v>
      </c>
      <c r="AB120">
        <v>0</v>
      </c>
      <c r="AC120">
        <v>684</v>
      </c>
      <c r="AD120" s="8">
        <v>43989.95416666667</v>
      </c>
    </row>
    <row r="121" spans="1:30">
      <c r="A121" t="s">
        <v>84</v>
      </c>
      <c r="B121">
        <v>6.9</v>
      </c>
      <c r="C121" s="8">
        <v>44201.060416666667</v>
      </c>
      <c r="D121">
        <v>7</v>
      </c>
      <c r="E121">
        <v>6</v>
      </c>
      <c r="F121" t="s">
        <v>21</v>
      </c>
      <c r="G121">
        <v>1</v>
      </c>
      <c r="H121">
        <v>919</v>
      </c>
      <c r="I121" t="s">
        <v>22</v>
      </c>
      <c r="J121">
        <v>0</v>
      </c>
      <c r="K121">
        <v>2.6190000000000002</v>
      </c>
      <c r="L121">
        <v>35</v>
      </c>
      <c r="M121" t="s">
        <v>23</v>
      </c>
      <c r="N121">
        <v>43</v>
      </c>
      <c r="O121">
        <v>38.229599999999998</v>
      </c>
      <c r="P121">
        <v>141.66499999999999</v>
      </c>
      <c r="R121" t="s">
        <v>54</v>
      </c>
      <c r="S121" t="s">
        <v>200</v>
      </c>
      <c r="T121">
        <v>2</v>
      </c>
      <c r="U121">
        <v>6.9</v>
      </c>
      <c r="V121">
        <v>0</v>
      </c>
      <c r="W121">
        <v>2.6190000000000002</v>
      </c>
      <c r="X121">
        <v>35</v>
      </c>
      <c r="Y121">
        <v>43</v>
      </c>
      <c r="Z121">
        <v>7</v>
      </c>
      <c r="AA121">
        <v>6</v>
      </c>
      <c r="AB121">
        <v>1</v>
      </c>
      <c r="AC121">
        <v>919</v>
      </c>
      <c r="AD121" s="8">
        <v>44201.060416666667</v>
      </c>
    </row>
    <row r="122" spans="1:30">
      <c r="A122" t="s">
        <v>140</v>
      </c>
      <c r="B122">
        <v>6.6</v>
      </c>
      <c r="C122" s="8">
        <v>44480.65625</v>
      </c>
      <c r="D122">
        <v>7</v>
      </c>
      <c r="E122">
        <v>4</v>
      </c>
      <c r="F122" t="s">
        <v>21</v>
      </c>
      <c r="G122">
        <v>1</v>
      </c>
      <c r="H122">
        <v>688</v>
      </c>
      <c r="I122" t="s">
        <v>22</v>
      </c>
      <c r="J122">
        <v>0</v>
      </c>
      <c r="K122">
        <v>3.2589999999999999</v>
      </c>
      <c r="L122">
        <v>15</v>
      </c>
      <c r="M122" t="s">
        <v>23</v>
      </c>
      <c r="N122">
        <v>12</v>
      </c>
      <c r="O122">
        <v>23.541399999999999</v>
      </c>
      <c r="P122">
        <v>126.48</v>
      </c>
      <c r="Q122" t="s">
        <v>141</v>
      </c>
      <c r="R122" t="s">
        <v>54</v>
      </c>
      <c r="S122" t="s">
        <v>200</v>
      </c>
      <c r="T122">
        <v>2</v>
      </c>
      <c r="U122">
        <v>6.6</v>
      </c>
      <c r="V122">
        <v>0</v>
      </c>
      <c r="W122">
        <v>3.2589999999999999</v>
      </c>
      <c r="X122">
        <v>15</v>
      </c>
      <c r="Y122">
        <v>12</v>
      </c>
      <c r="Z122">
        <v>7</v>
      </c>
      <c r="AA122">
        <v>4</v>
      </c>
      <c r="AB122">
        <v>1</v>
      </c>
      <c r="AC122">
        <v>688</v>
      </c>
      <c r="AD122" s="8">
        <v>44480.65625</v>
      </c>
    </row>
    <row r="123" spans="1:30">
      <c r="A123" t="s">
        <v>225</v>
      </c>
      <c r="B123">
        <v>6.7</v>
      </c>
      <c r="C123" s="8">
        <v>44501.897222222222</v>
      </c>
      <c r="D123">
        <v>8</v>
      </c>
      <c r="E123">
        <v>8</v>
      </c>
      <c r="F123" t="s">
        <v>21</v>
      </c>
      <c r="G123">
        <v>0</v>
      </c>
      <c r="H123">
        <v>776</v>
      </c>
      <c r="I123" t="s">
        <v>22</v>
      </c>
      <c r="J123">
        <v>0</v>
      </c>
      <c r="K123">
        <v>2.0430000000000001</v>
      </c>
      <c r="L123">
        <v>22</v>
      </c>
      <c r="M123" t="s">
        <v>23</v>
      </c>
      <c r="N123">
        <v>10</v>
      </c>
      <c r="O123">
        <v>51.240699999999997</v>
      </c>
      <c r="P123">
        <v>100.443</v>
      </c>
      <c r="Q123" t="s">
        <v>226</v>
      </c>
      <c r="R123" t="s">
        <v>54</v>
      </c>
      <c r="S123" t="s">
        <v>227</v>
      </c>
      <c r="T123">
        <v>2</v>
      </c>
      <c r="U123">
        <v>6.7</v>
      </c>
      <c r="V123">
        <v>0</v>
      </c>
      <c r="W123">
        <v>2.0430000000000001</v>
      </c>
      <c r="X123">
        <v>22</v>
      </c>
      <c r="Y123">
        <v>10</v>
      </c>
      <c r="Z123">
        <v>8</v>
      </c>
      <c r="AA123">
        <v>8</v>
      </c>
      <c r="AB123">
        <v>0</v>
      </c>
      <c r="AC123">
        <v>776</v>
      </c>
      <c r="AD123" s="8">
        <v>44501.897222222222</v>
      </c>
    </row>
    <row r="124" spans="1:30">
      <c r="A124" t="s">
        <v>176</v>
      </c>
      <c r="B124">
        <v>7.1</v>
      </c>
      <c r="C124" s="8">
        <v>44508.740277777775</v>
      </c>
      <c r="D124">
        <v>9</v>
      </c>
      <c r="E124">
        <v>7</v>
      </c>
      <c r="F124" t="s">
        <v>21</v>
      </c>
      <c r="G124">
        <v>1</v>
      </c>
      <c r="H124">
        <v>846</v>
      </c>
      <c r="I124" t="s">
        <v>22</v>
      </c>
      <c r="J124">
        <v>0</v>
      </c>
      <c r="K124">
        <v>1.2729999999999999</v>
      </c>
      <c r="L124">
        <v>25</v>
      </c>
      <c r="M124" t="s">
        <v>23</v>
      </c>
      <c r="N124">
        <v>55.14</v>
      </c>
      <c r="O124">
        <v>6.4546999999999999</v>
      </c>
      <c r="P124">
        <v>126.742</v>
      </c>
      <c r="Q124" t="s">
        <v>177</v>
      </c>
      <c r="R124" t="s">
        <v>54</v>
      </c>
      <c r="S124" t="s">
        <v>75</v>
      </c>
      <c r="T124">
        <v>2</v>
      </c>
      <c r="U124">
        <v>7.1</v>
      </c>
      <c r="V124">
        <v>0</v>
      </c>
      <c r="W124">
        <v>1.2729999999999999</v>
      </c>
      <c r="X124">
        <v>25</v>
      </c>
      <c r="Y124">
        <v>55.14</v>
      </c>
      <c r="Z124">
        <v>9</v>
      </c>
      <c r="AA124">
        <v>7</v>
      </c>
      <c r="AB124">
        <v>1</v>
      </c>
      <c r="AC124">
        <v>846</v>
      </c>
      <c r="AD124" s="8">
        <v>44508.740277777775</v>
      </c>
    </row>
    <row r="125" spans="1:30">
      <c r="A125" t="s">
        <v>65</v>
      </c>
      <c r="B125">
        <v>6.6</v>
      </c>
      <c r="C125" s="8">
        <v>44690.202777777777</v>
      </c>
      <c r="D125">
        <v>9</v>
      </c>
      <c r="E125">
        <v>8</v>
      </c>
      <c r="F125" t="s">
        <v>66</v>
      </c>
      <c r="G125">
        <v>0</v>
      </c>
      <c r="H125">
        <v>1043</v>
      </c>
      <c r="I125" t="s">
        <v>22</v>
      </c>
      <c r="J125">
        <v>141</v>
      </c>
      <c r="K125">
        <v>8.4540000000000006</v>
      </c>
      <c r="L125">
        <v>34</v>
      </c>
      <c r="M125" t="s">
        <v>23</v>
      </c>
      <c r="N125">
        <v>12</v>
      </c>
      <c r="O125">
        <v>29.726299999999998</v>
      </c>
      <c r="P125">
        <v>102.279</v>
      </c>
      <c r="Q125" t="s">
        <v>67</v>
      </c>
      <c r="R125" t="s">
        <v>54</v>
      </c>
      <c r="S125" t="s">
        <v>1752</v>
      </c>
      <c r="T125">
        <v>2</v>
      </c>
      <c r="U125">
        <v>6.6</v>
      </c>
      <c r="V125">
        <v>141</v>
      </c>
      <c r="W125">
        <v>8.4540000000000006</v>
      </c>
      <c r="X125">
        <v>34</v>
      </c>
      <c r="Y125">
        <v>12</v>
      </c>
      <c r="Z125">
        <v>9</v>
      </c>
      <c r="AA125">
        <v>8</v>
      </c>
      <c r="AB125">
        <v>0</v>
      </c>
      <c r="AC125">
        <v>1043</v>
      </c>
      <c r="AD125" s="8">
        <v>44690.202777777777</v>
      </c>
    </row>
    <row r="126" spans="1:30">
      <c r="A126" t="s">
        <v>130</v>
      </c>
      <c r="B126">
        <v>6.6</v>
      </c>
      <c r="C126" s="8">
        <v>44743.739583333336</v>
      </c>
      <c r="D126">
        <v>9</v>
      </c>
      <c r="E126">
        <v>8</v>
      </c>
      <c r="F126" t="s">
        <v>66</v>
      </c>
      <c r="G126">
        <v>0</v>
      </c>
      <c r="H126">
        <v>1012</v>
      </c>
      <c r="I126" t="s">
        <v>22</v>
      </c>
      <c r="J126">
        <v>0</v>
      </c>
      <c r="K126">
        <v>2.6850000000000001</v>
      </c>
      <c r="L126">
        <v>13</v>
      </c>
      <c r="M126" t="s">
        <v>23</v>
      </c>
      <c r="N126">
        <v>13</v>
      </c>
      <c r="O126">
        <v>37.816699999999997</v>
      </c>
      <c r="P126">
        <v>101.29900000000001</v>
      </c>
      <c r="Q126" t="s">
        <v>131</v>
      </c>
      <c r="R126" t="s">
        <v>54</v>
      </c>
      <c r="S126" t="s">
        <v>1752</v>
      </c>
      <c r="T126">
        <v>2</v>
      </c>
      <c r="U126">
        <v>6.6</v>
      </c>
      <c r="V126">
        <v>0</v>
      </c>
      <c r="W126">
        <v>2.6850000000000001</v>
      </c>
      <c r="X126">
        <v>13</v>
      </c>
      <c r="Y126">
        <v>13</v>
      </c>
      <c r="Z126">
        <v>9</v>
      </c>
      <c r="AA126">
        <v>8</v>
      </c>
      <c r="AB126">
        <v>0</v>
      </c>
      <c r="AC126">
        <v>1012</v>
      </c>
      <c r="AD126" s="8">
        <v>44743.739583333336</v>
      </c>
    </row>
    <row r="127" spans="1:30">
      <c r="A127" t="s">
        <v>128</v>
      </c>
      <c r="B127">
        <v>6.6</v>
      </c>
      <c r="C127" s="8">
        <v>44866.046527777777</v>
      </c>
      <c r="D127">
        <v>6</v>
      </c>
      <c r="E127">
        <v>6</v>
      </c>
      <c r="F127" t="s">
        <v>21</v>
      </c>
      <c r="G127">
        <v>0</v>
      </c>
      <c r="H127">
        <v>976</v>
      </c>
      <c r="I127" t="s">
        <v>22</v>
      </c>
      <c r="J127">
        <v>0</v>
      </c>
      <c r="K127">
        <v>1.1679999999999999</v>
      </c>
      <c r="L127">
        <v>21</v>
      </c>
      <c r="M127" t="s">
        <v>23</v>
      </c>
      <c r="N127">
        <v>21</v>
      </c>
      <c r="O127">
        <v>35.145600000000002</v>
      </c>
      <c r="P127">
        <v>31.909500000000001</v>
      </c>
      <c r="Q127" t="s">
        <v>129</v>
      </c>
      <c r="R127" t="s">
        <v>54</v>
      </c>
      <c r="S127" t="s">
        <v>1741</v>
      </c>
      <c r="T127">
        <v>2</v>
      </c>
      <c r="U127">
        <v>6.6</v>
      </c>
      <c r="V127">
        <v>0</v>
      </c>
      <c r="W127">
        <v>1.1679999999999999</v>
      </c>
      <c r="X127">
        <v>21</v>
      </c>
      <c r="Y127">
        <v>21</v>
      </c>
      <c r="Z127">
        <v>6</v>
      </c>
      <c r="AA127">
        <v>6</v>
      </c>
      <c r="AB127">
        <v>0</v>
      </c>
      <c r="AC127">
        <v>976</v>
      </c>
      <c r="AD127" s="8">
        <v>44866.046527777777</v>
      </c>
    </row>
    <row r="128" spans="1:30">
      <c r="A128" t="s">
        <v>1718</v>
      </c>
      <c r="B128">
        <v>7.4</v>
      </c>
      <c r="C128" s="8" t="s">
        <v>1719</v>
      </c>
      <c r="D128">
        <v>0</v>
      </c>
      <c r="E128">
        <v>6</v>
      </c>
      <c r="G128">
        <v>0</v>
      </c>
      <c r="H128">
        <v>842</v>
      </c>
      <c r="I128" t="s">
        <v>22</v>
      </c>
      <c r="J128">
        <v>221</v>
      </c>
      <c r="K128">
        <v>0</v>
      </c>
      <c r="L128">
        <v>0</v>
      </c>
      <c r="M128" t="s">
        <v>829</v>
      </c>
      <c r="N128">
        <v>36</v>
      </c>
      <c r="O128">
        <v>-4.68</v>
      </c>
      <c r="P128">
        <v>102.562</v>
      </c>
      <c r="Q128" t="s">
        <v>29</v>
      </c>
      <c r="R128" t="s">
        <v>54</v>
      </c>
      <c r="S128" t="s">
        <v>108</v>
      </c>
      <c r="T128">
        <v>2</v>
      </c>
      <c r="U128">
        <v>7.4</v>
      </c>
      <c r="V128">
        <v>221</v>
      </c>
      <c r="W128">
        <v>0</v>
      </c>
      <c r="X128">
        <v>0</v>
      </c>
      <c r="Y128">
        <v>36</v>
      </c>
      <c r="Z128">
        <v>0</v>
      </c>
      <c r="AA128">
        <v>6</v>
      </c>
      <c r="AB128">
        <v>0</v>
      </c>
      <c r="AC128">
        <v>842</v>
      </c>
      <c r="AD128" s="8">
        <v>36935</v>
      </c>
    </row>
    <row r="129" spans="1:30">
      <c r="A129" t="s">
        <v>292</v>
      </c>
      <c r="B129">
        <v>7</v>
      </c>
      <c r="C129" s="8" t="s">
        <v>293</v>
      </c>
      <c r="D129">
        <v>5</v>
      </c>
      <c r="E129">
        <v>6</v>
      </c>
      <c r="F129" t="s">
        <v>45</v>
      </c>
      <c r="G129">
        <v>1</v>
      </c>
      <c r="H129">
        <v>770</v>
      </c>
      <c r="I129" t="s">
        <v>22</v>
      </c>
      <c r="J129">
        <v>0</v>
      </c>
      <c r="K129">
        <v>4.5010000000000003</v>
      </c>
      <c r="L129">
        <v>25</v>
      </c>
      <c r="M129" t="s">
        <v>23</v>
      </c>
      <c r="N129">
        <v>143</v>
      </c>
      <c r="O129">
        <v>45.616100000000003</v>
      </c>
      <c r="P129">
        <v>148.959</v>
      </c>
      <c r="Q129" t="s">
        <v>294</v>
      </c>
      <c r="R129" t="s">
        <v>54</v>
      </c>
      <c r="S129" t="s">
        <v>295</v>
      </c>
      <c r="T129">
        <v>2</v>
      </c>
      <c r="U129">
        <v>7</v>
      </c>
      <c r="V129">
        <v>0</v>
      </c>
      <c r="W129">
        <v>4.5010000000000003</v>
      </c>
      <c r="X129">
        <v>25</v>
      </c>
      <c r="Y129">
        <v>143</v>
      </c>
      <c r="Z129">
        <v>5</v>
      </c>
      <c r="AA129">
        <v>6</v>
      </c>
      <c r="AB129">
        <v>1</v>
      </c>
      <c r="AC129">
        <v>770</v>
      </c>
      <c r="AD129" s="8">
        <v>43874</v>
      </c>
    </row>
    <row r="130" spans="1:30">
      <c r="A130" t="s">
        <v>217</v>
      </c>
      <c r="B130">
        <v>7.1</v>
      </c>
      <c r="C130" s="8" t="s">
        <v>218</v>
      </c>
      <c r="D130">
        <v>9</v>
      </c>
      <c r="E130">
        <v>8</v>
      </c>
      <c r="F130" t="s">
        <v>66</v>
      </c>
      <c r="G130">
        <v>1</v>
      </c>
      <c r="H130">
        <v>1612</v>
      </c>
      <c r="I130" t="s">
        <v>22</v>
      </c>
      <c r="J130">
        <v>0</v>
      </c>
      <c r="K130">
        <v>3.085</v>
      </c>
      <c r="L130">
        <v>11</v>
      </c>
      <c r="M130" t="s">
        <v>23</v>
      </c>
      <c r="N130">
        <v>43.98</v>
      </c>
      <c r="O130">
        <v>37.685600000000001</v>
      </c>
      <c r="P130">
        <v>141.99199999999999</v>
      </c>
      <c r="Q130" t="s">
        <v>104</v>
      </c>
      <c r="R130" s="3" t="s">
        <v>54</v>
      </c>
      <c r="S130" t="s">
        <v>200</v>
      </c>
      <c r="T130">
        <v>2</v>
      </c>
      <c r="U130">
        <v>7.1</v>
      </c>
      <c r="V130">
        <v>0</v>
      </c>
      <c r="W130">
        <v>3.085</v>
      </c>
      <c r="X130">
        <v>11</v>
      </c>
      <c r="Y130">
        <v>43.98</v>
      </c>
      <c r="Z130">
        <v>9</v>
      </c>
      <c r="AA130">
        <v>8</v>
      </c>
      <c r="AB130">
        <v>1</v>
      </c>
      <c r="AC130">
        <v>1612</v>
      </c>
      <c r="AD130" s="8">
        <v>44240</v>
      </c>
    </row>
    <row r="131" spans="1:30">
      <c r="A131" t="s">
        <v>105</v>
      </c>
      <c r="B131">
        <v>6.7</v>
      </c>
      <c r="C131" s="8" t="s">
        <v>106</v>
      </c>
      <c r="D131">
        <v>9</v>
      </c>
      <c r="E131">
        <v>6</v>
      </c>
      <c r="F131" t="s">
        <v>21</v>
      </c>
      <c r="G131">
        <v>0</v>
      </c>
      <c r="H131">
        <v>708</v>
      </c>
      <c r="I131" t="s">
        <v>22</v>
      </c>
      <c r="J131">
        <v>0</v>
      </c>
      <c r="K131">
        <v>2.1880000000000002</v>
      </c>
      <c r="L131">
        <v>43</v>
      </c>
      <c r="M131" t="s">
        <v>23</v>
      </c>
      <c r="N131">
        <v>28</v>
      </c>
      <c r="O131">
        <v>-0.68310000000000004</v>
      </c>
      <c r="P131">
        <v>98.603399999999993</v>
      </c>
      <c r="Q131" t="s">
        <v>107</v>
      </c>
      <c r="R131" t="s">
        <v>54</v>
      </c>
      <c r="S131" t="s">
        <v>108</v>
      </c>
      <c r="T131">
        <v>2</v>
      </c>
      <c r="U131">
        <v>6.7</v>
      </c>
      <c r="V131">
        <v>0</v>
      </c>
      <c r="W131">
        <v>2.1880000000000002</v>
      </c>
      <c r="X131">
        <v>43</v>
      </c>
      <c r="Y131">
        <v>28</v>
      </c>
      <c r="Z131">
        <v>9</v>
      </c>
      <c r="AA131">
        <v>6</v>
      </c>
      <c r="AB131">
        <v>0</v>
      </c>
      <c r="AC131">
        <v>708</v>
      </c>
      <c r="AD131" s="8">
        <v>44633</v>
      </c>
    </row>
    <row r="132" spans="1:30">
      <c r="A132" t="s">
        <v>1171</v>
      </c>
      <c r="B132">
        <v>6.9</v>
      </c>
      <c r="C132" s="8" t="s">
        <v>1172</v>
      </c>
      <c r="D132">
        <v>6</v>
      </c>
      <c r="E132">
        <v>9</v>
      </c>
      <c r="G132">
        <v>0</v>
      </c>
      <c r="H132">
        <v>773</v>
      </c>
      <c r="I132" t="s">
        <v>22</v>
      </c>
      <c r="J132">
        <v>410</v>
      </c>
      <c r="K132">
        <v>0</v>
      </c>
      <c r="L132">
        <v>14.9</v>
      </c>
      <c r="M132" t="s">
        <v>829</v>
      </c>
      <c r="N132">
        <v>17</v>
      </c>
      <c r="O132">
        <v>33.164999999999999</v>
      </c>
      <c r="P132">
        <v>96.548000000000002</v>
      </c>
      <c r="Q132" t="s">
        <v>1173</v>
      </c>
      <c r="R132" t="s">
        <v>54</v>
      </c>
      <c r="S132" t="s">
        <v>1752</v>
      </c>
      <c r="T132">
        <v>2</v>
      </c>
      <c r="U132">
        <v>6.9</v>
      </c>
      <c r="V132">
        <v>410</v>
      </c>
      <c r="W132">
        <v>0</v>
      </c>
      <c r="X132">
        <v>14.9</v>
      </c>
      <c r="Y132">
        <v>17</v>
      </c>
      <c r="Z132">
        <v>6</v>
      </c>
      <c r="AA132">
        <v>9</v>
      </c>
      <c r="AB132">
        <v>0</v>
      </c>
      <c r="AC132">
        <v>773</v>
      </c>
      <c r="AD132" s="8">
        <v>40281</v>
      </c>
    </row>
    <row r="133" spans="1:30">
      <c r="A133" t="s">
        <v>644</v>
      </c>
      <c r="B133">
        <v>6.9</v>
      </c>
      <c r="C133" s="8" t="s">
        <v>645</v>
      </c>
      <c r="D133">
        <v>6</v>
      </c>
      <c r="E133">
        <v>6</v>
      </c>
      <c r="F133" t="s">
        <v>45</v>
      </c>
      <c r="G133">
        <v>0</v>
      </c>
      <c r="H133">
        <v>903</v>
      </c>
      <c r="I133" t="s">
        <v>22</v>
      </c>
      <c r="J133">
        <v>0</v>
      </c>
      <c r="K133">
        <v>3.0009999999999999</v>
      </c>
      <c r="L133">
        <v>14</v>
      </c>
      <c r="M133" t="s">
        <v>23</v>
      </c>
      <c r="N133">
        <v>136</v>
      </c>
      <c r="O133">
        <v>23.0944</v>
      </c>
      <c r="P133">
        <v>94.865399999999994</v>
      </c>
      <c r="Q133" t="s">
        <v>646</v>
      </c>
      <c r="R133" t="s">
        <v>54</v>
      </c>
      <c r="S133" t="s">
        <v>620</v>
      </c>
      <c r="T133">
        <v>2</v>
      </c>
      <c r="U133">
        <v>6.9</v>
      </c>
      <c r="V133">
        <v>0</v>
      </c>
      <c r="W133">
        <v>3.0009999999999999</v>
      </c>
      <c r="X133">
        <v>14</v>
      </c>
      <c r="Y133">
        <v>136</v>
      </c>
      <c r="Z133">
        <v>6</v>
      </c>
      <c r="AA133">
        <v>6</v>
      </c>
      <c r="AB133">
        <v>0</v>
      </c>
      <c r="AC133">
        <v>903</v>
      </c>
      <c r="AD133" s="8">
        <v>42473</v>
      </c>
    </row>
    <row r="134" spans="1:30">
      <c r="A134" t="s">
        <v>1279</v>
      </c>
      <c r="B134">
        <v>6.9</v>
      </c>
      <c r="C134" s="8" t="s">
        <v>1280</v>
      </c>
      <c r="D134">
        <v>7</v>
      </c>
      <c r="E134">
        <v>8</v>
      </c>
      <c r="G134">
        <v>0</v>
      </c>
      <c r="H134">
        <v>888</v>
      </c>
      <c r="I134" t="s">
        <v>22</v>
      </c>
      <c r="J134">
        <v>654</v>
      </c>
      <c r="K134">
        <v>0</v>
      </c>
      <c r="L134">
        <v>17.100000000000001</v>
      </c>
      <c r="M134" t="s">
        <v>829</v>
      </c>
      <c r="N134">
        <v>7.8</v>
      </c>
      <c r="O134">
        <v>39.03</v>
      </c>
      <c r="P134">
        <v>140.881</v>
      </c>
      <c r="Q134" t="s">
        <v>1281</v>
      </c>
      <c r="R134" t="s">
        <v>54</v>
      </c>
      <c r="S134" t="s">
        <v>200</v>
      </c>
      <c r="T134">
        <v>2</v>
      </c>
      <c r="U134">
        <v>6.9</v>
      </c>
      <c r="V134">
        <v>654</v>
      </c>
      <c r="W134">
        <v>0</v>
      </c>
      <c r="X134">
        <v>17.100000000000001</v>
      </c>
      <c r="Y134">
        <v>7.8</v>
      </c>
      <c r="Z134">
        <v>7</v>
      </c>
      <c r="AA134">
        <v>8</v>
      </c>
      <c r="AB134">
        <v>0</v>
      </c>
      <c r="AC134">
        <v>888</v>
      </c>
      <c r="AD134" s="8">
        <v>39612</v>
      </c>
    </row>
    <row r="135" spans="1:30">
      <c r="A135" t="s">
        <v>936</v>
      </c>
      <c r="B135">
        <v>6.7</v>
      </c>
      <c r="C135" s="8" t="s">
        <v>937</v>
      </c>
      <c r="D135">
        <v>5</v>
      </c>
      <c r="E135">
        <v>4</v>
      </c>
      <c r="F135" t="s">
        <v>21</v>
      </c>
      <c r="G135">
        <v>0</v>
      </c>
      <c r="H135">
        <v>710</v>
      </c>
      <c r="I135" t="s">
        <v>22</v>
      </c>
      <c r="J135">
        <v>515</v>
      </c>
      <c r="K135">
        <v>0</v>
      </c>
      <c r="L135">
        <v>24</v>
      </c>
      <c r="M135" t="s">
        <v>23</v>
      </c>
      <c r="N135">
        <v>9</v>
      </c>
      <c r="O135">
        <v>-10.004</v>
      </c>
      <c r="P135">
        <v>107.236</v>
      </c>
      <c r="Q135" t="s">
        <v>938</v>
      </c>
      <c r="R135" t="s">
        <v>54</v>
      </c>
      <c r="S135" t="s">
        <v>108</v>
      </c>
      <c r="T135">
        <v>2</v>
      </c>
      <c r="U135">
        <v>6.7</v>
      </c>
      <c r="V135">
        <v>515</v>
      </c>
      <c r="W135">
        <v>0</v>
      </c>
      <c r="X135">
        <v>24</v>
      </c>
      <c r="Y135">
        <v>9</v>
      </c>
      <c r="Z135">
        <v>5</v>
      </c>
      <c r="AA135">
        <v>4</v>
      </c>
      <c r="AB135">
        <v>0</v>
      </c>
      <c r="AC135">
        <v>710</v>
      </c>
      <c r="AD135" s="8">
        <v>41438</v>
      </c>
    </row>
    <row r="136" spans="1:30">
      <c r="A136" t="s">
        <v>270</v>
      </c>
      <c r="B136">
        <v>6.6</v>
      </c>
      <c r="C136" s="8" t="s">
        <v>271</v>
      </c>
      <c r="D136">
        <v>5</v>
      </c>
      <c r="E136">
        <v>4</v>
      </c>
      <c r="F136" t="s">
        <v>21</v>
      </c>
      <c r="G136">
        <v>1</v>
      </c>
      <c r="H136">
        <v>734</v>
      </c>
      <c r="I136" t="s">
        <v>22</v>
      </c>
      <c r="J136">
        <v>0</v>
      </c>
      <c r="K136">
        <v>2.0150000000000001</v>
      </c>
      <c r="L136">
        <v>18</v>
      </c>
      <c r="M136" t="s">
        <v>23</v>
      </c>
      <c r="N136">
        <v>165</v>
      </c>
      <c r="O136">
        <v>28.938600000000001</v>
      </c>
      <c r="P136">
        <v>128.262</v>
      </c>
      <c r="Q136" t="s">
        <v>272</v>
      </c>
      <c r="R136" t="s">
        <v>54</v>
      </c>
      <c r="S136" t="s">
        <v>200</v>
      </c>
      <c r="T136">
        <v>2</v>
      </c>
      <c r="U136">
        <v>6.6</v>
      </c>
      <c r="V136">
        <v>0</v>
      </c>
      <c r="W136">
        <v>2.0150000000000001</v>
      </c>
      <c r="X136">
        <v>18</v>
      </c>
      <c r="Y136">
        <v>165</v>
      </c>
      <c r="Z136">
        <v>5</v>
      </c>
      <c r="AA136">
        <v>4</v>
      </c>
      <c r="AB136">
        <v>1</v>
      </c>
      <c r="AC136">
        <v>734</v>
      </c>
      <c r="AD136" s="8">
        <v>43995</v>
      </c>
    </row>
    <row r="137" spans="1:30">
      <c r="A137" t="s">
        <v>1344</v>
      </c>
      <c r="B137">
        <v>6.5</v>
      </c>
      <c r="C137" s="8" t="s">
        <v>1345</v>
      </c>
      <c r="D137">
        <v>0</v>
      </c>
      <c r="E137">
        <v>5</v>
      </c>
      <c r="G137">
        <v>0</v>
      </c>
      <c r="H137">
        <v>650</v>
      </c>
      <c r="I137" t="s">
        <v>22</v>
      </c>
      <c r="J137">
        <v>409</v>
      </c>
      <c r="K137">
        <v>0</v>
      </c>
      <c r="L137">
        <v>26.2</v>
      </c>
      <c r="M137" t="s">
        <v>829</v>
      </c>
      <c r="N137">
        <v>28.9</v>
      </c>
      <c r="O137">
        <v>-1.6890000000000001</v>
      </c>
      <c r="P137">
        <v>99.668000000000006</v>
      </c>
      <c r="Q137" t="s">
        <v>1346</v>
      </c>
      <c r="R137" t="s">
        <v>54</v>
      </c>
      <c r="S137" t="s">
        <v>108</v>
      </c>
      <c r="T137">
        <v>2</v>
      </c>
      <c r="U137">
        <v>6.5</v>
      </c>
      <c r="V137">
        <v>409</v>
      </c>
      <c r="W137">
        <v>0</v>
      </c>
      <c r="X137">
        <v>26.2</v>
      </c>
      <c r="Y137">
        <v>28.9</v>
      </c>
      <c r="Z137">
        <v>0</v>
      </c>
      <c r="AA137">
        <v>5</v>
      </c>
      <c r="AB137">
        <v>0</v>
      </c>
      <c r="AC137">
        <v>650</v>
      </c>
      <c r="AD137" s="8">
        <v>39338</v>
      </c>
    </row>
    <row r="138" spans="1:30">
      <c r="A138" t="s">
        <v>1342</v>
      </c>
      <c r="B138">
        <v>7</v>
      </c>
      <c r="C138" s="8" t="s">
        <v>1343</v>
      </c>
      <c r="D138">
        <v>4</v>
      </c>
      <c r="E138">
        <v>7</v>
      </c>
      <c r="G138">
        <v>0</v>
      </c>
      <c r="H138">
        <v>768</v>
      </c>
      <c r="I138" t="s">
        <v>22</v>
      </c>
      <c r="J138">
        <v>537</v>
      </c>
      <c r="K138">
        <v>0</v>
      </c>
      <c r="L138">
        <v>23.1</v>
      </c>
      <c r="M138" t="s">
        <v>829</v>
      </c>
      <c r="N138">
        <v>22</v>
      </c>
      <c r="O138">
        <v>-2.13</v>
      </c>
      <c r="P138">
        <v>99.626999999999995</v>
      </c>
      <c r="Q138" t="s">
        <v>1231</v>
      </c>
      <c r="R138" t="s">
        <v>54</v>
      </c>
      <c r="S138" t="s">
        <v>108</v>
      </c>
      <c r="T138">
        <v>2</v>
      </c>
      <c r="U138">
        <v>7</v>
      </c>
      <c r="V138">
        <v>537</v>
      </c>
      <c r="W138">
        <v>0</v>
      </c>
      <c r="X138">
        <v>23.1</v>
      </c>
      <c r="Y138">
        <v>22</v>
      </c>
      <c r="Z138">
        <v>4</v>
      </c>
      <c r="AA138">
        <v>7</v>
      </c>
      <c r="AB138">
        <v>0</v>
      </c>
      <c r="AC138">
        <v>768</v>
      </c>
      <c r="AD138" s="8">
        <v>39338</v>
      </c>
    </row>
    <row r="139" spans="1:30">
      <c r="A139" t="s">
        <v>413</v>
      </c>
      <c r="B139">
        <v>6.7</v>
      </c>
      <c r="C139" s="8" t="s">
        <v>414</v>
      </c>
      <c r="D139">
        <v>0</v>
      </c>
      <c r="E139">
        <v>3</v>
      </c>
      <c r="F139" t="s">
        <v>21</v>
      </c>
      <c r="G139">
        <v>1</v>
      </c>
      <c r="H139">
        <v>691</v>
      </c>
      <c r="I139" t="s">
        <v>22</v>
      </c>
      <c r="J139">
        <v>0</v>
      </c>
      <c r="K139">
        <v>2.7050000000000001</v>
      </c>
      <c r="L139">
        <v>17</v>
      </c>
      <c r="M139" t="s">
        <v>23</v>
      </c>
      <c r="N139">
        <v>461</v>
      </c>
      <c r="O139">
        <v>52.854900000000001</v>
      </c>
      <c r="P139">
        <v>153.24299999999999</v>
      </c>
      <c r="Q139" t="s">
        <v>415</v>
      </c>
      <c r="R139" t="s">
        <v>54</v>
      </c>
      <c r="S139" t="s">
        <v>295</v>
      </c>
      <c r="T139">
        <v>2</v>
      </c>
      <c r="U139">
        <v>6.7</v>
      </c>
      <c r="V139">
        <v>0</v>
      </c>
      <c r="W139">
        <v>2.7050000000000001</v>
      </c>
      <c r="X139">
        <v>17</v>
      </c>
      <c r="Y139">
        <v>461</v>
      </c>
      <c r="Z139">
        <v>0</v>
      </c>
      <c r="AA139">
        <v>3</v>
      </c>
      <c r="AB139">
        <v>1</v>
      </c>
      <c r="AC139">
        <v>691</v>
      </c>
      <c r="AD139" s="8">
        <v>43386</v>
      </c>
    </row>
    <row r="140" spans="1:30">
      <c r="A140" t="s">
        <v>691</v>
      </c>
      <c r="B140">
        <v>6.7</v>
      </c>
      <c r="C140" s="8" t="s">
        <v>692</v>
      </c>
      <c r="D140">
        <v>5</v>
      </c>
      <c r="E140">
        <v>4</v>
      </c>
      <c r="F140" t="s">
        <v>21</v>
      </c>
      <c r="G140">
        <v>0</v>
      </c>
      <c r="H140">
        <v>702</v>
      </c>
      <c r="I140" t="s">
        <v>22</v>
      </c>
      <c r="J140">
        <v>0</v>
      </c>
      <c r="K140">
        <v>1.444</v>
      </c>
      <c r="L140">
        <v>17</v>
      </c>
      <c r="M140" t="s">
        <v>23</v>
      </c>
      <c r="N140">
        <v>12</v>
      </c>
      <c r="O140">
        <v>31.000900000000001</v>
      </c>
      <c r="P140">
        <v>128.87299999999999</v>
      </c>
      <c r="Q140" t="s">
        <v>693</v>
      </c>
      <c r="R140" t="s">
        <v>54</v>
      </c>
      <c r="S140" t="s">
        <v>200</v>
      </c>
      <c r="T140">
        <v>2</v>
      </c>
      <c r="U140">
        <v>6.7</v>
      </c>
      <c r="V140">
        <v>0</v>
      </c>
      <c r="W140">
        <v>1.444</v>
      </c>
      <c r="X140">
        <v>17</v>
      </c>
      <c r="Y140">
        <v>12</v>
      </c>
      <c r="Z140">
        <v>5</v>
      </c>
      <c r="AA140">
        <v>4</v>
      </c>
      <c r="AB140">
        <v>0</v>
      </c>
      <c r="AC140">
        <v>702</v>
      </c>
      <c r="AD140" s="8">
        <v>42321</v>
      </c>
    </row>
    <row r="141" spans="1:30">
      <c r="A141" t="s">
        <v>664</v>
      </c>
      <c r="B141">
        <v>6.7</v>
      </c>
      <c r="C141" s="8" t="s">
        <v>665</v>
      </c>
      <c r="D141">
        <v>5</v>
      </c>
      <c r="E141">
        <v>6</v>
      </c>
      <c r="F141" t="s">
        <v>21</v>
      </c>
      <c r="G141">
        <v>1</v>
      </c>
      <c r="H141">
        <v>717</v>
      </c>
      <c r="I141" t="s">
        <v>22</v>
      </c>
      <c r="J141">
        <v>0</v>
      </c>
      <c r="K141">
        <v>0.28100000000000003</v>
      </c>
      <c r="L141">
        <v>22</v>
      </c>
      <c r="M141" t="s">
        <v>23</v>
      </c>
      <c r="N141">
        <v>46</v>
      </c>
      <c r="O141">
        <v>41.972299999999997</v>
      </c>
      <c r="P141">
        <v>142.78100000000001</v>
      </c>
      <c r="Q141" t="s">
        <v>666</v>
      </c>
      <c r="R141" t="s">
        <v>54</v>
      </c>
      <c r="S141" t="s">
        <v>200</v>
      </c>
      <c r="T141">
        <v>2</v>
      </c>
      <c r="U141">
        <v>6.7</v>
      </c>
      <c r="V141">
        <v>0</v>
      </c>
      <c r="W141">
        <v>0.28100000000000003</v>
      </c>
      <c r="X141">
        <v>22</v>
      </c>
      <c r="Y141">
        <v>46</v>
      </c>
      <c r="Z141">
        <v>5</v>
      </c>
      <c r="AA141">
        <v>6</v>
      </c>
      <c r="AB141">
        <v>1</v>
      </c>
      <c r="AC141">
        <v>717</v>
      </c>
      <c r="AD141" s="8">
        <v>42383</v>
      </c>
    </row>
    <row r="142" spans="1:30">
      <c r="A142" t="s">
        <v>117</v>
      </c>
      <c r="B142">
        <v>6.6</v>
      </c>
      <c r="C142" s="8" t="s">
        <v>118</v>
      </c>
      <c r="D142">
        <v>8</v>
      </c>
      <c r="E142">
        <v>6</v>
      </c>
      <c r="F142" t="s">
        <v>21</v>
      </c>
      <c r="G142">
        <v>0</v>
      </c>
      <c r="H142">
        <v>785</v>
      </c>
      <c r="I142" t="s">
        <v>22</v>
      </c>
      <c r="J142">
        <v>0</v>
      </c>
      <c r="K142">
        <v>2.4180000000000001</v>
      </c>
      <c r="L142">
        <v>22</v>
      </c>
      <c r="M142" t="s">
        <v>23</v>
      </c>
      <c r="N142">
        <v>33</v>
      </c>
      <c r="O142">
        <v>-6.9291</v>
      </c>
      <c r="P142">
        <v>105.251</v>
      </c>
      <c r="Q142" t="s">
        <v>119</v>
      </c>
      <c r="R142" t="s">
        <v>54</v>
      </c>
      <c r="S142" t="s">
        <v>108</v>
      </c>
      <c r="T142">
        <v>2</v>
      </c>
      <c r="U142">
        <v>6.6</v>
      </c>
      <c r="V142">
        <v>0</v>
      </c>
      <c r="W142">
        <v>2.4180000000000001</v>
      </c>
      <c r="X142">
        <v>22</v>
      </c>
      <c r="Y142">
        <v>33</v>
      </c>
      <c r="Z142">
        <v>8</v>
      </c>
      <c r="AA142">
        <v>6</v>
      </c>
      <c r="AB142">
        <v>0</v>
      </c>
      <c r="AC142">
        <v>785</v>
      </c>
      <c r="AD142" s="8">
        <v>44575</v>
      </c>
    </row>
    <row r="143" spans="1:30">
      <c r="A143" t="s">
        <v>967</v>
      </c>
      <c r="B143">
        <v>6.6</v>
      </c>
      <c r="C143" s="8" t="s">
        <v>968</v>
      </c>
      <c r="D143">
        <v>0</v>
      </c>
      <c r="E143">
        <v>7</v>
      </c>
      <c r="F143" t="s">
        <v>21</v>
      </c>
      <c r="G143">
        <v>1</v>
      </c>
      <c r="H143">
        <v>670</v>
      </c>
      <c r="I143" t="s">
        <v>22</v>
      </c>
      <c r="J143">
        <v>697</v>
      </c>
      <c r="K143">
        <v>0</v>
      </c>
      <c r="L143">
        <v>15.3</v>
      </c>
      <c r="M143" t="s">
        <v>23</v>
      </c>
      <c r="N143">
        <v>11</v>
      </c>
      <c r="O143">
        <v>67.631</v>
      </c>
      <c r="P143">
        <v>142.50800000000001</v>
      </c>
      <c r="Q143" t="s">
        <v>969</v>
      </c>
      <c r="R143" t="s">
        <v>54</v>
      </c>
      <c r="S143" t="s">
        <v>295</v>
      </c>
      <c r="T143">
        <v>2</v>
      </c>
      <c r="U143">
        <v>6.6</v>
      </c>
      <c r="V143">
        <v>697</v>
      </c>
      <c r="W143">
        <v>0</v>
      </c>
      <c r="X143">
        <v>15.3</v>
      </c>
      <c r="Y143">
        <v>11</v>
      </c>
      <c r="Z143">
        <v>0</v>
      </c>
      <c r="AA143">
        <v>7</v>
      </c>
      <c r="AB143">
        <v>1</v>
      </c>
      <c r="AC143">
        <v>670</v>
      </c>
      <c r="AD143" s="8">
        <v>41319</v>
      </c>
    </row>
    <row r="144" spans="1:30">
      <c r="A144" t="s">
        <v>1436</v>
      </c>
      <c r="B144">
        <v>6.7</v>
      </c>
      <c r="C144" s="8" t="s">
        <v>1437</v>
      </c>
      <c r="D144">
        <v>0</v>
      </c>
      <c r="E144">
        <v>7</v>
      </c>
      <c r="G144">
        <v>0</v>
      </c>
      <c r="H144">
        <v>691</v>
      </c>
      <c r="I144" t="s">
        <v>22</v>
      </c>
      <c r="J144">
        <v>306</v>
      </c>
      <c r="K144">
        <v>0</v>
      </c>
      <c r="L144">
        <v>21.3</v>
      </c>
      <c r="M144" t="s">
        <v>36</v>
      </c>
      <c r="N144">
        <v>30.1</v>
      </c>
      <c r="O144">
        <v>-3.5950000000000002</v>
      </c>
      <c r="P144">
        <v>127.214</v>
      </c>
      <c r="Q144" t="s">
        <v>1438</v>
      </c>
      <c r="R144" t="s">
        <v>54</v>
      </c>
      <c r="S144" t="s">
        <v>108</v>
      </c>
      <c r="T144">
        <v>2</v>
      </c>
      <c r="U144">
        <v>6.7</v>
      </c>
      <c r="V144">
        <v>306</v>
      </c>
      <c r="W144">
        <v>0</v>
      </c>
      <c r="X144">
        <v>21.3</v>
      </c>
      <c r="Y144">
        <v>30.1</v>
      </c>
      <c r="Z144">
        <v>0</v>
      </c>
      <c r="AA144">
        <v>7</v>
      </c>
      <c r="AB144">
        <v>0</v>
      </c>
      <c r="AC144">
        <v>691</v>
      </c>
      <c r="AD144" s="8">
        <v>38790</v>
      </c>
    </row>
    <row r="145" spans="1:30">
      <c r="A145" t="s">
        <v>1183</v>
      </c>
      <c r="B145">
        <v>6.5</v>
      </c>
      <c r="C145" s="8" t="s">
        <v>1184</v>
      </c>
      <c r="D145">
        <v>6</v>
      </c>
      <c r="E145">
        <v>5</v>
      </c>
      <c r="G145">
        <v>0</v>
      </c>
      <c r="H145">
        <v>810</v>
      </c>
      <c r="I145" t="s">
        <v>22</v>
      </c>
      <c r="J145">
        <v>491</v>
      </c>
      <c r="K145">
        <v>0</v>
      </c>
      <c r="L145">
        <v>27</v>
      </c>
      <c r="M145" t="s">
        <v>829</v>
      </c>
      <c r="N145">
        <v>32</v>
      </c>
      <c r="O145">
        <v>37.744999999999997</v>
      </c>
      <c r="P145">
        <v>141.59</v>
      </c>
      <c r="Q145" t="s">
        <v>104</v>
      </c>
      <c r="R145" t="s">
        <v>54</v>
      </c>
      <c r="S145" t="s">
        <v>200</v>
      </c>
      <c r="T145">
        <v>2</v>
      </c>
      <c r="U145">
        <v>6.5</v>
      </c>
      <c r="V145">
        <v>491</v>
      </c>
      <c r="W145">
        <v>0</v>
      </c>
      <c r="X145">
        <v>27</v>
      </c>
      <c r="Y145">
        <v>32</v>
      </c>
      <c r="Z145">
        <v>6</v>
      </c>
      <c r="AA145">
        <v>5</v>
      </c>
      <c r="AB145">
        <v>0</v>
      </c>
      <c r="AC145">
        <v>810</v>
      </c>
      <c r="AD145" s="8">
        <v>40251</v>
      </c>
    </row>
    <row r="146" spans="1:30">
      <c r="A146" t="s">
        <v>1477</v>
      </c>
      <c r="B146">
        <v>6.7</v>
      </c>
      <c r="C146" s="8" t="s">
        <v>1478</v>
      </c>
      <c r="D146">
        <v>6</v>
      </c>
      <c r="E146">
        <v>5</v>
      </c>
      <c r="G146">
        <v>0</v>
      </c>
      <c r="H146">
        <v>731</v>
      </c>
      <c r="I146" t="s">
        <v>22</v>
      </c>
      <c r="J146">
        <v>695</v>
      </c>
      <c r="K146">
        <v>0</v>
      </c>
      <c r="L146">
        <v>20.9</v>
      </c>
      <c r="M146" t="s">
        <v>36</v>
      </c>
      <c r="N146">
        <v>34</v>
      </c>
      <c r="O146">
        <v>0.58699999999999997</v>
      </c>
      <c r="P146">
        <v>98.459000000000003</v>
      </c>
      <c r="Q146" t="s">
        <v>1479</v>
      </c>
      <c r="R146" t="s">
        <v>54</v>
      </c>
      <c r="S146" t="s">
        <v>108</v>
      </c>
      <c r="T146">
        <v>2</v>
      </c>
      <c r="U146">
        <v>6.7</v>
      </c>
      <c r="V146">
        <v>695</v>
      </c>
      <c r="W146">
        <v>0</v>
      </c>
      <c r="X146">
        <v>20.9</v>
      </c>
      <c r="Y146">
        <v>34</v>
      </c>
      <c r="Z146">
        <v>6</v>
      </c>
      <c r="AA146">
        <v>5</v>
      </c>
      <c r="AB146">
        <v>0</v>
      </c>
      <c r="AC146">
        <v>731</v>
      </c>
      <c r="AD146" s="8">
        <v>38486</v>
      </c>
    </row>
    <row r="147" spans="1:30">
      <c r="A147" t="s">
        <v>195</v>
      </c>
      <c r="B147">
        <v>6.7</v>
      </c>
      <c r="C147" s="8" t="s">
        <v>196</v>
      </c>
      <c r="D147">
        <v>8</v>
      </c>
      <c r="E147">
        <v>4</v>
      </c>
      <c r="F147" t="s">
        <v>21</v>
      </c>
      <c r="G147">
        <v>0</v>
      </c>
      <c r="H147">
        <v>698</v>
      </c>
      <c r="I147" t="s">
        <v>22</v>
      </c>
      <c r="J147">
        <v>0</v>
      </c>
      <c r="K147">
        <v>1.4870000000000001</v>
      </c>
      <c r="L147">
        <v>37</v>
      </c>
      <c r="M147" t="s">
        <v>23</v>
      </c>
      <c r="N147">
        <v>11</v>
      </c>
      <c r="O147">
        <v>0.16839999999999999</v>
      </c>
      <c r="P147">
        <v>96.647499999999994</v>
      </c>
      <c r="Q147" t="s">
        <v>197</v>
      </c>
      <c r="R147" t="s">
        <v>54</v>
      </c>
      <c r="S147" t="s">
        <v>108</v>
      </c>
      <c r="T147">
        <v>2</v>
      </c>
      <c r="U147">
        <v>6.7</v>
      </c>
      <c r="V147">
        <v>0</v>
      </c>
      <c r="W147">
        <v>1.4870000000000001</v>
      </c>
      <c r="X147">
        <v>37</v>
      </c>
      <c r="Y147">
        <v>11</v>
      </c>
      <c r="Z147">
        <v>8</v>
      </c>
      <c r="AA147">
        <v>4</v>
      </c>
      <c r="AB147">
        <v>0</v>
      </c>
      <c r="AC147">
        <v>698</v>
      </c>
      <c r="AD147" s="8">
        <v>44330</v>
      </c>
    </row>
    <row r="148" spans="1:30">
      <c r="A148" t="s">
        <v>335</v>
      </c>
      <c r="B148">
        <v>7.2</v>
      </c>
      <c r="C148" s="8" t="s">
        <v>336</v>
      </c>
      <c r="D148">
        <v>7</v>
      </c>
      <c r="E148">
        <v>7</v>
      </c>
      <c r="F148" t="s">
        <v>21</v>
      </c>
      <c r="G148">
        <v>1</v>
      </c>
      <c r="H148">
        <v>809</v>
      </c>
      <c r="I148" t="s">
        <v>22</v>
      </c>
      <c r="J148">
        <v>0</v>
      </c>
      <c r="K148">
        <v>1.504</v>
      </c>
      <c r="L148">
        <v>38</v>
      </c>
      <c r="M148" t="s">
        <v>23</v>
      </c>
      <c r="N148">
        <v>18.98</v>
      </c>
      <c r="O148">
        <v>-0.58579999999999999</v>
      </c>
      <c r="P148">
        <v>128.03399999999999</v>
      </c>
      <c r="Q148" t="s">
        <v>337</v>
      </c>
      <c r="R148" t="s">
        <v>54</v>
      </c>
      <c r="S148" t="s">
        <v>108</v>
      </c>
      <c r="T148">
        <v>2</v>
      </c>
      <c r="U148">
        <v>7.2</v>
      </c>
      <c r="V148">
        <v>0</v>
      </c>
      <c r="W148">
        <v>1.504</v>
      </c>
      <c r="X148">
        <v>38</v>
      </c>
      <c r="Y148">
        <v>18.98</v>
      </c>
      <c r="Z148">
        <v>7</v>
      </c>
      <c r="AA148">
        <v>7</v>
      </c>
      <c r="AB148">
        <v>1</v>
      </c>
      <c r="AC148">
        <v>809</v>
      </c>
      <c r="AD148" s="8">
        <v>43660</v>
      </c>
    </row>
    <row r="149" spans="1:30">
      <c r="A149" t="s">
        <v>1015</v>
      </c>
      <c r="B149">
        <v>7.7</v>
      </c>
      <c r="C149" s="8" t="s">
        <v>1016</v>
      </c>
      <c r="D149">
        <v>7</v>
      </c>
      <c r="E149">
        <v>4</v>
      </c>
      <c r="G149">
        <v>0</v>
      </c>
      <c r="H149">
        <v>941</v>
      </c>
      <c r="I149" t="s">
        <v>22</v>
      </c>
      <c r="J149">
        <v>862</v>
      </c>
      <c r="K149">
        <v>0</v>
      </c>
      <c r="L149">
        <v>13.8</v>
      </c>
      <c r="M149" t="s">
        <v>23</v>
      </c>
      <c r="N149">
        <v>583.20000000000005</v>
      </c>
      <c r="O149">
        <v>49.8</v>
      </c>
      <c r="P149">
        <v>145.06399999999999</v>
      </c>
      <c r="Q149" t="s">
        <v>1017</v>
      </c>
      <c r="R149" t="s">
        <v>54</v>
      </c>
      <c r="S149" t="s">
        <v>295</v>
      </c>
      <c r="T149">
        <v>2</v>
      </c>
      <c r="U149">
        <v>7.7</v>
      </c>
      <c r="V149">
        <v>862</v>
      </c>
      <c r="W149">
        <v>0</v>
      </c>
      <c r="X149">
        <v>13.8</v>
      </c>
      <c r="Y149">
        <v>583.20000000000005</v>
      </c>
      <c r="Z149">
        <v>7</v>
      </c>
      <c r="AA149">
        <v>4</v>
      </c>
      <c r="AB149">
        <v>0</v>
      </c>
      <c r="AC149">
        <v>941</v>
      </c>
      <c r="AD149" s="8">
        <v>41135</v>
      </c>
    </row>
    <row r="150" spans="1:30">
      <c r="A150" t="s">
        <v>1679</v>
      </c>
      <c r="B150">
        <v>7.8</v>
      </c>
      <c r="C150" s="8" t="s">
        <v>1680</v>
      </c>
      <c r="D150">
        <v>0</v>
      </c>
      <c r="E150">
        <v>9</v>
      </c>
      <c r="G150">
        <v>0</v>
      </c>
      <c r="H150">
        <v>936</v>
      </c>
      <c r="I150" t="s">
        <v>22</v>
      </c>
      <c r="J150">
        <v>368</v>
      </c>
      <c r="K150">
        <v>0</v>
      </c>
      <c r="L150">
        <v>0</v>
      </c>
      <c r="M150" t="s">
        <v>829</v>
      </c>
      <c r="N150">
        <v>10</v>
      </c>
      <c r="O150">
        <v>35.945999999999998</v>
      </c>
      <c r="P150">
        <v>90.540999999999997</v>
      </c>
      <c r="Q150" t="s">
        <v>194</v>
      </c>
      <c r="R150" t="s">
        <v>54</v>
      </c>
      <c r="S150" t="s">
        <v>1752</v>
      </c>
      <c r="T150">
        <v>2</v>
      </c>
      <c r="U150">
        <v>7.8</v>
      </c>
      <c r="V150">
        <v>368</v>
      </c>
      <c r="W150">
        <v>0</v>
      </c>
      <c r="X150">
        <v>0</v>
      </c>
      <c r="Y150">
        <v>10</v>
      </c>
      <c r="Z150">
        <v>0</v>
      </c>
      <c r="AA150">
        <v>9</v>
      </c>
      <c r="AB150">
        <v>0</v>
      </c>
      <c r="AC150">
        <v>936</v>
      </c>
      <c r="AD150" s="8">
        <v>37209</v>
      </c>
    </row>
    <row r="151" spans="1:30">
      <c r="A151" t="s">
        <v>306</v>
      </c>
      <c r="B151">
        <v>7.1</v>
      </c>
      <c r="C151" s="8" t="s">
        <v>307</v>
      </c>
      <c r="D151">
        <v>6</v>
      </c>
      <c r="E151">
        <v>6</v>
      </c>
      <c r="F151" t="s">
        <v>21</v>
      </c>
      <c r="G151">
        <v>1</v>
      </c>
      <c r="H151">
        <v>799</v>
      </c>
      <c r="I151" t="s">
        <v>22</v>
      </c>
      <c r="J151">
        <v>0</v>
      </c>
      <c r="K151">
        <v>1.2709999999999999</v>
      </c>
      <c r="L151">
        <v>11</v>
      </c>
      <c r="M151" t="s">
        <v>23</v>
      </c>
      <c r="N151">
        <v>33</v>
      </c>
      <c r="O151">
        <v>1.6213</v>
      </c>
      <c r="P151">
        <v>126.416</v>
      </c>
      <c r="Q151" t="s">
        <v>308</v>
      </c>
      <c r="R151" t="s">
        <v>54</v>
      </c>
      <c r="S151" t="s">
        <v>108</v>
      </c>
      <c r="T151">
        <v>2</v>
      </c>
      <c r="U151">
        <v>7.1</v>
      </c>
      <c r="V151">
        <v>0</v>
      </c>
      <c r="W151">
        <v>1.2709999999999999</v>
      </c>
      <c r="X151">
        <v>11</v>
      </c>
      <c r="Y151">
        <v>33</v>
      </c>
      <c r="Z151">
        <v>6</v>
      </c>
      <c r="AA151">
        <v>6</v>
      </c>
      <c r="AB151">
        <v>1</v>
      </c>
      <c r="AC151">
        <v>799</v>
      </c>
      <c r="AD151" s="8">
        <v>43783</v>
      </c>
    </row>
    <row r="152" spans="1:30">
      <c r="A152" t="s">
        <v>135</v>
      </c>
      <c r="B152">
        <v>7.3</v>
      </c>
      <c r="C152" s="8" t="s">
        <v>136</v>
      </c>
      <c r="D152">
        <v>9</v>
      </c>
      <c r="E152">
        <v>5</v>
      </c>
      <c r="F152" t="s">
        <v>21</v>
      </c>
      <c r="G152">
        <v>1</v>
      </c>
      <c r="H152">
        <v>854</v>
      </c>
      <c r="I152" t="s">
        <v>22</v>
      </c>
      <c r="J152">
        <v>0</v>
      </c>
      <c r="K152">
        <v>1.0249999999999999</v>
      </c>
      <c r="L152">
        <v>32</v>
      </c>
      <c r="M152" t="s">
        <v>23</v>
      </c>
      <c r="N152">
        <v>14.27</v>
      </c>
      <c r="O152">
        <v>-7.6032999999999999</v>
      </c>
      <c r="P152">
        <v>122.2</v>
      </c>
      <c r="Q152" t="s">
        <v>137</v>
      </c>
      <c r="R152" t="s">
        <v>54</v>
      </c>
      <c r="S152" t="s">
        <v>108</v>
      </c>
      <c r="T152">
        <v>2</v>
      </c>
      <c r="U152">
        <v>7.3</v>
      </c>
      <c r="V152">
        <v>0</v>
      </c>
      <c r="W152">
        <v>1.0249999999999999</v>
      </c>
      <c r="X152">
        <v>32</v>
      </c>
      <c r="Y152">
        <v>14.27</v>
      </c>
      <c r="Z152">
        <v>9</v>
      </c>
      <c r="AA152">
        <v>5</v>
      </c>
      <c r="AB152">
        <v>1</v>
      </c>
      <c r="AC152">
        <v>854</v>
      </c>
      <c r="AD152" s="8">
        <v>44544</v>
      </c>
    </row>
    <row r="153" spans="1:30">
      <c r="A153" t="s">
        <v>1491</v>
      </c>
      <c r="B153">
        <v>6.5</v>
      </c>
      <c r="C153" s="8" t="s">
        <v>1492</v>
      </c>
      <c r="D153">
        <v>3</v>
      </c>
      <c r="E153">
        <v>5</v>
      </c>
      <c r="G153">
        <v>0</v>
      </c>
      <c r="H153">
        <v>652</v>
      </c>
      <c r="I153" t="s">
        <v>22</v>
      </c>
      <c r="J153">
        <v>286</v>
      </c>
      <c r="K153">
        <v>0</v>
      </c>
      <c r="L153">
        <v>47.3</v>
      </c>
      <c r="M153" t="s">
        <v>829</v>
      </c>
      <c r="N153">
        <v>39.700000000000003</v>
      </c>
      <c r="O153">
        <v>4.7560000000000002</v>
      </c>
      <c r="P153">
        <v>126.42100000000001</v>
      </c>
      <c r="Q153" t="s">
        <v>1493</v>
      </c>
      <c r="R153" t="s">
        <v>54</v>
      </c>
      <c r="S153" t="s">
        <v>108</v>
      </c>
      <c r="T153">
        <v>2</v>
      </c>
      <c r="U153">
        <v>6.5</v>
      </c>
      <c r="V153">
        <v>286</v>
      </c>
      <c r="W153">
        <v>0</v>
      </c>
      <c r="X153">
        <v>47.3</v>
      </c>
      <c r="Y153">
        <v>39.700000000000003</v>
      </c>
      <c r="Z153">
        <v>3</v>
      </c>
      <c r="AA153">
        <v>5</v>
      </c>
      <c r="AB153">
        <v>0</v>
      </c>
      <c r="AC153">
        <v>652</v>
      </c>
      <c r="AD153" s="8">
        <v>38398</v>
      </c>
    </row>
    <row r="154" spans="1:30">
      <c r="A154" t="s">
        <v>641</v>
      </c>
      <c r="B154">
        <v>7</v>
      </c>
      <c r="C154" s="8" t="s">
        <v>642</v>
      </c>
      <c r="D154">
        <v>9</v>
      </c>
      <c r="E154">
        <v>9</v>
      </c>
      <c r="F154" t="s">
        <v>103</v>
      </c>
      <c r="G154">
        <v>1</v>
      </c>
      <c r="H154">
        <v>2074</v>
      </c>
      <c r="I154" t="s">
        <v>22</v>
      </c>
      <c r="J154">
        <v>0</v>
      </c>
      <c r="K154">
        <v>0.34899999999999998</v>
      </c>
      <c r="L154">
        <v>32</v>
      </c>
      <c r="M154" t="s">
        <v>23</v>
      </c>
      <c r="N154">
        <v>10</v>
      </c>
      <c r="O154">
        <v>32.790599999999998</v>
      </c>
      <c r="P154">
        <v>130.75399999999999</v>
      </c>
      <c r="Q154" t="s">
        <v>643</v>
      </c>
      <c r="R154" t="s">
        <v>54</v>
      </c>
      <c r="S154" t="s">
        <v>200</v>
      </c>
      <c r="T154">
        <v>2</v>
      </c>
      <c r="U154">
        <v>7</v>
      </c>
      <c r="V154">
        <v>0</v>
      </c>
      <c r="W154">
        <v>0.34899999999999998</v>
      </c>
      <c r="X154">
        <v>32</v>
      </c>
      <c r="Y154">
        <v>10</v>
      </c>
      <c r="Z154">
        <v>9</v>
      </c>
      <c r="AA154">
        <v>9</v>
      </c>
      <c r="AB154">
        <v>1</v>
      </c>
      <c r="AC154">
        <v>2074</v>
      </c>
      <c r="AD154" s="8">
        <v>42475</v>
      </c>
    </row>
    <row r="155" spans="1:30">
      <c r="A155" t="s">
        <v>1532</v>
      </c>
      <c r="B155">
        <v>6.7</v>
      </c>
      <c r="C155" s="8" t="s">
        <v>1533</v>
      </c>
      <c r="D155">
        <v>5</v>
      </c>
      <c r="E155">
        <v>6</v>
      </c>
      <c r="G155">
        <v>0</v>
      </c>
      <c r="H155">
        <v>705</v>
      </c>
      <c r="I155" t="s">
        <v>22</v>
      </c>
      <c r="J155">
        <v>698</v>
      </c>
      <c r="K155">
        <v>0</v>
      </c>
      <c r="L155">
        <v>24.7</v>
      </c>
      <c r="M155" t="s">
        <v>36</v>
      </c>
      <c r="N155">
        <v>94</v>
      </c>
      <c r="O155">
        <v>24.53</v>
      </c>
      <c r="P155">
        <v>122.694</v>
      </c>
      <c r="Q155" t="s">
        <v>1534</v>
      </c>
      <c r="R155" t="s">
        <v>54</v>
      </c>
      <c r="S155" t="s">
        <v>200</v>
      </c>
      <c r="T155">
        <v>2</v>
      </c>
      <c r="U155">
        <v>6.7</v>
      </c>
      <c r="V155">
        <v>698</v>
      </c>
      <c r="W155">
        <v>0</v>
      </c>
      <c r="X155">
        <v>24.7</v>
      </c>
      <c r="Y155">
        <v>94</v>
      </c>
      <c r="Z155">
        <v>5</v>
      </c>
      <c r="AA155">
        <v>6</v>
      </c>
      <c r="AB155">
        <v>0</v>
      </c>
      <c r="AC155">
        <v>705</v>
      </c>
      <c r="AD155" s="8">
        <v>38275</v>
      </c>
    </row>
    <row r="156" spans="1:30">
      <c r="A156" t="s">
        <v>896</v>
      </c>
      <c r="B156">
        <v>7.1</v>
      </c>
      <c r="C156" s="8" t="s">
        <v>897</v>
      </c>
      <c r="D156">
        <v>9</v>
      </c>
      <c r="E156">
        <v>8</v>
      </c>
      <c r="F156" t="s">
        <v>66</v>
      </c>
      <c r="G156">
        <v>1</v>
      </c>
      <c r="H156">
        <v>1092</v>
      </c>
      <c r="I156" t="s">
        <v>22</v>
      </c>
      <c r="J156">
        <v>0</v>
      </c>
      <c r="K156">
        <v>3.1440000000000001</v>
      </c>
      <c r="L156">
        <v>12</v>
      </c>
      <c r="M156" t="s">
        <v>23</v>
      </c>
      <c r="N156">
        <v>19.04</v>
      </c>
      <c r="O156">
        <v>9.8795999999999999</v>
      </c>
      <c r="P156">
        <v>124.117</v>
      </c>
      <c r="Q156" t="s">
        <v>898</v>
      </c>
      <c r="R156" t="s">
        <v>54</v>
      </c>
      <c r="S156" t="s">
        <v>75</v>
      </c>
      <c r="T156">
        <v>2</v>
      </c>
      <c r="U156">
        <v>7.1</v>
      </c>
      <c r="V156">
        <v>0</v>
      </c>
      <c r="W156">
        <v>3.1440000000000001</v>
      </c>
      <c r="X156">
        <v>12</v>
      </c>
      <c r="Y156">
        <v>19.04</v>
      </c>
      <c r="Z156">
        <v>9</v>
      </c>
      <c r="AA156">
        <v>8</v>
      </c>
      <c r="AB156">
        <v>1</v>
      </c>
      <c r="AC156">
        <v>1092</v>
      </c>
      <c r="AD156" s="8">
        <v>41562</v>
      </c>
    </row>
    <row r="157" spans="1:30">
      <c r="A157" t="s">
        <v>1394</v>
      </c>
      <c r="B157">
        <v>8.3000000000000007</v>
      </c>
      <c r="C157" s="8" t="s">
        <v>1395</v>
      </c>
      <c r="D157">
        <v>4</v>
      </c>
      <c r="E157">
        <v>7</v>
      </c>
      <c r="G157">
        <v>0</v>
      </c>
      <c r="H157">
        <v>1064</v>
      </c>
      <c r="I157" t="s">
        <v>22</v>
      </c>
      <c r="J157">
        <v>576</v>
      </c>
      <c r="K157">
        <v>0</v>
      </c>
      <c r="L157">
        <v>20.9</v>
      </c>
      <c r="M157" t="s">
        <v>829</v>
      </c>
      <c r="N157">
        <v>10</v>
      </c>
      <c r="O157">
        <v>46.591999999999999</v>
      </c>
      <c r="P157">
        <v>153.26599999999999</v>
      </c>
      <c r="Q157" t="s">
        <v>1396</v>
      </c>
      <c r="R157" t="s">
        <v>54</v>
      </c>
      <c r="S157" t="s">
        <v>1750</v>
      </c>
      <c r="T157">
        <v>2</v>
      </c>
      <c r="U157">
        <v>8.3000000000000007</v>
      </c>
      <c r="V157">
        <v>576</v>
      </c>
      <c r="W157">
        <v>0</v>
      </c>
      <c r="X157">
        <v>20.9</v>
      </c>
      <c r="Y157">
        <v>10</v>
      </c>
      <c r="Z157">
        <v>4</v>
      </c>
      <c r="AA157">
        <v>7</v>
      </c>
      <c r="AB157">
        <v>0</v>
      </c>
      <c r="AC157">
        <v>1064</v>
      </c>
      <c r="AD157" s="8">
        <v>39036</v>
      </c>
    </row>
    <row r="158" spans="1:30">
      <c r="A158" t="s">
        <v>800</v>
      </c>
      <c r="B158">
        <v>7.1</v>
      </c>
      <c r="C158" s="8" t="s">
        <v>801</v>
      </c>
      <c r="D158">
        <v>4</v>
      </c>
      <c r="E158">
        <v>6</v>
      </c>
      <c r="F158" t="s">
        <v>21</v>
      </c>
      <c r="G158">
        <v>1</v>
      </c>
      <c r="H158">
        <v>779</v>
      </c>
      <c r="I158" t="s">
        <v>22</v>
      </c>
      <c r="J158">
        <v>0</v>
      </c>
      <c r="K158">
        <v>1.397</v>
      </c>
      <c r="L158">
        <v>18</v>
      </c>
      <c r="M158" t="s">
        <v>23</v>
      </c>
      <c r="N158">
        <v>45</v>
      </c>
      <c r="O158">
        <v>1.8929</v>
      </c>
      <c r="P158">
        <v>126.52200000000001</v>
      </c>
      <c r="Q158" t="s">
        <v>794</v>
      </c>
      <c r="R158" t="s">
        <v>54</v>
      </c>
      <c r="S158" t="s">
        <v>108</v>
      </c>
      <c r="T158">
        <v>2</v>
      </c>
      <c r="U158">
        <v>7.1</v>
      </c>
      <c r="V158">
        <v>0</v>
      </c>
      <c r="W158">
        <v>1.397</v>
      </c>
      <c r="X158">
        <v>18</v>
      </c>
      <c r="Y158">
        <v>45</v>
      </c>
      <c r="Z158">
        <v>4</v>
      </c>
      <c r="AA158">
        <v>6</v>
      </c>
      <c r="AB158">
        <v>1</v>
      </c>
      <c r="AC158">
        <v>779</v>
      </c>
      <c r="AD158" s="8">
        <v>41958</v>
      </c>
    </row>
    <row r="159" spans="1:30">
      <c r="A159" t="s">
        <v>482</v>
      </c>
      <c r="B159">
        <v>6.5</v>
      </c>
      <c r="C159" s="8" t="s">
        <v>483</v>
      </c>
      <c r="D159">
        <v>8</v>
      </c>
      <c r="E159">
        <v>7</v>
      </c>
      <c r="F159" t="s">
        <v>21</v>
      </c>
      <c r="G159">
        <v>0</v>
      </c>
      <c r="H159">
        <v>998</v>
      </c>
      <c r="I159" t="s">
        <v>22</v>
      </c>
      <c r="J159">
        <v>0</v>
      </c>
      <c r="K159">
        <v>2.3650000000000002</v>
      </c>
      <c r="L159">
        <v>28</v>
      </c>
      <c r="M159" t="s">
        <v>23</v>
      </c>
      <c r="N159">
        <v>90</v>
      </c>
      <c r="O159">
        <v>-7.4920999999999998</v>
      </c>
      <c r="P159">
        <v>108.17400000000001</v>
      </c>
      <c r="Q159" t="s">
        <v>484</v>
      </c>
      <c r="R159" t="s">
        <v>54</v>
      </c>
      <c r="S159" t="s">
        <v>108</v>
      </c>
      <c r="T159">
        <v>2</v>
      </c>
      <c r="U159">
        <v>6.5</v>
      </c>
      <c r="V159">
        <v>0</v>
      </c>
      <c r="W159">
        <v>2.3650000000000002</v>
      </c>
      <c r="X159">
        <v>28</v>
      </c>
      <c r="Y159">
        <v>90</v>
      </c>
      <c r="Z159">
        <v>8</v>
      </c>
      <c r="AA159">
        <v>7</v>
      </c>
      <c r="AB159">
        <v>0</v>
      </c>
      <c r="AC159">
        <v>998</v>
      </c>
      <c r="AD159" s="8">
        <v>43084</v>
      </c>
    </row>
    <row r="160" spans="1:30">
      <c r="A160" t="s">
        <v>303</v>
      </c>
      <c r="B160">
        <v>6.8</v>
      </c>
      <c r="C160" s="8" t="s">
        <v>304</v>
      </c>
      <c r="D160">
        <v>9</v>
      </c>
      <c r="E160">
        <v>7</v>
      </c>
      <c r="F160" t="s">
        <v>45</v>
      </c>
      <c r="G160">
        <v>1</v>
      </c>
      <c r="H160">
        <v>825</v>
      </c>
      <c r="I160" t="s">
        <v>22</v>
      </c>
      <c r="J160">
        <v>0</v>
      </c>
      <c r="K160">
        <v>0.54600000000000004</v>
      </c>
      <c r="L160">
        <v>39</v>
      </c>
      <c r="M160" t="s">
        <v>23</v>
      </c>
      <c r="N160">
        <v>18</v>
      </c>
      <c r="O160">
        <v>6.6969000000000003</v>
      </c>
      <c r="P160">
        <v>125.17400000000001</v>
      </c>
      <c r="Q160" t="s">
        <v>305</v>
      </c>
      <c r="R160" t="s">
        <v>54</v>
      </c>
      <c r="S160" t="s">
        <v>75</v>
      </c>
      <c r="T160">
        <v>2</v>
      </c>
      <c r="U160">
        <v>6.8</v>
      </c>
      <c r="V160">
        <v>0</v>
      </c>
      <c r="W160">
        <v>0.54600000000000004</v>
      </c>
      <c r="X160">
        <v>39</v>
      </c>
      <c r="Y160">
        <v>18</v>
      </c>
      <c r="Z160">
        <v>9</v>
      </c>
      <c r="AA160">
        <v>7</v>
      </c>
      <c r="AB160">
        <v>1</v>
      </c>
      <c r="AC160">
        <v>825</v>
      </c>
      <c r="AD160" s="8">
        <v>43814</v>
      </c>
    </row>
    <row r="161" spans="1:30">
      <c r="A161" t="s">
        <v>1727</v>
      </c>
      <c r="B161">
        <v>6.9</v>
      </c>
      <c r="C161" s="8" t="s">
        <v>1728</v>
      </c>
      <c r="D161">
        <v>0</v>
      </c>
      <c r="E161">
        <v>6</v>
      </c>
      <c r="G161">
        <v>0</v>
      </c>
      <c r="H161">
        <v>732</v>
      </c>
      <c r="I161" t="s">
        <v>22</v>
      </c>
      <c r="J161">
        <v>117</v>
      </c>
      <c r="K161">
        <v>0</v>
      </c>
      <c r="L161">
        <v>0</v>
      </c>
      <c r="M161" t="s">
        <v>36</v>
      </c>
      <c r="N161">
        <v>28</v>
      </c>
      <c r="O161">
        <v>-4.0220000000000002</v>
      </c>
      <c r="P161">
        <v>101.776</v>
      </c>
      <c r="Q161" t="s">
        <v>29</v>
      </c>
      <c r="R161" t="s">
        <v>54</v>
      </c>
      <c r="S161" t="s">
        <v>108</v>
      </c>
      <c r="T161">
        <v>2</v>
      </c>
      <c r="U161">
        <v>6.9</v>
      </c>
      <c r="V161">
        <v>117</v>
      </c>
      <c r="W161">
        <v>0</v>
      </c>
      <c r="X161">
        <v>0</v>
      </c>
      <c r="Y161">
        <v>28</v>
      </c>
      <c r="Z161">
        <v>0</v>
      </c>
      <c r="AA161">
        <v>6</v>
      </c>
      <c r="AB161">
        <v>0</v>
      </c>
      <c r="AC161">
        <v>732</v>
      </c>
      <c r="AD161" s="8">
        <v>36907</v>
      </c>
    </row>
    <row r="162" spans="1:30">
      <c r="A162" t="s">
        <v>778</v>
      </c>
      <c r="B162">
        <v>6.7</v>
      </c>
      <c r="C162" s="8" t="s">
        <v>779</v>
      </c>
      <c r="D162">
        <v>5</v>
      </c>
      <c r="E162">
        <v>5</v>
      </c>
      <c r="F162" t="s">
        <v>21</v>
      </c>
      <c r="G162">
        <v>1</v>
      </c>
      <c r="H162">
        <v>714</v>
      </c>
      <c r="I162" t="s">
        <v>22</v>
      </c>
      <c r="J162">
        <v>0</v>
      </c>
      <c r="K162">
        <v>1.925</v>
      </c>
      <c r="L162">
        <v>20</v>
      </c>
      <c r="M162" t="s">
        <v>23</v>
      </c>
      <c r="N162">
        <v>23</v>
      </c>
      <c r="O162">
        <v>39.855800000000002</v>
      </c>
      <c r="P162">
        <v>142.881</v>
      </c>
      <c r="Q162" t="s">
        <v>780</v>
      </c>
      <c r="R162" t="s">
        <v>54</v>
      </c>
      <c r="S162" t="s">
        <v>200</v>
      </c>
      <c r="T162">
        <v>2</v>
      </c>
      <c r="U162">
        <v>6.7</v>
      </c>
      <c r="V162">
        <v>0</v>
      </c>
      <c r="W162">
        <v>1.925</v>
      </c>
      <c r="X162">
        <v>20</v>
      </c>
      <c r="Y162">
        <v>23</v>
      </c>
      <c r="Z162">
        <v>5</v>
      </c>
      <c r="AA162">
        <v>5</v>
      </c>
      <c r="AB162">
        <v>1</v>
      </c>
      <c r="AC162">
        <v>714</v>
      </c>
      <c r="AD162" s="8">
        <v>42051</v>
      </c>
    </row>
    <row r="163" spans="1:30">
      <c r="A163" t="s">
        <v>210</v>
      </c>
      <c r="B163">
        <v>6.6</v>
      </c>
      <c r="C163" s="8" t="s">
        <v>211</v>
      </c>
      <c r="D163">
        <v>5</v>
      </c>
      <c r="E163">
        <v>5</v>
      </c>
      <c r="F163" t="s">
        <v>21</v>
      </c>
      <c r="G163">
        <v>1</v>
      </c>
      <c r="H163">
        <v>672</v>
      </c>
      <c r="I163" t="s">
        <v>22</v>
      </c>
      <c r="J163">
        <v>0</v>
      </c>
      <c r="K163">
        <v>3.1829999999999998</v>
      </c>
      <c r="L163">
        <v>18</v>
      </c>
      <c r="M163" t="s">
        <v>23</v>
      </c>
      <c r="N163">
        <v>13.23</v>
      </c>
      <c r="O163">
        <v>54.701799999999999</v>
      </c>
      <c r="P163">
        <v>163.208</v>
      </c>
      <c r="Q163" t="s">
        <v>212</v>
      </c>
      <c r="R163" t="s">
        <v>54</v>
      </c>
      <c r="S163" t="s">
        <v>295</v>
      </c>
      <c r="T163">
        <v>2</v>
      </c>
      <c r="U163">
        <v>6.6</v>
      </c>
      <c r="V163">
        <v>0</v>
      </c>
      <c r="W163">
        <v>3.1829999999999998</v>
      </c>
      <c r="X163">
        <v>18</v>
      </c>
      <c r="Y163">
        <v>13.23</v>
      </c>
      <c r="Z163">
        <v>5</v>
      </c>
      <c r="AA163">
        <v>5</v>
      </c>
      <c r="AB163">
        <v>1</v>
      </c>
      <c r="AC163">
        <v>672</v>
      </c>
      <c r="AD163" s="8">
        <v>44271</v>
      </c>
    </row>
    <row r="164" spans="1:30">
      <c r="A164" t="s">
        <v>101</v>
      </c>
      <c r="B164">
        <v>7.3</v>
      </c>
      <c r="C164" s="8" t="s">
        <v>102</v>
      </c>
      <c r="D164">
        <v>9</v>
      </c>
      <c r="E164">
        <v>8</v>
      </c>
      <c r="F164" t="s">
        <v>103</v>
      </c>
      <c r="G164">
        <v>1</v>
      </c>
      <c r="H164">
        <v>2397</v>
      </c>
      <c r="I164" t="s">
        <v>22</v>
      </c>
      <c r="J164">
        <v>0</v>
      </c>
      <c r="K164">
        <v>2.9359999999999999</v>
      </c>
      <c r="L164">
        <v>29</v>
      </c>
      <c r="M164" t="s">
        <v>23</v>
      </c>
      <c r="N164">
        <v>41</v>
      </c>
      <c r="O164">
        <v>37.701500000000003</v>
      </c>
      <c r="P164">
        <v>141.58699999999999</v>
      </c>
      <c r="Q164" t="s">
        <v>104</v>
      </c>
      <c r="R164" s="3" t="s">
        <v>54</v>
      </c>
      <c r="S164" t="s">
        <v>200</v>
      </c>
      <c r="T164">
        <v>2</v>
      </c>
      <c r="U164">
        <v>7.3</v>
      </c>
      <c r="V164">
        <v>0</v>
      </c>
      <c r="W164">
        <v>2.9359999999999999</v>
      </c>
      <c r="X164">
        <v>29</v>
      </c>
      <c r="Y164">
        <v>41</v>
      </c>
      <c r="Z164">
        <v>9</v>
      </c>
      <c r="AA164">
        <v>8</v>
      </c>
      <c r="AB164">
        <v>1</v>
      </c>
      <c r="AC164">
        <v>2397</v>
      </c>
      <c r="AD164" s="8">
        <v>44636</v>
      </c>
    </row>
    <row r="165" spans="1:30">
      <c r="A165" t="s">
        <v>957</v>
      </c>
      <c r="B165">
        <v>7.7</v>
      </c>
      <c r="C165" s="8" t="s">
        <v>958</v>
      </c>
      <c r="D165">
        <v>8</v>
      </c>
      <c r="E165">
        <v>8</v>
      </c>
      <c r="F165" t="s">
        <v>45</v>
      </c>
      <c r="G165">
        <v>0</v>
      </c>
      <c r="H165">
        <v>1421</v>
      </c>
      <c r="I165" t="s">
        <v>22</v>
      </c>
      <c r="J165">
        <v>506</v>
      </c>
      <c r="K165">
        <v>0</v>
      </c>
      <c r="L165">
        <v>26.6</v>
      </c>
      <c r="M165" t="s">
        <v>23</v>
      </c>
      <c r="N165">
        <v>80</v>
      </c>
      <c r="O165">
        <v>28.033000000000001</v>
      </c>
      <c r="P165">
        <v>61.996000000000002</v>
      </c>
      <c r="Q165" t="s">
        <v>959</v>
      </c>
      <c r="R165" t="s">
        <v>54</v>
      </c>
      <c r="S165" t="s">
        <v>498</v>
      </c>
      <c r="T165">
        <v>2</v>
      </c>
      <c r="U165">
        <v>7.7</v>
      </c>
      <c r="V165">
        <v>506</v>
      </c>
      <c r="W165">
        <v>0</v>
      </c>
      <c r="X165">
        <v>26.6</v>
      </c>
      <c r="Y165">
        <v>80</v>
      </c>
      <c r="Z165">
        <v>8</v>
      </c>
      <c r="AA165">
        <v>8</v>
      </c>
      <c r="AB165">
        <v>0</v>
      </c>
      <c r="AC165">
        <v>1421</v>
      </c>
      <c r="AD165" s="8">
        <v>41380</v>
      </c>
    </row>
    <row r="166" spans="1:30">
      <c r="A166" t="s">
        <v>1420</v>
      </c>
      <c r="B166">
        <v>6.8</v>
      </c>
      <c r="C166" s="8" t="s">
        <v>1421</v>
      </c>
      <c r="D166">
        <v>4</v>
      </c>
      <c r="E166">
        <v>5</v>
      </c>
      <c r="G166">
        <v>0</v>
      </c>
      <c r="H166">
        <v>719</v>
      </c>
      <c r="I166" t="s">
        <v>22</v>
      </c>
      <c r="J166">
        <v>701</v>
      </c>
      <c r="K166">
        <v>0</v>
      </c>
      <c r="L166">
        <v>16.3</v>
      </c>
      <c r="M166" t="s">
        <v>36</v>
      </c>
      <c r="N166">
        <v>12</v>
      </c>
      <c r="O166">
        <v>9.2999999999999999E-2</v>
      </c>
      <c r="P166">
        <v>97.05</v>
      </c>
      <c r="Q166" t="s">
        <v>1422</v>
      </c>
      <c r="R166" t="s">
        <v>54</v>
      </c>
      <c r="S166" t="s">
        <v>108</v>
      </c>
      <c r="T166">
        <v>2</v>
      </c>
      <c r="U166">
        <v>6.8</v>
      </c>
      <c r="V166">
        <v>701</v>
      </c>
      <c r="W166">
        <v>0</v>
      </c>
      <c r="X166">
        <v>16.3</v>
      </c>
      <c r="Y166">
        <v>12</v>
      </c>
      <c r="Z166">
        <v>4</v>
      </c>
      <c r="AA166">
        <v>5</v>
      </c>
      <c r="AB166">
        <v>0</v>
      </c>
      <c r="AC166">
        <v>719</v>
      </c>
      <c r="AD166" s="8">
        <v>38853</v>
      </c>
    </row>
    <row r="167" spans="1:30">
      <c r="A167" t="s">
        <v>1603</v>
      </c>
      <c r="B167">
        <v>6.9</v>
      </c>
      <c r="C167" s="8" t="s">
        <v>1604</v>
      </c>
      <c r="D167">
        <v>0</v>
      </c>
      <c r="E167">
        <v>5</v>
      </c>
      <c r="G167">
        <v>0</v>
      </c>
      <c r="H167">
        <v>732</v>
      </c>
      <c r="I167" t="s">
        <v>22</v>
      </c>
      <c r="J167">
        <v>733</v>
      </c>
      <c r="K167">
        <v>0</v>
      </c>
      <c r="L167">
        <v>26.7</v>
      </c>
      <c r="M167" t="s">
        <v>36</v>
      </c>
      <c r="N167">
        <v>174.8</v>
      </c>
      <c r="O167">
        <v>55.491999999999997</v>
      </c>
      <c r="P167">
        <v>159.999</v>
      </c>
      <c r="Q167" t="s">
        <v>1549</v>
      </c>
      <c r="R167" t="s">
        <v>54</v>
      </c>
      <c r="S167" t="s">
        <v>295</v>
      </c>
      <c r="T167">
        <v>2</v>
      </c>
      <c r="U167">
        <v>6.9</v>
      </c>
      <c r="V167">
        <v>733</v>
      </c>
      <c r="W167">
        <v>0</v>
      </c>
      <c r="X167">
        <v>26.7</v>
      </c>
      <c r="Y167">
        <v>174.8</v>
      </c>
      <c r="Z167">
        <v>0</v>
      </c>
      <c r="AA167">
        <v>5</v>
      </c>
      <c r="AB167">
        <v>0</v>
      </c>
      <c r="AC167">
        <v>732</v>
      </c>
      <c r="AD167" s="8">
        <v>37788</v>
      </c>
    </row>
    <row r="168" spans="1:30">
      <c r="A168" t="s">
        <v>1164</v>
      </c>
      <c r="B168">
        <v>7</v>
      </c>
      <c r="C168" s="8" t="s">
        <v>1165</v>
      </c>
      <c r="D168">
        <v>3</v>
      </c>
      <c r="E168">
        <v>7</v>
      </c>
      <c r="G168">
        <v>0</v>
      </c>
      <c r="H168">
        <v>755</v>
      </c>
      <c r="I168" t="s">
        <v>22</v>
      </c>
      <c r="J168">
        <v>307</v>
      </c>
      <c r="K168">
        <v>0</v>
      </c>
      <c r="L168">
        <v>18.100000000000001</v>
      </c>
      <c r="M168" t="s">
        <v>829</v>
      </c>
      <c r="N168">
        <v>18</v>
      </c>
      <c r="O168">
        <v>-2.1739999999999999</v>
      </c>
      <c r="P168">
        <v>136.54300000000001</v>
      </c>
      <c r="Q168" t="s">
        <v>1163</v>
      </c>
      <c r="R168" t="s">
        <v>54</v>
      </c>
      <c r="S168" t="s">
        <v>108</v>
      </c>
      <c r="T168">
        <v>2</v>
      </c>
      <c r="U168">
        <v>7</v>
      </c>
      <c r="V168">
        <v>307</v>
      </c>
      <c r="W168">
        <v>0</v>
      </c>
      <c r="X168">
        <v>18.100000000000001</v>
      </c>
      <c r="Y168">
        <v>18</v>
      </c>
      <c r="Z168">
        <v>3</v>
      </c>
      <c r="AA168">
        <v>7</v>
      </c>
      <c r="AB168">
        <v>0</v>
      </c>
      <c r="AC168">
        <v>755</v>
      </c>
      <c r="AD168" s="8">
        <v>40345</v>
      </c>
    </row>
    <row r="169" spans="1:30">
      <c r="A169" t="s">
        <v>1161</v>
      </c>
      <c r="B169">
        <v>6.6</v>
      </c>
      <c r="C169" s="8" t="s">
        <v>1162</v>
      </c>
      <c r="D169">
        <v>0</v>
      </c>
      <c r="E169">
        <v>7</v>
      </c>
      <c r="G169">
        <v>0</v>
      </c>
      <c r="H169">
        <v>670</v>
      </c>
      <c r="I169" t="s">
        <v>22</v>
      </c>
      <c r="J169">
        <v>309</v>
      </c>
      <c r="K169">
        <v>0</v>
      </c>
      <c r="L169">
        <v>25</v>
      </c>
      <c r="M169" t="s">
        <v>829</v>
      </c>
      <c r="N169">
        <v>10.5</v>
      </c>
      <c r="O169">
        <v>-2.3290000000000002</v>
      </c>
      <c r="P169">
        <v>136.48400000000001</v>
      </c>
      <c r="Q169" t="s">
        <v>1163</v>
      </c>
      <c r="R169" t="s">
        <v>54</v>
      </c>
      <c r="S169" t="s">
        <v>108</v>
      </c>
      <c r="T169">
        <v>2</v>
      </c>
      <c r="U169">
        <v>6.6</v>
      </c>
      <c r="V169">
        <v>309</v>
      </c>
      <c r="W169">
        <v>0</v>
      </c>
      <c r="X169">
        <v>25</v>
      </c>
      <c r="Y169">
        <v>10.5</v>
      </c>
      <c r="Z169">
        <v>0</v>
      </c>
      <c r="AA169">
        <v>7</v>
      </c>
      <c r="AB169">
        <v>0</v>
      </c>
      <c r="AC169">
        <v>670</v>
      </c>
      <c r="AD169" s="8">
        <v>40345</v>
      </c>
    </row>
    <row r="170" spans="1:30">
      <c r="A170" t="s">
        <v>1367</v>
      </c>
      <c r="B170">
        <v>6.6</v>
      </c>
      <c r="C170" s="8" t="s">
        <v>1368</v>
      </c>
      <c r="D170">
        <v>8</v>
      </c>
      <c r="E170">
        <v>8</v>
      </c>
      <c r="G170">
        <v>0</v>
      </c>
      <c r="H170">
        <v>831</v>
      </c>
      <c r="I170" t="s">
        <v>22</v>
      </c>
      <c r="J170">
        <v>782</v>
      </c>
      <c r="K170">
        <v>0</v>
      </c>
      <c r="L170">
        <v>16.7</v>
      </c>
      <c r="M170" t="s">
        <v>829</v>
      </c>
      <c r="N170">
        <v>12</v>
      </c>
      <c r="O170">
        <v>37.534999999999997</v>
      </c>
      <c r="P170">
        <v>138.446</v>
      </c>
      <c r="Q170" t="s">
        <v>1369</v>
      </c>
      <c r="R170" t="s">
        <v>54</v>
      </c>
      <c r="S170" t="s">
        <v>200</v>
      </c>
      <c r="T170">
        <v>2</v>
      </c>
      <c r="U170">
        <v>6.6</v>
      </c>
      <c r="V170">
        <v>782</v>
      </c>
      <c r="W170">
        <v>0</v>
      </c>
      <c r="X170">
        <v>16.7</v>
      </c>
      <c r="Y170">
        <v>12</v>
      </c>
      <c r="Z170">
        <v>8</v>
      </c>
      <c r="AA170">
        <v>8</v>
      </c>
      <c r="AB170">
        <v>0</v>
      </c>
      <c r="AC170">
        <v>831</v>
      </c>
      <c r="AD170" s="8">
        <v>39279</v>
      </c>
    </row>
    <row r="171" spans="1:30">
      <c r="A171" t="s">
        <v>1364</v>
      </c>
      <c r="B171">
        <v>6.8</v>
      </c>
      <c r="C171" s="8" t="s">
        <v>1365</v>
      </c>
      <c r="D171">
        <v>5</v>
      </c>
      <c r="E171">
        <v>4</v>
      </c>
      <c r="G171">
        <v>0</v>
      </c>
      <c r="H171">
        <v>779</v>
      </c>
      <c r="I171" t="s">
        <v>22</v>
      </c>
      <c r="J171">
        <v>664</v>
      </c>
      <c r="K171">
        <v>0</v>
      </c>
      <c r="L171">
        <v>18.2</v>
      </c>
      <c r="M171" t="s">
        <v>36</v>
      </c>
      <c r="N171">
        <v>350.4</v>
      </c>
      <c r="O171">
        <v>36.808</v>
      </c>
      <c r="P171">
        <v>134.85</v>
      </c>
      <c r="Q171" t="s">
        <v>1366</v>
      </c>
      <c r="R171" t="s">
        <v>54</v>
      </c>
      <c r="S171" t="s">
        <v>200</v>
      </c>
      <c r="T171">
        <v>2</v>
      </c>
      <c r="U171">
        <v>6.8</v>
      </c>
      <c r="V171">
        <v>664</v>
      </c>
      <c r="W171">
        <v>0</v>
      </c>
      <c r="X171">
        <v>18.2</v>
      </c>
      <c r="Y171">
        <v>350.4</v>
      </c>
      <c r="Z171">
        <v>5</v>
      </c>
      <c r="AA171">
        <v>4</v>
      </c>
      <c r="AB171">
        <v>0</v>
      </c>
      <c r="AC171">
        <v>779</v>
      </c>
      <c r="AD171" s="8">
        <v>39279</v>
      </c>
    </row>
    <row r="172" spans="1:30">
      <c r="A172" t="s">
        <v>1463</v>
      </c>
      <c r="B172">
        <v>7.2</v>
      </c>
      <c r="C172" s="8" t="s">
        <v>1464</v>
      </c>
      <c r="D172">
        <v>7</v>
      </c>
      <c r="E172">
        <v>7</v>
      </c>
      <c r="G172">
        <v>0</v>
      </c>
      <c r="H172">
        <v>1104</v>
      </c>
      <c r="I172" t="s">
        <v>22</v>
      </c>
      <c r="J172">
        <v>698</v>
      </c>
      <c r="K172">
        <v>0</v>
      </c>
      <c r="L172">
        <v>19.600000000000001</v>
      </c>
      <c r="M172" t="s">
        <v>829</v>
      </c>
      <c r="N172">
        <v>36</v>
      </c>
      <c r="O172">
        <v>38.276000000000003</v>
      </c>
      <c r="P172">
        <v>142.03899999999999</v>
      </c>
      <c r="Q172" t="s">
        <v>209</v>
      </c>
      <c r="R172" t="s">
        <v>54</v>
      </c>
      <c r="S172" t="s">
        <v>200</v>
      </c>
      <c r="T172">
        <v>2</v>
      </c>
      <c r="U172">
        <v>7.2</v>
      </c>
      <c r="V172">
        <v>698</v>
      </c>
      <c r="W172">
        <v>0</v>
      </c>
      <c r="X172">
        <v>19.600000000000001</v>
      </c>
      <c r="Y172">
        <v>36</v>
      </c>
      <c r="Z172">
        <v>7</v>
      </c>
      <c r="AA172">
        <v>7</v>
      </c>
      <c r="AB172">
        <v>0</v>
      </c>
      <c r="AC172">
        <v>1104</v>
      </c>
      <c r="AD172" s="8">
        <v>38580</v>
      </c>
    </row>
    <row r="173" spans="1:30">
      <c r="A173" t="s">
        <v>1229</v>
      </c>
      <c r="B173">
        <v>6.7</v>
      </c>
      <c r="C173" s="8" t="s">
        <v>1230</v>
      </c>
      <c r="D173">
        <v>5</v>
      </c>
      <c r="E173">
        <v>6</v>
      </c>
      <c r="G173">
        <v>0</v>
      </c>
      <c r="H173">
        <v>753</v>
      </c>
      <c r="I173" t="s">
        <v>22</v>
      </c>
      <c r="J173">
        <v>369</v>
      </c>
      <c r="K173">
        <v>0</v>
      </c>
      <c r="L173">
        <v>14.9</v>
      </c>
      <c r="M173" t="s">
        <v>829</v>
      </c>
      <c r="N173">
        <v>20</v>
      </c>
      <c r="O173">
        <v>-1.4790000000000001</v>
      </c>
      <c r="P173">
        <v>99.49</v>
      </c>
      <c r="Q173" t="s">
        <v>1231</v>
      </c>
      <c r="R173" t="s">
        <v>54</v>
      </c>
      <c r="S173" t="s">
        <v>108</v>
      </c>
      <c r="T173">
        <v>2</v>
      </c>
      <c r="U173">
        <v>6.7</v>
      </c>
      <c r="V173">
        <v>369</v>
      </c>
      <c r="W173">
        <v>0</v>
      </c>
      <c r="X173">
        <v>14.9</v>
      </c>
      <c r="Y173">
        <v>20</v>
      </c>
      <c r="Z173">
        <v>5</v>
      </c>
      <c r="AA173">
        <v>6</v>
      </c>
      <c r="AB173">
        <v>0</v>
      </c>
      <c r="AC173">
        <v>753</v>
      </c>
      <c r="AD173" s="8">
        <v>40041</v>
      </c>
    </row>
    <row r="174" spans="1:30">
      <c r="A174" t="s">
        <v>1072</v>
      </c>
      <c r="B174">
        <v>6.7</v>
      </c>
      <c r="C174" s="8" t="s">
        <v>1073</v>
      </c>
      <c r="D174">
        <v>5</v>
      </c>
      <c r="E174">
        <v>5</v>
      </c>
      <c r="G174">
        <v>0</v>
      </c>
      <c r="H174">
        <v>712</v>
      </c>
      <c r="I174" t="s">
        <v>22</v>
      </c>
      <c r="J174">
        <v>667</v>
      </c>
      <c r="K174">
        <v>0</v>
      </c>
      <c r="L174">
        <v>10.9</v>
      </c>
      <c r="M174" t="s">
        <v>829</v>
      </c>
      <c r="N174">
        <v>30</v>
      </c>
      <c r="O174">
        <v>40.273000000000003</v>
      </c>
      <c r="P174">
        <v>142.779</v>
      </c>
      <c r="Q174" t="s">
        <v>780</v>
      </c>
      <c r="R174" t="s">
        <v>54</v>
      </c>
      <c r="S174" t="s">
        <v>200</v>
      </c>
      <c r="T174">
        <v>2</v>
      </c>
      <c r="U174">
        <v>6.7</v>
      </c>
      <c r="V174">
        <v>667</v>
      </c>
      <c r="W174">
        <v>0</v>
      </c>
      <c r="X174">
        <v>10.9</v>
      </c>
      <c r="Y174">
        <v>30</v>
      </c>
      <c r="Z174">
        <v>5</v>
      </c>
      <c r="AA174">
        <v>5</v>
      </c>
      <c r="AB174">
        <v>0</v>
      </c>
      <c r="AC174">
        <v>712</v>
      </c>
      <c r="AD174" s="8">
        <v>40802</v>
      </c>
    </row>
    <row r="175" spans="1:30">
      <c r="A175" t="s">
        <v>1255</v>
      </c>
      <c r="B175">
        <v>7.4</v>
      </c>
      <c r="C175" s="8" t="s">
        <v>1256</v>
      </c>
      <c r="D175">
        <v>9</v>
      </c>
      <c r="E175">
        <v>7</v>
      </c>
      <c r="G175">
        <v>0</v>
      </c>
      <c r="H175">
        <v>848</v>
      </c>
      <c r="I175" t="s">
        <v>22</v>
      </c>
      <c r="J175">
        <v>365</v>
      </c>
      <c r="K175">
        <v>0</v>
      </c>
      <c r="L175">
        <v>33.700000000000003</v>
      </c>
      <c r="M175" t="s">
        <v>23</v>
      </c>
      <c r="N175">
        <v>30</v>
      </c>
      <c r="O175">
        <v>1.2709999999999999</v>
      </c>
      <c r="P175">
        <v>122.09099999999999</v>
      </c>
      <c r="Q175" t="s">
        <v>1257</v>
      </c>
      <c r="R175" t="s">
        <v>54</v>
      </c>
      <c r="S175" t="s">
        <v>108</v>
      </c>
      <c r="T175">
        <v>2</v>
      </c>
      <c r="U175">
        <v>7.4</v>
      </c>
      <c r="V175">
        <v>365</v>
      </c>
      <c r="W175">
        <v>0</v>
      </c>
      <c r="X175">
        <v>33.700000000000003</v>
      </c>
      <c r="Y175">
        <v>30</v>
      </c>
      <c r="Z175">
        <v>9</v>
      </c>
      <c r="AA175">
        <v>7</v>
      </c>
      <c r="AB175">
        <v>0</v>
      </c>
      <c r="AC175">
        <v>848</v>
      </c>
      <c r="AD175" s="8">
        <v>39768</v>
      </c>
    </row>
    <row r="176" spans="1:30">
      <c r="A176" t="s">
        <v>1412</v>
      </c>
      <c r="B176">
        <v>7.7</v>
      </c>
      <c r="C176" s="8" t="s">
        <v>1413</v>
      </c>
      <c r="D176">
        <v>7</v>
      </c>
      <c r="E176">
        <v>5</v>
      </c>
      <c r="G176">
        <v>0</v>
      </c>
      <c r="H176">
        <v>947</v>
      </c>
      <c r="I176" t="s">
        <v>22</v>
      </c>
      <c r="J176">
        <v>357</v>
      </c>
      <c r="K176">
        <v>0</v>
      </c>
      <c r="L176">
        <v>36.799999999999997</v>
      </c>
      <c r="M176" t="s">
        <v>829</v>
      </c>
      <c r="N176">
        <v>20</v>
      </c>
      <c r="O176">
        <v>-9.2840000000000007</v>
      </c>
      <c r="P176">
        <v>107.419</v>
      </c>
      <c r="Q176" t="s">
        <v>1414</v>
      </c>
      <c r="R176" t="s">
        <v>54</v>
      </c>
      <c r="S176" t="s">
        <v>108</v>
      </c>
      <c r="T176">
        <v>2</v>
      </c>
      <c r="U176">
        <v>7.7</v>
      </c>
      <c r="V176">
        <v>357</v>
      </c>
      <c r="W176">
        <v>0</v>
      </c>
      <c r="X176">
        <v>36.799999999999997</v>
      </c>
      <c r="Y176">
        <v>20</v>
      </c>
      <c r="Z176">
        <v>7</v>
      </c>
      <c r="AA176">
        <v>5</v>
      </c>
      <c r="AB176">
        <v>0</v>
      </c>
      <c r="AC176">
        <v>947</v>
      </c>
      <c r="AD176" s="8">
        <v>38915</v>
      </c>
    </row>
    <row r="177" spans="1:30">
      <c r="A177" t="s">
        <v>521</v>
      </c>
      <c r="B177">
        <v>7.7</v>
      </c>
      <c r="C177" s="8" t="s">
        <v>522</v>
      </c>
      <c r="D177">
        <v>8</v>
      </c>
      <c r="E177">
        <v>7</v>
      </c>
      <c r="F177" t="s">
        <v>21</v>
      </c>
      <c r="G177">
        <v>1</v>
      </c>
      <c r="H177">
        <v>918</v>
      </c>
      <c r="I177" t="s">
        <v>22</v>
      </c>
      <c r="J177">
        <v>0</v>
      </c>
      <c r="K177">
        <v>3.5640000000000001</v>
      </c>
      <c r="L177">
        <v>13</v>
      </c>
      <c r="M177" t="s">
        <v>23</v>
      </c>
      <c r="N177">
        <v>10</v>
      </c>
      <c r="O177">
        <v>54.443399999999997</v>
      </c>
      <c r="P177">
        <v>168.857</v>
      </c>
      <c r="Q177" t="s">
        <v>523</v>
      </c>
      <c r="R177" t="s">
        <v>54</v>
      </c>
      <c r="S177" t="s">
        <v>295</v>
      </c>
      <c r="T177">
        <v>2</v>
      </c>
      <c r="U177">
        <v>7.7</v>
      </c>
      <c r="V177">
        <v>0</v>
      </c>
      <c r="W177">
        <v>3.5640000000000001</v>
      </c>
      <c r="X177">
        <v>13</v>
      </c>
      <c r="Y177">
        <v>10</v>
      </c>
      <c r="Z177">
        <v>8</v>
      </c>
      <c r="AA177">
        <v>7</v>
      </c>
      <c r="AB177">
        <v>1</v>
      </c>
      <c r="AC177">
        <v>918</v>
      </c>
      <c r="AD177" s="8">
        <v>42933</v>
      </c>
    </row>
    <row r="178" spans="1:30">
      <c r="A178" t="s">
        <v>448</v>
      </c>
      <c r="B178">
        <v>6.5</v>
      </c>
      <c r="C178" s="8" t="s">
        <v>449</v>
      </c>
      <c r="D178">
        <v>5</v>
      </c>
      <c r="E178">
        <v>3</v>
      </c>
      <c r="F178" t="s">
        <v>21</v>
      </c>
      <c r="G178">
        <v>0</v>
      </c>
      <c r="H178">
        <v>743</v>
      </c>
      <c r="I178" t="s">
        <v>22</v>
      </c>
      <c r="J178">
        <v>0</v>
      </c>
      <c r="K178">
        <v>2.7189999999999999</v>
      </c>
      <c r="L178">
        <v>23</v>
      </c>
      <c r="M178" t="s">
        <v>23</v>
      </c>
      <c r="N178">
        <v>529</v>
      </c>
      <c r="O178">
        <v>-7.3718000000000004</v>
      </c>
      <c r="P178">
        <v>119.80200000000001</v>
      </c>
      <c r="Q178" t="s">
        <v>450</v>
      </c>
      <c r="R178" t="s">
        <v>54</v>
      </c>
      <c r="S178" t="s">
        <v>108</v>
      </c>
      <c r="T178">
        <v>2</v>
      </c>
      <c r="U178">
        <v>6.5</v>
      </c>
      <c r="V178">
        <v>0</v>
      </c>
      <c r="W178">
        <v>2.7189999999999999</v>
      </c>
      <c r="X178">
        <v>23</v>
      </c>
      <c r="Y178">
        <v>529</v>
      </c>
      <c r="Z178">
        <v>5</v>
      </c>
      <c r="AA178">
        <v>3</v>
      </c>
      <c r="AB178">
        <v>0</v>
      </c>
      <c r="AC178">
        <v>743</v>
      </c>
      <c r="AD178" s="8">
        <v>43329</v>
      </c>
    </row>
    <row r="179" spans="1:30">
      <c r="A179" t="s">
        <v>56</v>
      </c>
      <c r="B179">
        <v>6.5</v>
      </c>
      <c r="C179" s="8" t="s">
        <v>57</v>
      </c>
      <c r="D179">
        <v>7</v>
      </c>
      <c r="E179">
        <v>7</v>
      </c>
      <c r="F179" t="s">
        <v>21</v>
      </c>
      <c r="G179">
        <v>1</v>
      </c>
      <c r="H179">
        <v>756</v>
      </c>
      <c r="I179" t="s">
        <v>22</v>
      </c>
      <c r="J179">
        <v>178</v>
      </c>
      <c r="K179">
        <v>0.43</v>
      </c>
      <c r="L179">
        <v>54</v>
      </c>
      <c r="M179" t="s">
        <v>23</v>
      </c>
      <c r="N179">
        <v>10</v>
      </c>
      <c r="O179">
        <v>23.029</v>
      </c>
      <c r="P179">
        <v>121.348</v>
      </c>
      <c r="Q179" t="s">
        <v>58</v>
      </c>
      <c r="R179" t="s">
        <v>54</v>
      </c>
      <c r="S179" t="s">
        <v>55</v>
      </c>
      <c r="T179">
        <v>2</v>
      </c>
      <c r="U179">
        <v>6.5</v>
      </c>
      <c r="V179">
        <v>178</v>
      </c>
      <c r="W179">
        <v>0.43</v>
      </c>
      <c r="X179">
        <v>54</v>
      </c>
      <c r="Y179">
        <v>10</v>
      </c>
      <c r="Z179">
        <v>7</v>
      </c>
      <c r="AA179">
        <v>7</v>
      </c>
      <c r="AB179">
        <v>1</v>
      </c>
      <c r="AC179">
        <v>756</v>
      </c>
      <c r="AD179" s="8">
        <v>44821</v>
      </c>
    </row>
    <row r="180" spans="1:30">
      <c r="A180" t="s">
        <v>1120</v>
      </c>
      <c r="B180">
        <v>7.2</v>
      </c>
      <c r="C180" s="8" t="s">
        <v>1121</v>
      </c>
      <c r="D180">
        <v>7</v>
      </c>
      <c r="E180">
        <v>7</v>
      </c>
      <c r="G180">
        <v>0</v>
      </c>
      <c r="H180">
        <v>1449</v>
      </c>
      <c r="I180" t="s">
        <v>22</v>
      </c>
      <c r="J180">
        <v>372</v>
      </c>
      <c r="K180">
        <v>0</v>
      </c>
      <c r="L180">
        <v>25.3</v>
      </c>
      <c r="M180" t="s">
        <v>23</v>
      </c>
      <c r="N180">
        <v>68</v>
      </c>
      <c r="O180">
        <v>28.777000000000001</v>
      </c>
      <c r="P180">
        <v>63.951000000000001</v>
      </c>
      <c r="Q180" t="s">
        <v>1122</v>
      </c>
      <c r="R180" t="s">
        <v>54</v>
      </c>
      <c r="S180" t="s">
        <v>907</v>
      </c>
      <c r="T180">
        <v>2</v>
      </c>
      <c r="U180">
        <v>7.2</v>
      </c>
      <c r="V180">
        <v>372</v>
      </c>
      <c r="W180">
        <v>0</v>
      </c>
      <c r="X180">
        <v>25.3</v>
      </c>
      <c r="Y180">
        <v>68</v>
      </c>
      <c r="Z180">
        <v>7</v>
      </c>
      <c r="AA180">
        <v>7</v>
      </c>
      <c r="AB180">
        <v>0</v>
      </c>
      <c r="AC180">
        <v>1449</v>
      </c>
      <c r="AD180" s="8">
        <v>40561</v>
      </c>
    </row>
    <row r="181" spans="1:30">
      <c r="A181" t="s">
        <v>255</v>
      </c>
      <c r="B181">
        <v>6.6</v>
      </c>
      <c r="C181" s="8" t="s">
        <v>256</v>
      </c>
      <c r="D181">
        <v>9</v>
      </c>
      <c r="E181">
        <v>8</v>
      </c>
      <c r="F181" t="s">
        <v>45</v>
      </c>
      <c r="G181">
        <v>1</v>
      </c>
      <c r="H181">
        <v>784</v>
      </c>
      <c r="I181" t="s">
        <v>22</v>
      </c>
      <c r="J181">
        <v>0</v>
      </c>
      <c r="K181">
        <v>5.1280000000000001</v>
      </c>
      <c r="L181">
        <v>14</v>
      </c>
      <c r="M181" t="s">
        <v>23</v>
      </c>
      <c r="N181">
        <v>10</v>
      </c>
      <c r="O181">
        <v>12.006500000000001</v>
      </c>
      <c r="P181">
        <v>124.13</v>
      </c>
      <c r="Q181" t="s">
        <v>257</v>
      </c>
      <c r="R181" t="s">
        <v>54</v>
      </c>
      <c r="S181" t="s">
        <v>75</v>
      </c>
      <c r="T181">
        <v>2</v>
      </c>
      <c r="U181">
        <v>6.6</v>
      </c>
      <c r="V181">
        <v>0</v>
      </c>
      <c r="W181">
        <v>5.1280000000000001</v>
      </c>
      <c r="X181">
        <v>14</v>
      </c>
      <c r="Y181">
        <v>10</v>
      </c>
      <c r="Z181">
        <v>9</v>
      </c>
      <c r="AA181">
        <v>8</v>
      </c>
      <c r="AB181">
        <v>1</v>
      </c>
      <c r="AC181">
        <v>784</v>
      </c>
      <c r="AD181" s="8">
        <v>44061</v>
      </c>
    </row>
    <row r="182" spans="1:30">
      <c r="A182" t="s">
        <v>253</v>
      </c>
      <c r="B182">
        <v>6.8</v>
      </c>
      <c r="C182" s="8" t="s">
        <v>254</v>
      </c>
      <c r="D182">
        <v>5</v>
      </c>
      <c r="E182">
        <v>4</v>
      </c>
      <c r="F182" t="s">
        <v>21</v>
      </c>
      <c r="G182">
        <v>0</v>
      </c>
      <c r="H182">
        <v>716</v>
      </c>
      <c r="I182" t="s">
        <v>22</v>
      </c>
      <c r="J182">
        <v>0</v>
      </c>
      <c r="K182">
        <v>1.8160000000000001</v>
      </c>
      <c r="L182">
        <v>34</v>
      </c>
      <c r="M182" t="s">
        <v>23</v>
      </c>
      <c r="N182">
        <v>22</v>
      </c>
      <c r="O182">
        <v>-4.3723999999999998</v>
      </c>
      <c r="P182">
        <v>101.095</v>
      </c>
      <c r="Q182" t="s">
        <v>29</v>
      </c>
      <c r="R182" t="s">
        <v>54</v>
      </c>
      <c r="S182" t="s">
        <v>108</v>
      </c>
      <c r="T182">
        <v>2</v>
      </c>
      <c r="U182">
        <v>6.8</v>
      </c>
      <c r="V182">
        <v>0</v>
      </c>
      <c r="W182">
        <v>1.8160000000000001</v>
      </c>
      <c r="X182">
        <v>34</v>
      </c>
      <c r="Y182">
        <v>22</v>
      </c>
      <c r="Z182">
        <v>5</v>
      </c>
      <c r="AA182">
        <v>4</v>
      </c>
      <c r="AB182">
        <v>0</v>
      </c>
      <c r="AC182">
        <v>716</v>
      </c>
      <c r="AD182" s="8">
        <v>44061</v>
      </c>
    </row>
    <row r="183" spans="1:30">
      <c r="A183" t="s">
        <v>251</v>
      </c>
      <c r="B183">
        <v>6.9</v>
      </c>
      <c r="C183" s="8" t="s">
        <v>252</v>
      </c>
      <c r="D183">
        <v>4</v>
      </c>
      <c r="E183">
        <v>4</v>
      </c>
      <c r="F183" t="s">
        <v>21</v>
      </c>
      <c r="G183">
        <v>0</v>
      </c>
      <c r="H183">
        <v>735</v>
      </c>
      <c r="I183" t="s">
        <v>22</v>
      </c>
      <c r="J183">
        <v>0</v>
      </c>
      <c r="K183">
        <v>1.716</v>
      </c>
      <c r="L183">
        <v>25</v>
      </c>
      <c r="M183" t="s">
        <v>23</v>
      </c>
      <c r="N183">
        <v>26</v>
      </c>
      <c r="O183">
        <v>-4.2790999999999997</v>
      </c>
      <c r="P183">
        <v>101.215</v>
      </c>
      <c r="Q183" t="s">
        <v>29</v>
      </c>
      <c r="R183" t="s">
        <v>54</v>
      </c>
      <c r="S183" t="s">
        <v>108</v>
      </c>
      <c r="T183">
        <v>2</v>
      </c>
      <c r="U183">
        <v>6.9</v>
      </c>
      <c r="V183">
        <v>0</v>
      </c>
      <c r="W183">
        <v>1.716</v>
      </c>
      <c r="X183">
        <v>25</v>
      </c>
      <c r="Y183">
        <v>26</v>
      </c>
      <c r="Z183">
        <v>4</v>
      </c>
      <c r="AA183">
        <v>4</v>
      </c>
      <c r="AB183">
        <v>0</v>
      </c>
      <c r="AC183">
        <v>735</v>
      </c>
      <c r="AD183" s="8">
        <v>44061</v>
      </c>
    </row>
    <row r="184" spans="1:30">
      <c r="A184" t="s">
        <v>1069</v>
      </c>
      <c r="B184">
        <v>6.9</v>
      </c>
      <c r="C184" s="8" t="s">
        <v>1070</v>
      </c>
      <c r="D184">
        <v>8</v>
      </c>
      <c r="E184">
        <v>8</v>
      </c>
      <c r="G184">
        <v>0</v>
      </c>
      <c r="H184">
        <v>1562</v>
      </c>
      <c r="I184" t="s">
        <v>22</v>
      </c>
      <c r="J184">
        <v>383</v>
      </c>
      <c r="K184">
        <v>0</v>
      </c>
      <c r="L184">
        <v>13</v>
      </c>
      <c r="M184" t="s">
        <v>23</v>
      </c>
      <c r="N184">
        <v>50</v>
      </c>
      <c r="O184">
        <v>27.73</v>
      </c>
      <c r="P184">
        <v>88.155000000000001</v>
      </c>
      <c r="Q184" t="s">
        <v>1071</v>
      </c>
      <c r="R184" t="s">
        <v>54</v>
      </c>
      <c r="S184" t="s">
        <v>671</v>
      </c>
      <c r="T184">
        <v>2</v>
      </c>
      <c r="U184">
        <v>6.9</v>
      </c>
      <c r="V184">
        <v>383</v>
      </c>
      <c r="W184">
        <v>0</v>
      </c>
      <c r="X184">
        <v>13</v>
      </c>
      <c r="Y184">
        <v>50</v>
      </c>
      <c r="Z184">
        <v>8</v>
      </c>
      <c r="AA184">
        <v>8</v>
      </c>
      <c r="AB184">
        <v>0</v>
      </c>
      <c r="AC184">
        <v>1562</v>
      </c>
      <c r="AD184" s="8">
        <v>40804</v>
      </c>
    </row>
    <row r="185" spans="1:30">
      <c r="A185" t="s">
        <v>51</v>
      </c>
      <c r="B185">
        <v>6.9</v>
      </c>
      <c r="C185" s="8" t="s">
        <v>52</v>
      </c>
      <c r="D185">
        <v>9</v>
      </c>
      <c r="E185">
        <v>9</v>
      </c>
      <c r="F185" t="s">
        <v>45</v>
      </c>
      <c r="G185">
        <v>1</v>
      </c>
      <c r="H185">
        <v>887</v>
      </c>
      <c r="I185" t="s">
        <v>22</v>
      </c>
      <c r="J185">
        <v>215</v>
      </c>
      <c r="K185">
        <v>0.40100000000000002</v>
      </c>
      <c r="L185">
        <v>34</v>
      </c>
      <c r="M185" t="s">
        <v>23</v>
      </c>
      <c r="N185">
        <v>10</v>
      </c>
      <c r="O185">
        <v>23.144400000000001</v>
      </c>
      <c r="P185">
        <v>121.307</v>
      </c>
      <c r="Q185" t="s">
        <v>53</v>
      </c>
      <c r="R185" t="s">
        <v>54</v>
      </c>
      <c r="S185" t="s">
        <v>55</v>
      </c>
      <c r="T185">
        <v>2</v>
      </c>
      <c r="U185">
        <v>6.9</v>
      </c>
      <c r="V185">
        <v>215</v>
      </c>
      <c r="W185">
        <v>0.40100000000000002</v>
      </c>
      <c r="X185">
        <v>34</v>
      </c>
      <c r="Y185">
        <v>10</v>
      </c>
      <c r="Z185">
        <v>9</v>
      </c>
      <c r="AA185">
        <v>9</v>
      </c>
      <c r="AB185">
        <v>1</v>
      </c>
      <c r="AC185">
        <v>887</v>
      </c>
      <c r="AD185" s="8">
        <v>44822</v>
      </c>
    </row>
    <row r="186" spans="1:30">
      <c r="A186" t="s">
        <v>1575</v>
      </c>
      <c r="B186">
        <v>6.5</v>
      </c>
      <c r="C186" s="8" t="s">
        <v>1576</v>
      </c>
      <c r="D186">
        <v>0</v>
      </c>
      <c r="E186">
        <v>6</v>
      </c>
      <c r="G186">
        <v>0</v>
      </c>
      <c r="H186">
        <v>650</v>
      </c>
      <c r="I186" t="s">
        <v>22</v>
      </c>
      <c r="J186">
        <v>487</v>
      </c>
      <c r="K186">
        <v>0</v>
      </c>
      <c r="L186">
        <v>45.9</v>
      </c>
      <c r="M186" t="s">
        <v>36</v>
      </c>
      <c r="N186">
        <v>35</v>
      </c>
      <c r="O186">
        <v>12.025</v>
      </c>
      <c r="P186">
        <v>125.416</v>
      </c>
      <c r="Q186" t="s">
        <v>1577</v>
      </c>
      <c r="R186" t="s">
        <v>54</v>
      </c>
      <c r="S186" t="s">
        <v>75</v>
      </c>
      <c r="T186">
        <v>2</v>
      </c>
      <c r="U186">
        <v>6.5</v>
      </c>
      <c r="V186">
        <v>487</v>
      </c>
      <c r="W186">
        <v>0</v>
      </c>
      <c r="X186">
        <v>45.9</v>
      </c>
      <c r="Y186">
        <v>35</v>
      </c>
      <c r="Z186">
        <v>0</v>
      </c>
      <c r="AA186">
        <v>6</v>
      </c>
      <c r="AB186">
        <v>0</v>
      </c>
      <c r="AC186">
        <v>650</v>
      </c>
      <c r="AD186" s="8">
        <v>37943</v>
      </c>
    </row>
    <row r="187" spans="1:30">
      <c r="A187" t="s">
        <v>27</v>
      </c>
      <c r="B187">
        <v>6.9</v>
      </c>
      <c r="C187" s="8" t="s">
        <v>28</v>
      </c>
      <c r="D187">
        <v>4</v>
      </c>
      <c r="E187">
        <v>4</v>
      </c>
      <c r="F187" t="s">
        <v>21</v>
      </c>
      <c r="G187">
        <v>0</v>
      </c>
      <c r="H187">
        <v>735</v>
      </c>
      <c r="I187" t="s">
        <v>22</v>
      </c>
      <c r="J187">
        <v>99</v>
      </c>
      <c r="K187">
        <v>2.2290000000000001</v>
      </c>
      <c r="L187">
        <v>34</v>
      </c>
      <c r="M187" t="s">
        <v>23</v>
      </c>
      <c r="N187">
        <v>25</v>
      </c>
      <c r="O187">
        <v>-4.9558999999999997</v>
      </c>
      <c r="P187">
        <v>100.738</v>
      </c>
      <c r="Q187" t="s">
        <v>29</v>
      </c>
      <c r="R187" s="3" t="s">
        <v>54</v>
      </c>
      <c r="S187" t="s">
        <v>108</v>
      </c>
      <c r="T187">
        <v>2</v>
      </c>
      <c r="U187">
        <v>6.9</v>
      </c>
      <c r="V187">
        <v>99</v>
      </c>
      <c r="W187">
        <v>2.2290000000000001</v>
      </c>
      <c r="X187">
        <v>34</v>
      </c>
      <c r="Y187">
        <v>25</v>
      </c>
      <c r="Z187">
        <v>4</v>
      </c>
      <c r="AA187">
        <v>4</v>
      </c>
      <c r="AB187">
        <v>0</v>
      </c>
      <c r="AC187">
        <v>735</v>
      </c>
      <c r="AD187" s="8">
        <v>44883</v>
      </c>
    </row>
    <row r="188" spans="1:30">
      <c r="A188" t="s">
        <v>1675</v>
      </c>
      <c r="B188">
        <v>6.8</v>
      </c>
      <c r="C188" s="8" t="s">
        <v>1676</v>
      </c>
      <c r="D188">
        <v>0</v>
      </c>
      <c r="E188">
        <v>5</v>
      </c>
      <c r="G188">
        <v>0</v>
      </c>
      <c r="H188">
        <v>711</v>
      </c>
      <c r="I188" t="s">
        <v>22</v>
      </c>
      <c r="J188">
        <v>499</v>
      </c>
      <c r="K188">
        <v>0</v>
      </c>
      <c r="L188">
        <v>0</v>
      </c>
      <c r="M188" t="s">
        <v>829</v>
      </c>
      <c r="N188">
        <v>14</v>
      </c>
      <c r="O188">
        <v>23.954000000000001</v>
      </c>
      <c r="P188">
        <v>122.73399999999999</v>
      </c>
      <c r="Q188" t="s">
        <v>1534</v>
      </c>
      <c r="R188" t="s">
        <v>54</v>
      </c>
      <c r="S188" t="s">
        <v>200</v>
      </c>
      <c r="T188">
        <v>2</v>
      </c>
      <c r="U188">
        <v>6.8</v>
      </c>
      <c r="V188">
        <v>499</v>
      </c>
      <c r="W188">
        <v>0</v>
      </c>
      <c r="X188">
        <v>0</v>
      </c>
      <c r="Y188">
        <v>14</v>
      </c>
      <c r="Z188">
        <v>0</v>
      </c>
      <c r="AA188">
        <v>5</v>
      </c>
      <c r="AB188">
        <v>0</v>
      </c>
      <c r="AC188">
        <v>711</v>
      </c>
      <c r="AD188" s="8">
        <v>37243</v>
      </c>
    </row>
    <row r="189" spans="1:30">
      <c r="A189" t="s">
        <v>1497</v>
      </c>
      <c r="B189">
        <v>6.6</v>
      </c>
      <c r="C189" s="8" t="s">
        <v>1498</v>
      </c>
      <c r="D189">
        <v>6</v>
      </c>
      <c r="E189">
        <v>4</v>
      </c>
      <c r="G189">
        <v>0</v>
      </c>
      <c r="H189">
        <v>676</v>
      </c>
      <c r="I189" t="s">
        <v>22</v>
      </c>
      <c r="J189">
        <v>225</v>
      </c>
      <c r="K189">
        <v>0</v>
      </c>
      <c r="L189">
        <v>78.5</v>
      </c>
      <c r="M189" t="s">
        <v>829</v>
      </c>
      <c r="N189">
        <v>27.8</v>
      </c>
      <c r="O189">
        <v>34.064</v>
      </c>
      <c r="P189">
        <v>141.49100000000001</v>
      </c>
      <c r="Q189" t="s">
        <v>1499</v>
      </c>
      <c r="R189" t="s">
        <v>54</v>
      </c>
      <c r="S189" t="s">
        <v>200</v>
      </c>
      <c r="T189">
        <v>2</v>
      </c>
      <c r="U189">
        <v>6.6</v>
      </c>
      <c r="V189">
        <v>225</v>
      </c>
      <c r="W189">
        <v>0</v>
      </c>
      <c r="X189">
        <v>78.5</v>
      </c>
      <c r="Y189">
        <v>27.8</v>
      </c>
      <c r="Z189">
        <v>6</v>
      </c>
      <c r="AA189">
        <v>4</v>
      </c>
      <c r="AB189">
        <v>0</v>
      </c>
      <c r="AC189">
        <v>676</v>
      </c>
      <c r="AD189" s="8">
        <v>38371</v>
      </c>
    </row>
    <row r="190" spans="1:30">
      <c r="A190" t="s">
        <v>1489</v>
      </c>
      <c r="B190">
        <v>6.5</v>
      </c>
      <c r="C190" s="8" t="s">
        <v>1490</v>
      </c>
      <c r="D190">
        <v>0</v>
      </c>
      <c r="E190">
        <v>7</v>
      </c>
      <c r="G190">
        <v>0</v>
      </c>
      <c r="H190">
        <v>650</v>
      </c>
      <c r="I190" t="s">
        <v>22</v>
      </c>
      <c r="J190">
        <v>371</v>
      </c>
      <c r="K190">
        <v>0</v>
      </c>
      <c r="L190">
        <v>31.8</v>
      </c>
      <c r="M190" t="s">
        <v>36</v>
      </c>
      <c r="N190">
        <v>10</v>
      </c>
      <c r="O190">
        <v>-5.5620000000000003</v>
      </c>
      <c r="P190">
        <v>122.129</v>
      </c>
      <c r="Q190" t="s">
        <v>250</v>
      </c>
      <c r="R190" t="s">
        <v>54</v>
      </c>
      <c r="S190" t="s">
        <v>108</v>
      </c>
      <c r="T190">
        <v>2</v>
      </c>
      <c r="U190">
        <v>6.5</v>
      </c>
      <c r="V190">
        <v>371</v>
      </c>
      <c r="W190">
        <v>0</v>
      </c>
      <c r="X190">
        <v>31.8</v>
      </c>
      <c r="Y190">
        <v>10</v>
      </c>
      <c r="Z190">
        <v>0</v>
      </c>
      <c r="AA190">
        <v>7</v>
      </c>
      <c r="AB190">
        <v>0</v>
      </c>
      <c r="AC190">
        <v>650</v>
      </c>
      <c r="AD190" s="8">
        <v>38402</v>
      </c>
    </row>
    <row r="191" spans="1:30">
      <c r="A191" t="s">
        <v>1710</v>
      </c>
      <c r="B191">
        <v>6.5</v>
      </c>
      <c r="C191" s="8" t="s">
        <v>1711</v>
      </c>
      <c r="D191">
        <v>0</v>
      </c>
      <c r="E191">
        <v>6</v>
      </c>
      <c r="G191">
        <v>0</v>
      </c>
      <c r="H191">
        <v>650</v>
      </c>
      <c r="I191" t="s">
        <v>22</v>
      </c>
      <c r="J191">
        <v>206</v>
      </c>
      <c r="K191">
        <v>0</v>
      </c>
      <c r="L191">
        <v>0</v>
      </c>
      <c r="M191" t="s">
        <v>829</v>
      </c>
      <c r="N191">
        <v>33</v>
      </c>
      <c r="O191">
        <v>-4.0289999999999999</v>
      </c>
      <c r="P191">
        <v>128.02000000000001</v>
      </c>
      <c r="Q191" t="s">
        <v>1438</v>
      </c>
      <c r="R191" t="s">
        <v>54</v>
      </c>
      <c r="S191" t="s">
        <v>108</v>
      </c>
      <c r="T191">
        <v>2</v>
      </c>
      <c r="U191">
        <v>6.5</v>
      </c>
      <c r="V191">
        <v>206</v>
      </c>
      <c r="W191">
        <v>0</v>
      </c>
      <c r="X191">
        <v>0</v>
      </c>
      <c r="Y191">
        <v>33</v>
      </c>
      <c r="Z191">
        <v>0</v>
      </c>
      <c r="AA191">
        <v>6</v>
      </c>
      <c r="AB191">
        <v>0</v>
      </c>
      <c r="AC191">
        <v>650</v>
      </c>
      <c r="AD191" s="8">
        <v>36969</v>
      </c>
    </row>
    <row r="192" spans="1:30">
      <c r="A192" t="s">
        <v>952</v>
      </c>
      <c r="B192">
        <v>7.2</v>
      </c>
      <c r="C192" s="8" t="s">
        <v>953</v>
      </c>
      <c r="D192">
        <v>5</v>
      </c>
      <c r="E192">
        <v>7</v>
      </c>
      <c r="F192" t="s">
        <v>21</v>
      </c>
      <c r="G192">
        <v>1</v>
      </c>
      <c r="H192">
        <v>804</v>
      </c>
      <c r="I192" t="s">
        <v>22</v>
      </c>
      <c r="J192">
        <v>770</v>
      </c>
      <c r="K192">
        <v>0</v>
      </c>
      <c r="L192">
        <v>10.1</v>
      </c>
      <c r="M192" t="s">
        <v>23</v>
      </c>
      <c r="N192">
        <v>110</v>
      </c>
      <c r="O192">
        <v>46.220999999999997</v>
      </c>
      <c r="P192">
        <v>150.78800000000001</v>
      </c>
      <c r="Q192" t="s">
        <v>294</v>
      </c>
      <c r="R192" t="s">
        <v>54</v>
      </c>
      <c r="S192" t="s">
        <v>295</v>
      </c>
      <c r="T192">
        <v>2</v>
      </c>
      <c r="U192">
        <v>7.2</v>
      </c>
      <c r="V192">
        <v>770</v>
      </c>
      <c r="W192">
        <v>0</v>
      </c>
      <c r="X192">
        <v>10.1</v>
      </c>
      <c r="Y192">
        <v>110</v>
      </c>
      <c r="Z192">
        <v>5</v>
      </c>
      <c r="AA192">
        <v>7</v>
      </c>
      <c r="AB192">
        <v>1</v>
      </c>
      <c r="AC192">
        <v>804</v>
      </c>
      <c r="AD192" s="8">
        <v>41383</v>
      </c>
    </row>
    <row r="193" spans="1:30">
      <c r="A193" t="s">
        <v>1475</v>
      </c>
      <c r="B193">
        <v>6.9</v>
      </c>
      <c r="C193" s="8" t="s">
        <v>1476</v>
      </c>
      <c r="D193">
        <v>5</v>
      </c>
      <c r="E193">
        <v>7</v>
      </c>
      <c r="G193">
        <v>0</v>
      </c>
      <c r="H193">
        <v>740</v>
      </c>
      <c r="I193" t="s">
        <v>22</v>
      </c>
      <c r="J193">
        <v>635</v>
      </c>
      <c r="K193">
        <v>0</v>
      </c>
      <c r="L193">
        <v>26</v>
      </c>
      <c r="M193" t="s">
        <v>829</v>
      </c>
      <c r="N193">
        <v>30</v>
      </c>
      <c r="O193">
        <v>1.9890000000000001</v>
      </c>
      <c r="P193">
        <v>97.040999999999997</v>
      </c>
      <c r="Q193" t="s">
        <v>1422</v>
      </c>
      <c r="R193" t="s">
        <v>54</v>
      </c>
      <c r="S193" t="s">
        <v>108</v>
      </c>
      <c r="T193">
        <v>2</v>
      </c>
      <c r="U193">
        <v>6.9</v>
      </c>
      <c r="V193">
        <v>635</v>
      </c>
      <c r="W193">
        <v>0</v>
      </c>
      <c r="X193">
        <v>26</v>
      </c>
      <c r="Y193">
        <v>30</v>
      </c>
      <c r="Z193">
        <v>5</v>
      </c>
      <c r="AA193">
        <v>7</v>
      </c>
      <c r="AB193">
        <v>0</v>
      </c>
      <c r="AC193">
        <v>740</v>
      </c>
      <c r="AD193" s="8">
        <v>38491</v>
      </c>
    </row>
    <row r="194" spans="1:30">
      <c r="A194" t="s">
        <v>1273</v>
      </c>
      <c r="B194">
        <v>7</v>
      </c>
      <c r="C194" s="8" t="s">
        <v>1274</v>
      </c>
      <c r="D194">
        <v>5</v>
      </c>
      <c r="E194">
        <v>5</v>
      </c>
      <c r="G194">
        <v>0</v>
      </c>
      <c r="H194">
        <v>840</v>
      </c>
      <c r="I194" t="s">
        <v>22</v>
      </c>
      <c r="J194">
        <v>577</v>
      </c>
      <c r="K194">
        <v>0</v>
      </c>
      <c r="L194">
        <v>18.2</v>
      </c>
      <c r="M194" t="s">
        <v>829</v>
      </c>
      <c r="N194">
        <v>22</v>
      </c>
      <c r="O194">
        <v>37.552</v>
      </c>
      <c r="P194">
        <v>142.214</v>
      </c>
      <c r="Q194" t="s">
        <v>104</v>
      </c>
      <c r="R194" t="s">
        <v>54</v>
      </c>
      <c r="S194" t="s">
        <v>200</v>
      </c>
      <c r="T194">
        <v>2</v>
      </c>
      <c r="U194">
        <v>7</v>
      </c>
      <c r="V194">
        <v>577</v>
      </c>
      <c r="W194">
        <v>0</v>
      </c>
      <c r="X194">
        <v>18.2</v>
      </c>
      <c r="Y194">
        <v>22</v>
      </c>
      <c r="Z194">
        <v>5</v>
      </c>
      <c r="AA194">
        <v>5</v>
      </c>
      <c r="AB194">
        <v>0</v>
      </c>
      <c r="AC194">
        <v>840</v>
      </c>
      <c r="AD194" s="8">
        <v>39648</v>
      </c>
    </row>
    <row r="195" spans="1:30">
      <c r="A195" t="s">
        <v>1275</v>
      </c>
      <c r="B195">
        <v>6.9</v>
      </c>
      <c r="C195" s="8" t="s">
        <v>1274</v>
      </c>
      <c r="D195">
        <v>5</v>
      </c>
      <c r="E195">
        <v>5</v>
      </c>
      <c r="G195">
        <v>0</v>
      </c>
      <c r="H195">
        <v>825</v>
      </c>
      <c r="I195" t="s">
        <v>1276</v>
      </c>
      <c r="J195">
        <v>0</v>
      </c>
      <c r="K195">
        <v>0</v>
      </c>
      <c r="L195">
        <v>0</v>
      </c>
      <c r="M195" t="s">
        <v>23</v>
      </c>
      <c r="N195">
        <v>25.5</v>
      </c>
      <c r="O195">
        <v>37.549999999999997</v>
      </c>
      <c r="P195">
        <v>142.714</v>
      </c>
      <c r="Q195" t="s">
        <v>104</v>
      </c>
      <c r="R195" s="3" t="s">
        <v>54</v>
      </c>
      <c r="S195" t="s">
        <v>200</v>
      </c>
      <c r="T195">
        <v>2</v>
      </c>
      <c r="U195">
        <v>6.9</v>
      </c>
      <c r="V195">
        <v>0</v>
      </c>
      <c r="W195">
        <v>0</v>
      </c>
      <c r="X195">
        <v>0</v>
      </c>
      <c r="Y195">
        <v>25.5</v>
      </c>
      <c r="Z195">
        <v>5</v>
      </c>
      <c r="AA195">
        <v>5</v>
      </c>
      <c r="AB195">
        <v>0</v>
      </c>
      <c r="AC195">
        <v>825</v>
      </c>
      <c r="AD195" s="8">
        <v>39648</v>
      </c>
    </row>
    <row r="196" spans="1:30">
      <c r="A196" t="s">
        <v>443</v>
      </c>
      <c r="B196">
        <v>6.9</v>
      </c>
      <c r="C196" s="8" t="s">
        <v>444</v>
      </c>
      <c r="D196">
        <v>7</v>
      </c>
      <c r="E196">
        <v>7</v>
      </c>
      <c r="F196" t="s">
        <v>21</v>
      </c>
      <c r="G196">
        <v>0</v>
      </c>
      <c r="H196">
        <v>1206</v>
      </c>
      <c r="I196" t="s">
        <v>22</v>
      </c>
      <c r="J196">
        <v>0</v>
      </c>
      <c r="K196">
        <v>2.4529999999999998</v>
      </c>
      <c r="L196">
        <v>31</v>
      </c>
      <c r="M196" t="s">
        <v>23</v>
      </c>
      <c r="N196">
        <v>21</v>
      </c>
      <c r="O196">
        <v>-8.3190000000000008</v>
      </c>
      <c r="P196">
        <v>116.627</v>
      </c>
      <c r="Q196" t="s">
        <v>445</v>
      </c>
      <c r="R196" t="s">
        <v>54</v>
      </c>
      <c r="S196" t="s">
        <v>108</v>
      </c>
      <c r="T196">
        <v>2</v>
      </c>
      <c r="U196">
        <v>6.9</v>
      </c>
      <c r="V196">
        <v>0</v>
      </c>
      <c r="W196">
        <v>2.4529999999999998</v>
      </c>
      <c r="X196">
        <v>31</v>
      </c>
      <c r="Y196">
        <v>21</v>
      </c>
      <c r="Z196">
        <v>7</v>
      </c>
      <c r="AA196">
        <v>7</v>
      </c>
      <c r="AB196">
        <v>0</v>
      </c>
      <c r="AC196">
        <v>1206</v>
      </c>
      <c r="AD196" s="8">
        <v>43331</v>
      </c>
    </row>
    <row r="197" spans="1:30">
      <c r="A197" t="s">
        <v>1683</v>
      </c>
      <c r="B197">
        <v>7.5</v>
      </c>
      <c r="C197" s="8" t="s">
        <v>1684</v>
      </c>
      <c r="D197">
        <v>0</v>
      </c>
      <c r="E197">
        <v>6</v>
      </c>
      <c r="G197">
        <v>0</v>
      </c>
      <c r="H197">
        <v>865</v>
      </c>
      <c r="I197" t="s">
        <v>22</v>
      </c>
      <c r="J197">
        <v>234</v>
      </c>
      <c r="K197">
        <v>0</v>
      </c>
      <c r="L197">
        <v>0</v>
      </c>
      <c r="M197" t="s">
        <v>829</v>
      </c>
      <c r="N197">
        <v>33</v>
      </c>
      <c r="O197">
        <v>-4.1020000000000003</v>
      </c>
      <c r="P197">
        <v>123.907</v>
      </c>
      <c r="Q197" t="s">
        <v>1685</v>
      </c>
      <c r="R197" t="s">
        <v>54</v>
      </c>
      <c r="S197" t="s">
        <v>108</v>
      </c>
      <c r="T197">
        <v>2</v>
      </c>
      <c r="U197">
        <v>7.5</v>
      </c>
      <c r="V197">
        <v>234</v>
      </c>
      <c r="W197">
        <v>0</v>
      </c>
      <c r="X197">
        <v>0</v>
      </c>
      <c r="Y197">
        <v>33</v>
      </c>
      <c r="Z197">
        <v>0</v>
      </c>
      <c r="AA197">
        <v>6</v>
      </c>
      <c r="AB197">
        <v>0</v>
      </c>
      <c r="AC197">
        <v>865</v>
      </c>
      <c r="AD197" s="8">
        <v>37183</v>
      </c>
    </row>
    <row r="198" spans="1:30">
      <c r="A198" t="s">
        <v>604</v>
      </c>
      <c r="B198">
        <v>6.6</v>
      </c>
      <c r="C198" s="8" t="s">
        <v>605</v>
      </c>
      <c r="D198">
        <v>3</v>
      </c>
      <c r="E198">
        <v>3</v>
      </c>
      <c r="F198" t="s">
        <v>21</v>
      </c>
      <c r="G198">
        <v>0</v>
      </c>
      <c r="H198">
        <v>677</v>
      </c>
      <c r="I198" t="s">
        <v>22</v>
      </c>
      <c r="J198">
        <v>0</v>
      </c>
      <c r="K198">
        <v>2.0219999999999998</v>
      </c>
      <c r="L198">
        <v>16</v>
      </c>
      <c r="M198" t="s">
        <v>23</v>
      </c>
      <c r="N198">
        <v>614</v>
      </c>
      <c r="O198">
        <v>-4.8625999999999996</v>
      </c>
      <c r="P198">
        <v>108.163</v>
      </c>
      <c r="Q198" t="s">
        <v>606</v>
      </c>
      <c r="R198" t="s">
        <v>54</v>
      </c>
      <c r="S198" t="s">
        <v>108</v>
      </c>
      <c r="T198">
        <v>2</v>
      </c>
      <c r="U198">
        <v>6.6</v>
      </c>
      <c r="V198">
        <v>0</v>
      </c>
      <c r="W198">
        <v>2.0219999999999998</v>
      </c>
      <c r="X198">
        <v>16</v>
      </c>
      <c r="Y198">
        <v>614</v>
      </c>
      <c r="Z198">
        <v>3</v>
      </c>
      <c r="AA198">
        <v>3</v>
      </c>
      <c r="AB198">
        <v>0</v>
      </c>
      <c r="AC198">
        <v>677</v>
      </c>
      <c r="AD198" s="8">
        <v>42662</v>
      </c>
    </row>
    <row r="199" spans="1:30">
      <c r="A199" t="s">
        <v>1451</v>
      </c>
      <c r="B199">
        <v>6.5</v>
      </c>
      <c r="C199" s="8" t="s">
        <v>1452</v>
      </c>
      <c r="D199">
        <v>3</v>
      </c>
      <c r="E199">
        <v>6</v>
      </c>
      <c r="G199">
        <v>0</v>
      </c>
      <c r="H199">
        <v>651</v>
      </c>
      <c r="I199" t="s">
        <v>22</v>
      </c>
      <c r="J199">
        <v>358</v>
      </c>
      <c r="K199">
        <v>0</v>
      </c>
      <c r="L199">
        <v>20.7</v>
      </c>
      <c r="M199" t="s">
        <v>36</v>
      </c>
      <c r="N199">
        <v>21</v>
      </c>
      <c r="O199">
        <v>2.1640000000000001</v>
      </c>
      <c r="P199">
        <v>96.786000000000001</v>
      </c>
      <c r="Q199" t="s">
        <v>197</v>
      </c>
      <c r="R199" t="s">
        <v>54</v>
      </c>
      <c r="S199" t="s">
        <v>108</v>
      </c>
      <c r="T199">
        <v>2</v>
      </c>
      <c r="U199">
        <v>6.5</v>
      </c>
      <c r="V199">
        <v>358</v>
      </c>
      <c r="W199">
        <v>0</v>
      </c>
      <c r="X199">
        <v>20.7</v>
      </c>
      <c r="Y199">
        <v>21</v>
      </c>
      <c r="Z199">
        <v>3</v>
      </c>
      <c r="AA199">
        <v>6</v>
      </c>
      <c r="AB199">
        <v>0</v>
      </c>
      <c r="AC199">
        <v>651</v>
      </c>
      <c r="AD199" s="8">
        <v>38675</v>
      </c>
    </row>
    <row r="200" spans="1:30">
      <c r="A200" t="s">
        <v>1381</v>
      </c>
      <c r="B200">
        <v>6.7</v>
      </c>
      <c r="C200" s="8" t="s">
        <v>1382</v>
      </c>
      <c r="D200">
        <v>0</v>
      </c>
      <c r="E200">
        <v>6</v>
      </c>
      <c r="G200">
        <v>0</v>
      </c>
      <c r="H200">
        <v>691</v>
      </c>
      <c r="I200" t="s">
        <v>22</v>
      </c>
      <c r="J200">
        <v>253</v>
      </c>
      <c r="K200">
        <v>0</v>
      </c>
      <c r="L200">
        <v>40.299999999999997</v>
      </c>
      <c r="M200" t="s">
        <v>829</v>
      </c>
      <c r="N200">
        <v>12</v>
      </c>
      <c r="O200">
        <v>-1.034</v>
      </c>
      <c r="P200">
        <v>126.976</v>
      </c>
      <c r="Q200" t="s">
        <v>1383</v>
      </c>
      <c r="R200" t="s">
        <v>54</v>
      </c>
      <c r="S200" t="s">
        <v>108</v>
      </c>
      <c r="T200">
        <v>2</v>
      </c>
      <c r="U200">
        <v>6.7</v>
      </c>
      <c r="V200">
        <v>253</v>
      </c>
      <c r="W200">
        <v>0</v>
      </c>
      <c r="X200">
        <v>40.299999999999997</v>
      </c>
      <c r="Y200">
        <v>12</v>
      </c>
      <c r="Z200">
        <v>0</v>
      </c>
      <c r="AA200">
        <v>6</v>
      </c>
      <c r="AB200">
        <v>0</v>
      </c>
      <c r="AC200">
        <v>691</v>
      </c>
      <c r="AD200" s="8">
        <v>39133</v>
      </c>
    </row>
    <row r="201" spans="1:30">
      <c r="A201" t="s">
        <v>1298</v>
      </c>
      <c r="B201">
        <v>7.4</v>
      </c>
      <c r="C201" s="8" t="s">
        <v>1299</v>
      </c>
      <c r="D201">
        <v>5</v>
      </c>
      <c r="E201">
        <v>7</v>
      </c>
      <c r="G201">
        <v>0</v>
      </c>
      <c r="H201">
        <v>914</v>
      </c>
      <c r="I201" t="s">
        <v>22</v>
      </c>
      <c r="J201">
        <v>607</v>
      </c>
      <c r="K201">
        <v>0</v>
      </c>
      <c r="L201">
        <v>16.399999999999999</v>
      </c>
      <c r="M201" t="s">
        <v>829</v>
      </c>
      <c r="N201">
        <v>26</v>
      </c>
      <c r="O201">
        <v>2.7679999999999998</v>
      </c>
      <c r="P201">
        <v>95.963999999999999</v>
      </c>
      <c r="Q201" t="s">
        <v>197</v>
      </c>
      <c r="R201" t="s">
        <v>54</v>
      </c>
      <c r="S201" t="s">
        <v>108</v>
      </c>
      <c r="T201">
        <v>2</v>
      </c>
      <c r="U201">
        <v>7.4</v>
      </c>
      <c r="V201">
        <v>607</v>
      </c>
      <c r="W201">
        <v>0</v>
      </c>
      <c r="X201">
        <v>16.399999999999999</v>
      </c>
      <c r="Y201">
        <v>26</v>
      </c>
      <c r="Z201">
        <v>5</v>
      </c>
      <c r="AA201">
        <v>7</v>
      </c>
      <c r="AB201">
        <v>0</v>
      </c>
      <c r="AC201">
        <v>914</v>
      </c>
      <c r="AD201" s="8">
        <v>39498</v>
      </c>
    </row>
    <row r="202" spans="1:30">
      <c r="A202" t="s">
        <v>1484</v>
      </c>
      <c r="B202">
        <v>6.6</v>
      </c>
      <c r="C202" s="8" t="s">
        <v>1485</v>
      </c>
      <c r="D202">
        <v>8</v>
      </c>
      <c r="E202">
        <v>7</v>
      </c>
      <c r="G202">
        <v>0</v>
      </c>
      <c r="H202">
        <v>805</v>
      </c>
      <c r="I202" t="s">
        <v>22</v>
      </c>
      <c r="J202">
        <v>401</v>
      </c>
      <c r="K202">
        <v>0</v>
      </c>
      <c r="L202">
        <v>22.9</v>
      </c>
      <c r="M202" t="s">
        <v>829</v>
      </c>
      <c r="N202">
        <v>10</v>
      </c>
      <c r="O202">
        <v>33.807000000000002</v>
      </c>
      <c r="P202">
        <v>130.131</v>
      </c>
      <c r="Q202" t="s">
        <v>1486</v>
      </c>
      <c r="R202" t="s">
        <v>54</v>
      </c>
      <c r="S202" t="s">
        <v>200</v>
      </c>
      <c r="T202">
        <v>2</v>
      </c>
      <c r="U202">
        <v>6.6</v>
      </c>
      <c r="V202">
        <v>401</v>
      </c>
      <c r="W202">
        <v>0</v>
      </c>
      <c r="X202">
        <v>22.9</v>
      </c>
      <c r="Y202">
        <v>10</v>
      </c>
      <c r="Z202">
        <v>8</v>
      </c>
      <c r="AA202">
        <v>7</v>
      </c>
      <c r="AB202">
        <v>0</v>
      </c>
      <c r="AC202">
        <v>805</v>
      </c>
      <c r="AD202" s="8">
        <v>38431</v>
      </c>
    </row>
    <row r="203" spans="1:30">
      <c r="A203" t="s">
        <v>1286</v>
      </c>
      <c r="B203">
        <v>7.2</v>
      </c>
      <c r="C203" s="8" t="s">
        <v>1287</v>
      </c>
      <c r="D203">
        <v>0</v>
      </c>
      <c r="E203">
        <v>7</v>
      </c>
      <c r="G203">
        <v>0</v>
      </c>
      <c r="H203">
        <v>798</v>
      </c>
      <c r="I203" t="s">
        <v>22</v>
      </c>
      <c r="J203">
        <v>532</v>
      </c>
      <c r="K203">
        <v>0</v>
      </c>
      <c r="L203">
        <v>25.9</v>
      </c>
      <c r="M203" t="s">
        <v>829</v>
      </c>
      <c r="N203">
        <v>10</v>
      </c>
      <c r="O203">
        <v>35.49</v>
      </c>
      <c r="P203">
        <v>81.466999999999999</v>
      </c>
      <c r="Q203" t="s">
        <v>875</v>
      </c>
      <c r="R203" t="s">
        <v>54</v>
      </c>
      <c r="S203" t="s">
        <v>1752</v>
      </c>
      <c r="T203">
        <v>2</v>
      </c>
      <c r="U203">
        <v>7.2</v>
      </c>
      <c r="V203">
        <v>532</v>
      </c>
      <c r="W203">
        <v>0</v>
      </c>
      <c r="X203">
        <v>25.9</v>
      </c>
      <c r="Y203">
        <v>10</v>
      </c>
      <c r="Z203">
        <v>0</v>
      </c>
      <c r="AA203">
        <v>7</v>
      </c>
      <c r="AB203">
        <v>0</v>
      </c>
      <c r="AC203">
        <v>798</v>
      </c>
      <c r="AD203" s="8">
        <v>39527</v>
      </c>
    </row>
    <row r="204" spans="1:30">
      <c r="A204" t="s">
        <v>207</v>
      </c>
      <c r="B204">
        <v>7</v>
      </c>
      <c r="C204" s="8" t="s">
        <v>208</v>
      </c>
      <c r="D204">
        <v>7</v>
      </c>
      <c r="E204">
        <v>7</v>
      </c>
      <c r="F204" t="s">
        <v>45</v>
      </c>
      <c r="G204">
        <v>1</v>
      </c>
      <c r="H204">
        <v>1052</v>
      </c>
      <c r="I204" t="s">
        <v>22</v>
      </c>
      <c r="J204">
        <v>0</v>
      </c>
      <c r="K204">
        <v>2.3780000000000001</v>
      </c>
      <c r="L204">
        <v>35</v>
      </c>
      <c r="M204" t="s">
        <v>23</v>
      </c>
      <c r="N204">
        <v>43</v>
      </c>
      <c r="O204">
        <v>38.475200000000001</v>
      </c>
      <c r="P204">
        <v>141.607</v>
      </c>
      <c r="Q204" t="s">
        <v>209</v>
      </c>
      <c r="R204" t="s">
        <v>54</v>
      </c>
      <c r="S204" t="s">
        <v>200</v>
      </c>
      <c r="T204">
        <v>2</v>
      </c>
      <c r="U204">
        <v>7</v>
      </c>
      <c r="V204">
        <v>0</v>
      </c>
      <c r="W204">
        <v>2.3780000000000001</v>
      </c>
      <c r="X204">
        <v>35</v>
      </c>
      <c r="Y204">
        <v>43</v>
      </c>
      <c r="Z204">
        <v>7</v>
      </c>
      <c r="AA204">
        <v>7</v>
      </c>
      <c r="AB204">
        <v>1</v>
      </c>
      <c r="AC204">
        <v>1052</v>
      </c>
      <c r="AD204" s="8">
        <v>44275</v>
      </c>
    </row>
    <row r="205" spans="1:30">
      <c r="A205" t="s">
        <v>1432</v>
      </c>
      <c r="B205">
        <v>7.6</v>
      </c>
      <c r="C205" s="8" t="s">
        <v>1433</v>
      </c>
      <c r="D205">
        <v>0</v>
      </c>
      <c r="E205">
        <v>8</v>
      </c>
      <c r="G205">
        <v>0</v>
      </c>
      <c r="H205">
        <v>889</v>
      </c>
      <c r="I205" t="s">
        <v>22</v>
      </c>
      <c r="J205">
        <v>579</v>
      </c>
      <c r="K205">
        <v>0</v>
      </c>
      <c r="L205">
        <v>18.5</v>
      </c>
      <c r="M205" t="s">
        <v>829</v>
      </c>
      <c r="N205">
        <v>22</v>
      </c>
      <c r="O205">
        <v>60.948999999999998</v>
      </c>
      <c r="P205">
        <v>167.089</v>
      </c>
      <c r="Q205" t="s">
        <v>1419</v>
      </c>
      <c r="R205" t="s">
        <v>54</v>
      </c>
      <c r="S205" t="s">
        <v>295</v>
      </c>
      <c r="T205">
        <v>2</v>
      </c>
      <c r="U205">
        <v>7.6</v>
      </c>
      <c r="V205">
        <v>579</v>
      </c>
      <c r="W205">
        <v>0</v>
      </c>
      <c r="X205">
        <v>18.5</v>
      </c>
      <c r="Y205">
        <v>22</v>
      </c>
      <c r="Z205">
        <v>0</v>
      </c>
      <c r="AA205">
        <v>8</v>
      </c>
      <c r="AB205">
        <v>0</v>
      </c>
      <c r="AC205">
        <v>889</v>
      </c>
      <c r="AD205" s="8">
        <v>38827</v>
      </c>
    </row>
    <row r="206" spans="1:30">
      <c r="A206" t="s">
        <v>949</v>
      </c>
      <c r="B206">
        <v>6.6</v>
      </c>
      <c r="C206" s="8" t="s">
        <v>950</v>
      </c>
      <c r="D206">
        <v>8</v>
      </c>
      <c r="E206">
        <v>8</v>
      </c>
      <c r="F206" t="s">
        <v>103</v>
      </c>
      <c r="G206">
        <v>0</v>
      </c>
      <c r="H206">
        <v>2083</v>
      </c>
      <c r="I206" t="s">
        <v>22</v>
      </c>
      <c r="J206">
        <v>548</v>
      </c>
      <c r="K206">
        <v>0</v>
      </c>
      <c r="L206">
        <v>12.6</v>
      </c>
      <c r="M206" t="s">
        <v>23</v>
      </c>
      <c r="N206">
        <v>14</v>
      </c>
      <c r="O206">
        <v>30.308</v>
      </c>
      <c r="P206">
        <v>102.88800000000001</v>
      </c>
      <c r="Q206" t="s">
        <v>951</v>
      </c>
      <c r="R206" t="s">
        <v>54</v>
      </c>
      <c r="S206" t="s">
        <v>1752</v>
      </c>
      <c r="T206">
        <v>2</v>
      </c>
      <c r="U206">
        <v>6.6</v>
      </c>
      <c r="V206">
        <v>548</v>
      </c>
      <c r="W206">
        <v>0</v>
      </c>
      <c r="X206">
        <v>12.6</v>
      </c>
      <c r="Y206">
        <v>14</v>
      </c>
      <c r="Z206">
        <v>8</v>
      </c>
      <c r="AA206">
        <v>8</v>
      </c>
      <c r="AB206">
        <v>0</v>
      </c>
      <c r="AC206">
        <v>2083</v>
      </c>
      <c r="AD206" s="8">
        <v>41384</v>
      </c>
    </row>
    <row r="207" spans="1:30">
      <c r="A207" t="s">
        <v>518</v>
      </c>
      <c r="B207">
        <v>6.6</v>
      </c>
      <c r="C207" s="8" t="s">
        <v>519</v>
      </c>
      <c r="D207">
        <v>7</v>
      </c>
      <c r="E207">
        <v>7</v>
      </c>
      <c r="F207" t="s">
        <v>45</v>
      </c>
      <c r="G207">
        <v>0</v>
      </c>
      <c r="H207">
        <v>1064</v>
      </c>
      <c r="I207" t="s">
        <v>22</v>
      </c>
      <c r="J207">
        <v>0</v>
      </c>
      <c r="K207">
        <v>0.91300000000000003</v>
      </c>
      <c r="L207">
        <v>16</v>
      </c>
      <c r="M207" t="s">
        <v>23</v>
      </c>
      <c r="N207">
        <v>7</v>
      </c>
      <c r="O207">
        <v>36.929299999999998</v>
      </c>
      <c r="P207">
        <v>27.413900000000002</v>
      </c>
      <c r="Q207" t="s">
        <v>520</v>
      </c>
      <c r="R207" t="s">
        <v>54</v>
      </c>
      <c r="S207" t="s">
        <v>302</v>
      </c>
      <c r="T207">
        <v>2</v>
      </c>
      <c r="U207">
        <v>6.6</v>
      </c>
      <c r="V207">
        <v>0</v>
      </c>
      <c r="W207">
        <v>0.91300000000000003</v>
      </c>
      <c r="X207">
        <v>16</v>
      </c>
      <c r="Y207">
        <v>7</v>
      </c>
      <c r="Z207">
        <v>7</v>
      </c>
      <c r="AA207">
        <v>7</v>
      </c>
      <c r="AB207">
        <v>0</v>
      </c>
      <c r="AC207">
        <v>1064</v>
      </c>
      <c r="AD207" s="8">
        <v>42936</v>
      </c>
    </row>
    <row r="208" spans="1:30">
      <c r="A208" t="s">
        <v>1340</v>
      </c>
      <c r="B208">
        <v>6.7</v>
      </c>
      <c r="C208" s="8" t="s">
        <v>1341</v>
      </c>
      <c r="D208">
        <v>3</v>
      </c>
      <c r="E208">
        <v>5</v>
      </c>
      <c r="G208">
        <v>0</v>
      </c>
      <c r="H208">
        <v>696</v>
      </c>
      <c r="I208" t="s">
        <v>22</v>
      </c>
      <c r="J208">
        <v>503</v>
      </c>
      <c r="K208">
        <v>0</v>
      </c>
      <c r="L208">
        <v>26.9</v>
      </c>
      <c r="M208" t="s">
        <v>829</v>
      </c>
      <c r="N208">
        <v>30</v>
      </c>
      <c r="O208">
        <v>-1.9990000000000001</v>
      </c>
      <c r="P208">
        <v>100.14100000000001</v>
      </c>
      <c r="Q208" t="s">
        <v>1231</v>
      </c>
      <c r="R208" t="s">
        <v>54</v>
      </c>
      <c r="S208" t="s">
        <v>108</v>
      </c>
      <c r="T208">
        <v>2</v>
      </c>
      <c r="U208">
        <v>6.7</v>
      </c>
      <c r="V208">
        <v>503</v>
      </c>
      <c r="W208">
        <v>0</v>
      </c>
      <c r="X208">
        <v>26.9</v>
      </c>
      <c r="Y208">
        <v>30</v>
      </c>
      <c r="Z208">
        <v>3</v>
      </c>
      <c r="AA208">
        <v>5</v>
      </c>
      <c r="AB208">
        <v>0</v>
      </c>
      <c r="AC208">
        <v>696</v>
      </c>
      <c r="AD208" s="8">
        <v>39345</v>
      </c>
    </row>
    <row r="209" spans="1:30">
      <c r="A209" t="s">
        <v>1129</v>
      </c>
      <c r="B209">
        <v>6.7</v>
      </c>
      <c r="C209" s="8" t="s">
        <v>1130</v>
      </c>
      <c r="D209">
        <v>3</v>
      </c>
      <c r="E209">
        <v>7</v>
      </c>
      <c r="G209">
        <v>0</v>
      </c>
      <c r="H209">
        <v>708</v>
      </c>
      <c r="I209" t="s">
        <v>22</v>
      </c>
      <c r="J209">
        <v>279</v>
      </c>
      <c r="K209">
        <v>0</v>
      </c>
      <c r="L209">
        <v>24.3</v>
      </c>
      <c r="M209" t="s">
        <v>829</v>
      </c>
      <c r="N209">
        <v>12</v>
      </c>
      <c r="O209">
        <v>28.411999999999999</v>
      </c>
      <c r="P209">
        <v>59.18</v>
      </c>
      <c r="Q209" t="s">
        <v>1131</v>
      </c>
      <c r="R209" t="s">
        <v>54</v>
      </c>
      <c r="S209" t="s">
        <v>498</v>
      </c>
      <c r="T209">
        <v>2</v>
      </c>
      <c r="U209">
        <v>6.7</v>
      </c>
      <c r="V209">
        <v>279</v>
      </c>
      <c r="W209">
        <v>0</v>
      </c>
      <c r="X209">
        <v>24.3</v>
      </c>
      <c r="Y209">
        <v>12</v>
      </c>
      <c r="Z209">
        <v>3</v>
      </c>
      <c r="AA209">
        <v>7</v>
      </c>
      <c r="AB209">
        <v>0</v>
      </c>
      <c r="AC209">
        <v>708</v>
      </c>
      <c r="AD209" s="8">
        <v>40532</v>
      </c>
    </row>
    <row r="210" spans="1:30">
      <c r="A210" t="s">
        <v>389</v>
      </c>
      <c r="B210">
        <v>7.3</v>
      </c>
      <c r="C210" s="8" t="s">
        <v>390</v>
      </c>
      <c r="D210">
        <v>3</v>
      </c>
      <c r="E210">
        <v>7</v>
      </c>
      <c r="F210" t="s">
        <v>21</v>
      </c>
      <c r="G210">
        <v>1</v>
      </c>
      <c r="H210">
        <v>822</v>
      </c>
      <c r="I210" t="s">
        <v>22</v>
      </c>
      <c r="J210">
        <v>0</v>
      </c>
      <c r="K210">
        <v>4.1260000000000003</v>
      </c>
      <c r="L210">
        <v>23</v>
      </c>
      <c r="M210" t="s">
        <v>23</v>
      </c>
      <c r="N210">
        <v>16.559999999999999</v>
      </c>
      <c r="O210">
        <v>55.099899999999998</v>
      </c>
      <c r="P210">
        <v>164.69900000000001</v>
      </c>
      <c r="Q210" t="s">
        <v>212</v>
      </c>
      <c r="R210" t="s">
        <v>54</v>
      </c>
      <c r="S210" t="s">
        <v>295</v>
      </c>
      <c r="T210">
        <v>2</v>
      </c>
      <c r="U210">
        <v>7.3</v>
      </c>
      <c r="V210">
        <v>0</v>
      </c>
      <c r="W210">
        <v>4.1260000000000003</v>
      </c>
      <c r="X210">
        <v>23</v>
      </c>
      <c r="Y210">
        <v>16.559999999999999</v>
      </c>
      <c r="Z210">
        <v>3</v>
      </c>
      <c r="AA210">
        <v>7</v>
      </c>
      <c r="AB210">
        <v>1</v>
      </c>
      <c r="AC210">
        <v>822</v>
      </c>
      <c r="AD210" s="8">
        <v>43454</v>
      </c>
    </row>
    <row r="211" spans="1:30">
      <c r="A211" t="s">
        <v>1384</v>
      </c>
      <c r="B211">
        <v>7.5</v>
      </c>
      <c r="C211" s="8" t="s">
        <v>1385</v>
      </c>
      <c r="D211">
        <v>6</v>
      </c>
      <c r="E211">
        <v>5</v>
      </c>
      <c r="G211">
        <v>0</v>
      </c>
      <c r="H211">
        <v>874</v>
      </c>
      <c r="I211" t="s">
        <v>22</v>
      </c>
      <c r="J211">
        <v>570</v>
      </c>
      <c r="K211">
        <v>0</v>
      </c>
      <c r="L211">
        <v>21.6</v>
      </c>
      <c r="M211" t="s">
        <v>829</v>
      </c>
      <c r="N211">
        <v>22</v>
      </c>
      <c r="O211">
        <v>1.0649999999999999</v>
      </c>
      <c r="P211">
        <v>126.282</v>
      </c>
      <c r="Q211" t="s">
        <v>794</v>
      </c>
      <c r="R211" t="s">
        <v>54</v>
      </c>
      <c r="S211" t="s">
        <v>108</v>
      </c>
      <c r="T211">
        <v>2</v>
      </c>
      <c r="U211">
        <v>7.5</v>
      </c>
      <c r="V211">
        <v>570</v>
      </c>
      <c r="W211">
        <v>0</v>
      </c>
      <c r="X211">
        <v>21.6</v>
      </c>
      <c r="Y211">
        <v>22</v>
      </c>
      <c r="Z211">
        <v>6</v>
      </c>
      <c r="AA211">
        <v>5</v>
      </c>
      <c r="AB211">
        <v>0</v>
      </c>
      <c r="AC211">
        <v>874</v>
      </c>
      <c r="AD211" s="8">
        <v>39103</v>
      </c>
    </row>
    <row r="212" spans="1:30">
      <c r="A212" t="s">
        <v>223</v>
      </c>
      <c r="B212">
        <v>7</v>
      </c>
      <c r="C212" s="8" t="s">
        <v>224</v>
      </c>
      <c r="D212">
        <v>7</v>
      </c>
      <c r="E212">
        <v>5</v>
      </c>
      <c r="F212" t="s">
        <v>21</v>
      </c>
      <c r="G212">
        <v>1</v>
      </c>
      <c r="H212">
        <v>802</v>
      </c>
      <c r="I212" t="s">
        <v>22</v>
      </c>
      <c r="J212">
        <v>0</v>
      </c>
      <c r="K212">
        <v>2.8210000000000002</v>
      </c>
      <c r="L212">
        <v>15</v>
      </c>
      <c r="M212" t="s">
        <v>23</v>
      </c>
      <c r="N212">
        <v>80</v>
      </c>
      <c r="O212">
        <v>5.0073999999999996</v>
      </c>
      <c r="P212">
        <v>127.517</v>
      </c>
      <c r="Q212" t="s">
        <v>177</v>
      </c>
      <c r="R212" t="s">
        <v>54</v>
      </c>
      <c r="S212" t="s">
        <v>75</v>
      </c>
      <c r="T212">
        <v>2</v>
      </c>
      <c r="U212">
        <v>7</v>
      </c>
      <c r="V212">
        <v>0</v>
      </c>
      <c r="W212">
        <v>2.8210000000000002</v>
      </c>
      <c r="X212">
        <v>15</v>
      </c>
      <c r="Y212">
        <v>80</v>
      </c>
      <c r="Z212">
        <v>7</v>
      </c>
      <c r="AA212">
        <v>5</v>
      </c>
      <c r="AB212">
        <v>1</v>
      </c>
      <c r="AC212">
        <v>802</v>
      </c>
      <c r="AD212" s="8">
        <v>44217</v>
      </c>
    </row>
    <row r="213" spans="1:30">
      <c r="A213" t="s">
        <v>1023</v>
      </c>
      <c r="B213">
        <v>6.7</v>
      </c>
      <c r="C213" s="8" t="s">
        <v>1024</v>
      </c>
      <c r="D213">
        <v>0</v>
      </c>
      <c r="E213">
        <v>7</v>
      </c>
      <c r="G213">
        <v>0</v>
      </c>
      <c r="H213">
        <v>691</v>
      </c>
      <c r="I213" t="s">
        <v>22</v>
      </c>
      <c r="J213">
        <v>370</v>
      </c>
      <c r="K213">
        <v>0</v>
      </c>
      <c r="L213">
        <v>15.4</v>
      </c>
      <c r="M213" t="s">
        <v>23</v>
      </c>
      <c r="N213">
        <v>16</v>
      </c>
      <c r="O213">
        <v>-1.617</v>
      </c>
      <c r="P213">
        <v>134.27600000000001</v>
      </c>
      <c r="Q213" t="s">
        <v>1025</v>
      </c>
      <c r="R213" t="s">
        <v>54</v>
      </c>
      <c r="S213" t="s">
        <v>108</v>
      </c>
      <c r="T213">
        <v>2</v>
      </c>
      <c r="U213">
        <v>6.7</v>
      </c>
      <c r="V213">
        <v>370</v>
      </c>
      <c r="W213">
        <v>0</v>
      </c>
      <c r="X213">
        <v>15.4</v>
      </c>
      <c r="Y213">
        <v>16</v>
      </c>
      <c r="Z213">
        <v>0</v>
      </c>
      <c r="AA213">
        <v>7</v>
      </c>
      <c r="AB213">
        <v>0</v>
      </c>
      <c r="AC213">
        <v>691</v>
      </c>
      <c r="AD213" s="8">
        <v>41020</v>
      </c>
    </row>
    <row r="214" spans="1:30">
      <c r="A214" t="s">
        <v>192</v>
      </c>
      <c r="B214">
        <v>7.3</v>
      </c>
      <c r="C214" s="8" t="s">
        <v>193</v>
      </c>
      <c r="D214">
        <v>9</v>
      </c>
      <c r="E214">
        <v>9</v>
      </c>
      <c r="F214" t="s">
        <v>66</v>
      </c>
      <c r="G214">
        <v>0</v>
      </c>
      <c r="H214">
        <v>1025</v>
      </c>
      <c r="I214" t="s">
        <v>22</v>
      </c>
      <c r="J214">
        <v>0</v>
      </c>
      <c r="K214">
        <v>4.6550000000000002</v>
      </c>
      <c r="L214">
        <v>9</v>
      </c>
      <c r="M214" t="s">
        <v>23</v>
      </c>
      <c r="N214">
        <v>10</v>
      </c>
      <c r="O214">
        <v>34.586100000000002</v>
      </c>
      <c r="P214">
        <v>98.255099999999999</v>
      </c>
      <c r="Q214" t="s">
        <v>194</v>
      </c>
      <c r="R214" t="s">
        <v>54</v>
      </c>
      <c r="S214" t="s">
        <v>1752</v>
      </c>
      <c r="T214">
        <v>2</v>
      </c>
      <c r="U214">
        <v>7.3</v>
      </c>
      <c r="V214">
        <v>0</v>
      </c>
      <c r="W214">
        <v>4.6550000000000002</v>
      </c>
      <c r="X214">
        <v>9</v>
      </c>
      <c r="Y214">
        <v>10</v>
      </c>
      <c r="Z214">
        <v>9</v>
      </c>
      <c r="AA214">
        <v>9</v>
      </c>
      <c r="AB214">
        <v>0</v>
      </c>
      <c r="AC214">
        <v>1025</v>
      </c>
      <c r="AD214" s="8">
        <v>44337</v>
      </c>
    </row>
    <row r="215" spans="1:30">
      <c r="A215" t="s">
        <v>248</v>
      </c>
      <c r="B215">
        <v>6.9</v>
      </c>
      <c r="C215" s="8" t="s">
        <v>249</v>
      </c>
      <c r="D215">
        <v>4</v>
      </c>
      <c r="E215">
        <v>3</v>
      </c>
      <c r="F215" t="s">
        <v>21</v>
      </c>
      <c r="G215">
        <v>0</v>
      </c>
      <c r="H215">
        <v>749</v>
      </c>
      <c r="I215" t="s">
        <v>22</v>
      </c>
      <c r="J215">
        <v>0</v>
      </c>
      <c r="K215">
        <v>2.2669999999999999</v>
      </c>
      <c r="L215">
        <v>20</v>
      </c>
      <c r="M215" t="s">
        <v>23</v>
      </c>
      <c r="N215">
        <v>624</v>
      </c>
      <c r="O215">
        <v>-6.6703999999999999</v>
      </c>
      <c r="P215">
        <v>123.49299999999999</v>
      </c>
      <c r="Q215" t="s">
        <v>250</v>
      </c>
      <c r="R215" t="s">
        <v>54</v>
      </c>
      <c r="S215" t="s">
        <v>108</v>
      </c>
      <c r="T215">
        <v>2</v>
      </c>
      <c r="U215">
        <v>6.9</v>
      </c>
      <c r="V215">
        <v>0</v>
      </c>
      <c r="W215">
        <v>2.2669999999999999</v>
      </c>
      <c r="X215">
        <v>20</v>
      </c>
      <c r="Y215">
        <v>624</v>
      </c>
      <c r="Z215">
        <v>4</v>
      </c>
      <c r="AA215">
        <v>3</v>
      </c>
      <c r="AB215">
        <v>0</v>
      </c>
      <c r="AC215">
        <v>749</v>
      </c>
      <c r="AD215" s="8">
        <v>44064</v>
      </c>
    </row>
    <row r="216" spans="1:30">
      <c r="A216" t="s">
        <v>1593</v>
      </c>
      <c r="B216">
        <v>6.6</v>
      </c>
      <c r="C216" s="8" t="s">
        <v>1594</v>
      </c>
      <c r="D216">
        <v>0</v>
      </c>
      <c r="E216">
        <v>7</v>
      </c>
      <c r="G216">
        <v>0</v>
      </c>
      <c r="H216">
        <v>670</v>
      </c>
      <c r="I216" t="s">
        <v>22</v>
      </c>
      <c r="J216">
        <v>518</v>
      </c>
      <c r="K216">
        <v>0</v>
      </c>
      <c r="L216">
        <v>24.7</v>
      </c>
      <c r="M216" t="s">
        <v>36</v>
      </c>
      <c r="N216">
        <v>10</v>
      </c>
      <c r="O216">
        <v>19.917000000000002</v>
      </c>
      <c r="P216">
        <v>95.671999999999997</v>
      </c>
      <c r="Q216" t="s">
        <v>1595</v>
      </c>
      <c r="R216" t="s">
        <v>54</v>
      </c>
      <c r="S216" t="s">
        <v>620</v>
      </c>
      <c r="T216">
        <v>2</v>
      </c>
      <c r="U216">
        <v>6.6</v>
      </c>
      <c r="V216">
        <v>518</v>
      </c>
      <c r="W216">
        <v>0</v>
      </c>
      <c r="X216">
        <v>24.7</v>
      </c>
      <c r="Y216">
        <v>10</v>
      </c>
      <c r="Z216">
        <v>0</v>
      </c>
      <c r="AA216">
        <v>7</v>
      </c>
      <c r="AB216">
        <v>0</v>
      </c>
      <c r="AC216">
        <v>670</v>
      </c>
      <c r="AD216" s="8">
        <v>37885</v>
      </c>
    </row>
    <row r="217" spans="1:30">
      <c r="A217" t="s">
        <v>795</v>
      </c>
      <c r="B217">
        <v>6.5</v>
      </c>
      <c r="C217" s="8" t="s">
        <v>796</v>
      </c>
      <c r="D217">
        <v>5</v>
      </c>
      <c r="E217">
        <v>5</v>
      </c>
      <c r="F217" t="s">
        <v>21</v>
      </c>
      <c r="G217">
        <v>1</v>
      </c>
      <c r="H217">
        <v>652</v>
      </c>
      <c r="I217" t="s">
        <v>22</v>
      </c>
      <c r="J217">
        <v>0</v>
      </c>
      <c r="K217">
        <v>1.5489999999999999</v>
      </c>
      <c r="L217">
        <v>9</v>
      </c>
      <c r="M217" t="s">
        <v>23</v>
      </c>
      <c r="N217">
        <v>35</v>
      </c>
      <c r="O217">
        <v>2.2999000000000001</v>
      </c>
      <c r="P217">
        <v>127.056</v>
      </c>
      <c r="Q217" t="s">
        <v>797</v>
      </c>
      <c r="R217" t="s">
        <v>54</v>
      </c>
      <c r="S217" t="s">
        <v>108</v>
      </c>
      <c r="T217">
        <v>2</v>
      </c>
      <c r="U217">
        <v>6.5</v>
      </c>
      <c r="V217">
        <v>0</v>
      </c>
      <c r="W217">
        <v>1.5489999999999999</v>
      </c>
      <c r="X217">
        <v>9</v>
      </c>
      <c r="Y217">
        <v>35</v>
      </c>
      <c r="Z217">
        <v>5</v>
      </c>
      <c r="AA217">
        <v>5</v>
      </c>
      <c r="AB217">
        <v>1</v>
      </c>
      <c r="AC217">
        <v>652</v>
      </c>
      <c r="AD217" s="8">
        <v>41964</v>
      </c>
    </row>
    <row r="218" spans="1:30">
      <c r="A218" t="s">
        <v>589</v>
      </c>
      <c r="B218">
        <v>6.9</v>
      </c>
      <c r="C218" s="8" t="s">
        <v>590</v>
      </c>
      <c r="D218">
        <v>9</v>
      </c>
      <c r="E218">
        <v>6</v>
      </c>
      <c r="F218" t="s">
        <v>21</v>
      </c>
      <c r="G218">
        <v>1</v>
      </c>
      <c r="H218">
        <v>1144</v>
      </c>
      <c r="I218" t="s">
        <v>22</v>
      </c>
      <c r="J218">
        <v>0</v>
      </c>
      <c r="K218">
        <v>0.67100000000000004</v>
      </c>
      <c r="L218">
        <v>10</v>
      </c>
      <c r="M218" t="s">
        <v>23</v>
      </c>
      <c r="N218">
        <v>9</v>
      </c>
      <c r="O218">
        <v>37.393099999999997</v>
      </c>
      <c r="P218">
        <v>141.387</v>
      </c>
      <c r="Q218" t="s">
        <v>104</v>
      </c>
      <c r="R218" t="s">
        <v>54</v>
      </c>
      <c r="S218" t="s">
        <v>200</v>
      </c>
      <c r="T218">
        <v>2</v>
      </c>
      <c r="U218">
        <v>6.9</v>
      </c>
      <c r="V218">
        <v>0</v>
      </c>
      <c r="W218">
        <v>0.67100000000000004</v>
      </c>
      <c r="X218">
        <v>10</v>
      </c>
      <c r="Y218">
        <v>9</v>
      </c>
      <c r="Z218">
        <v>9</v>
      </c>
      <c r="AA218">
        <v>6</v>
      </c>
      <c r="AB218">
        <v>1</v>
      </c>
      <c r="AC218">
        <v>1144</v>
      </c>
      <c r="AD218" s="8">
        <v>42695</v>
      </c>
    </row>
    <row r="219" spans="1:30">
      <c r="A219" t="s">
        <v>572</v>
      </c>
      <c r="B219">
        <v>6.7</v>
      </c>
      <c r="C219" s="8" t="s">
        <v>573</v>
      </c>
      <c r="D219">
        <v>5</v>
      </c>
      <c r="E219">
        <v>5</v>
      </c>
      <c r="F219" t="s">
        <v>21</v>
      </c>
      <c r="G219">
        <v>0</v>
      </c>
      <c r="H219">
        <v>726</v>
      </c>
      <c r="I219" t="s">
        <v>22</v>
      </c>
      <c r="J219">
        <v>0</v>
      </c>
      <c r="K219">
        <v>3.38</v>
      </c>
      <c r="L219">
        <v>17</v>
      </c>
      <c r="M219" t="s">
        <v>23</v>
      </c>
      <c r="N219">
        <v>152</v>
      </c>
      <c r="O219">
        <v>-7.5082000000000004</v>
      </c>
      <c r="P219">
        <v>127.92100000000001</v>
      </c>
      <c r="Q219" t="s">
        <v>134</v>
      </c>
      <c r="R219" t="s">
        <v>54</v>
      </c>
      <c r="S219" t="s">
        <v>108</v>
      </c>
      <c r="T219">
        <v>2</v>
      </c>
      <c r="U219">
        <v>6.7</v>
      </c>
      <c r="V219">
        <v>0</v>
      </c>
      <c r="W219">
        <v>3.38</v>
      </c>
      <c r="X219">
        <v>17</v>
      </c>
      <c r="Y219">
        <v>152</v>
      </c>
      <c r="Z219">
        <v>5</v>
      </c>
      <c r="AA219">
        <v>5</v>
      </c>
      <c r="AB219">
        <v>0</v>
      </c>
      <c r="AC219">
        <v>726</v>
      </c>
      <c r="AD219" s="8">
        <v>42725</v>
      </c>
    </row>
    <row r="220" spans="1:30">
      <c r="A220" t="s">
        <v>98</v>
      </c>
      <c r="B220">
        <v>6.7</v>
      </c>
      <c r="C220" s="8" t="s">
        <v>99</v>
      </c>
      <c r="D220">
        <v>8</v>
      </c>
      <c r="E220">
        <v>7</v>
      </c>
      <c r="F220" t="s">
        <v>21</v>
      </c>
      <c r="G220">
        <v>1</v>
      </c>
      <c r="H220">
        <v>806</v>
      </c>
      <c r="I220" t="s">
        <v>22</v>
      </c>
      <c r="J220">
        <v>0</v>
      </c>
      <c r="K220">
        <v>0.28899999999999998</v>
      </c>
      <c r="L220">
        <v>32</v>
      </c>
      <c r="M220" t="s">
        <v>23</v>
      </c>
      <c r="N220">
        <v>24</v>
      </c>
      <c r="O220">
        <v>23.342099999999999</v>
      </c>
      <c r="P220">
        <v>121.636</v>
      </c>
      <c r="Q220" t="s">
        <v>100</v>
      </c>
      <c r="R220" t="s">
        <v>54</v>
      </c>
      <c r="S220" t="s">
        <v>55</v>
      </c>
      <c r="T220">
        <v>2</v>
      </c>
      <c r="U220">
        <v>6.7</v>
      </c>
      <c r="V220">
        <v>0</v>
      </c>
      <c r="W220">
        <v>0.28899999999999998</v>
      </c>
      <c r="X220">
        <v>32</v>
      </c>
      <c r="Y220">
        <v>24</v>
      </c>
      <c r="Z220">
        <v>8</v>
      </c>
      <c r="AA220">
        <v>7</v>
      </c>
      <c r="AB220">
        <v>1</v>
      </c>
      <c r="AC220">
        <v>806</v>
      </c>
      <c r="AD220" s="8">
        <v>44642</v>
      </c>
    </row>
    <row r="221" spans="1:30">
      <c r="A221" t="s">
        <v>1417</v>
      </c>
      <c r="B221">
        <v>6.6</v>
      </c>
      <c r="C221" s="8" t="s">
        <v>1418</v>
      </c>
      <c r="D221">
        <v>0</v>
      </c>
      <c r="E221">
        <v>7</v>
      </c>
      <c r="G221">
        <v>0</v>
      </c>
      <c r="H221">
        <v>670</v>
      </c>
      <c r="I221" t="s">
        <v>22</v>
      </c>
      <c r="J221">
        <v>548</v>
      </c>
      <c r="K221">
        <v>0</v>
      </c>
      <c r="L221">
        <v>28</v>
      </c>
      <c r="M221" t="s">
        <v>829</v>
      </c>
      <c r="N221">
        <v>19</v>
      </c>
      <c r="O221">
        <v>60.771999999999998</v>
      </c>
      <c r="P221">
        <v>165.74299999999999</v>
      </c>
      <c r="Q221" t="s">
        <v>1419</v>
      </c>
      <c r="R221" t="s">
        <v>54</v>
      </c>
      <c r="S221" t="s">
        <v>295</v>
      </c>
      <c r="T221">
        <v>2</v>
      </c>
      <c r="U221">
        <v>6.6</v>
      </c>
      <c r="V221">
        <v>548</v>
      </c>
      <c r="W221">
        <v>0</v>
      </c>
      <c r="X221">
        <v>28</v>
      </c>
      <c r="Y221">
        <v>19</v>
      </c>
      <c r="Z221">
        <v>0</v>
      </c>
      <c r="AA221">
        <v>7</v>
      </c>
      <c r="AB221">
        <v>0</v>
      </c>
      <c r="AC221">
        <v>670</v>
      </c>
      <c r="AD221" s="8">
        <v>38859</v>
      </c>
    </row>
    <row r="222" spans="1:30">
      <c r="A222" t="s">
        <v>1643</v>
      </c>
      <c r="B222">
        <v>6.5</v>
      </c>
      <c r="C222" s="8" t="s">
        <v>1644</v>
      </c>
      <c r="D222">
        <v>0</v>
      </c>
      <c r="E222">
        <v>8</v>
      </c>
      <c r="G222">
        <v>0</v>
      </c>
      <c r="H222">
        <v>650</v>
      </c>
      <c r="I222" t="s">
        <v>22</v>
      </c>
      <c r="J222">
        <v>555</v>
      </c>
      <c r="K222">
        <v>0</v>
      </c>
      <c r="L222">
        <v>0</v>
      </c>
      <c r="M222" t="s">
        <v>829</v>
      </c>
      <c r="N222">
        <v>10</v>
      </c>
      <c r="O222">
        <v>35.625999999999998</v>
      </c>
      <c r="P222">
        <v>49.046999999999997</v>
      </c>
      <c r="Q222" t="s">
        <v>1645</v>
      </c>
      <c r="R222" t="s">
        <v>54</v>
      </c>
      <c r="S222" t="s">
        <v>498</v>
      </c>
      <c r="T222">
        <v>2</v>
      </c>
      <c r="U222">
        <v>6.5</v>
      </c>
      <c r="V222">
        <v>555</v>
      </c>
      <c r="W222">
        <v>0</v>
      </c>
      <c r="X222">
        <v>0</v>
      </c>
      <c r="Y222">
        <v>10</v>
      </c>
      <c r="Z222">
        <v>0</v>
      </c>
      <c r="AA222">
        <v>8</v>
      </c>
      <c r="AB222">
        <v>0</v>
      </c>
      <c r="AC222">
        <v>650</v>
      </c>
      <c r="AD222" s="8">
        <v>37429</v>
      </c>
    </row>
    <row r="223" spans="1:30">
      <c r="A223" t="s">
        <v>1089</v>
      </c>
      <c r="B223">
        <v>6.7</v>
      </c>
      <c r="C223" s="8" t="s">
        <v>1090</v>
      </c>
      <c r="D223">
        <v>6</v>
      </c>
      <c r="E223">
        <v>6</v>
      </c>
      <c r="G223">
        <v>0</v>
      </c>
      <c r="H223">
        <v>749</v>
      </c>
      <c r="I223" t="s">
        <v>22</v>
      </c>
      <c r="J223">
        <v>592</v>
      </c>
      <c r="K223">
        <v>0</v>
      </c>
      <c r="L223">
        <v>24.9</v>
      </c>
      <c r="M223" t="s">
        <v>23</v>
      </c>
      <c r="N223">
        <v>33</v>
      </c>
      <c r="O223">
        <v>39.954999999999998</v>
      </c>
      <c r="P223">
        <v>142.20500000000001</v>
      </c>
      <c r="Q223" t="s">
        <v>780</v>
      </c>
      <c r="R223" t="s">
        <v>54</v>
      </c>
      <c r="S223" t="s">
        <v>200</v>
      </c>
      <c r="T223">
        <v>2</v>
      </c>
      <c r="U223">
        <v>6.7</v>
      </c>
      <c r="V223">
        <v>592</v>
      </c>
      <c r="W223">
        <v>0</v>
      </c>
      <c r="X223">
        <v>24.9</v>
      </c>
      <c r="Y223">
        <v>33</v>
      </c>
      <c r="Z223">
        <v>6</v>
      </c>
      <c r="AA223">
        <v>6</v>
      </c>
      <c r="AB223">
        <v>0</v>
      </c>
      <c r="AC223">
        <v>749</v>
      </c>
      <c r="AD223" s="8">
        <v>40716</v>
      </c>
    </row>
    <row r="224" spans="1:30">
      <c r="A224" t="s">
        <v>1551</v>
      </c>
      <c r="B224">
        <v>6.7</v>
      </c>
      <c r="C224" s="8" t="s">
        <v>1552</v>
      </c>
      <c r="D224">
        <v>0</v>
      </c>
      <c r="E224">
        <v>5</v>
      </c>
      <c r="G224">
        <v>0</v>
      </c>
      <c r="H224">
        <v>691</v>
      </c>
      <c r="I224" t="s">
        <v>22</v>
      </c>
      <c r="J224">
        <v>386</v>
      </c>
      <c r="K224">
        <v>0</v>
      </c>
      <c r="L224">
        <v>27.6</v>
      </c>
      <c r="M224" t="s">
        <v>36</v>
      </c>
      <c r="N224">
        <v>65.8</v>
      </c>
      <c r="O224">
        <v>-9.3620000000000001</v>
      </c>
      <c r="P224">
        <v>122.839</v>
      </c>
      <c r="Q224" t="s">
        <v>1553</v>
      </c>
      <c r="R224" t="s">
        <v>54</v>
      </c>
      <c r="S224" t="s">
        <v>108</v>
      </c>
      <c r="T224">
        <v>2</v>
      </c>
      <c r="U224">
        <v>6.7</v>
      </c>
      <c r="V224">
        <v>386</v>
      </c>
      <c r="W224">
        <v>0</v>
      </c>
      <c r="X224">
        <v>27.6</v>
      </c>
      <c r="Y224">
        <v>65.8</v>
      </c>
      <c r="Z224">
        <v>0</v>
      </c>
      <c r="AA224">
        <v>5</v>
      </c>
      <c r="AB224">
        <v>0</v>
      </c>
      <c r="AC224">
        <v>691</v>
      </c>
      <c r="AD224" s="8">
        <v>38100</v>
      </c>
    </row>
    <row r="225" spans="1:30">
      <c r="A225" t="s">
        <v>739</v>
      </c>
      <c r="B225">
        <v>6.5</v>
      </c>
      <c r="C225" s="8" t="s">
        <v>740</v>
      </c>
      <c r="D225">
        <v>3</v>
      </c>
      <c r="E225">
        <v>4</v>
      </c>
      <c r="F225" t="s">
        <v>21</v>
      </c>
      <c r="G225">
        <v>0</v>
      </c>
      <c r="H225">
        <v>652</v>
      </c>
      <c r="I225" t="s">
        <v>22</v>
      </c>
      <c r="J225">
        <v>0</v>
      </c>
      <c r="K225">
        <v>2.2770000000000001</v>
      </c>
      <c r="L225">
        <v>11</v>
      </c>
      <c r="M225" t="s">
        <v>23</v>
      </c>
      <c r="N225">
        <v>460</v>
      </c>
      <c r="O225">
        <v>27.737500000000001</v>
      </c>
      <c r="P225">
        <v>139.72499999999999</v>
      </c>
      <c r="Q225" t="s">
        <v>741</v>
      </c>
      <c r="R225" t="s">
        <v>54</v>
      </c>
      <c r="S225" t="s">
        <v>200</v>
      </c>
      <c r="T225">
        <v>2</v>
      </c>
      <c r="U225">
        <v>6.5</v>
      </c>
      <c r="V225">
        <v>0</v>
      </c>
      <c r="W225">
        <v>2.2770000000000001</v>
      </c>
      <c r="X225">
        <v>11</v>
      </c>
      <c r="Y225">
        <v>460</v>
      </c>
      <c r="Z225">
        <v>3</v>
      </c>
      <c r="AA225">
        <v>4</v>
      </c>
      <c r="AB225">
        <v>0</v>
      </c>
      <c r="AC225">
        <v>652</v>
      </c>
      <c r="AD225" s="8">
        <v>42178</v>
      </c>
    </row>
    <row r="226" spans="1:30">
      <c r="A226" t="s">
        <v>1270</v>
      </c>
      <c r="B226">
        <v>6.8</v>
      </c>
      <c r="C226" s="8" t="s">
        <v>1271</v>
      </c>
      <c r="D226">
        <v>8</v>
      </c>
      <c r="E226">
        <v>7</v>
      </c>
      <c r="G226">
        <v>0</v>
      </c>
      <c r="H226">
        <v>1046</v>
      </c>
      <c r="I226" t="s">
        <v>22</v>
      </c>
      <c r="J226">
        <v>633</v>
      </c>
      <c r="K226">
        <v>0</v>
      </c>
      <c r="L226">
        <v>20.2</v>
      </c>
      <c r="M226" t="s">
        <v>829</v>
      </c>
      <c r="N226">
        <v>108</v>
      </c>
      <c r="O226">
        <v>39.802</v>
      </c>
      <c r="P226">
        <v>141.464</v>
      </c>
      <c r="Q226" t="s">
        <v>1272</v>
      </c>
      <c r="R226" t="s">
        <v>54</v>
      </c>
      <c r="S226" t="s">
        <v>200</v>
      </c>
      <c r="T226">
        <v>2</v>
      </c>
      <c r="U226">
        <v>6.8</v>
      </c>
      <c r="V226">
        <v>633</v>
      </c>
      <c r="W226">
        <v>0</v>
      </c>
      <c r="X226">
        <v>20.2</v>
      </c>
      <c r="Y226">
        <v>108</v>
      </c>
      <c r="Z226">
        <v>8</v>
      </c>
      <c r="AA226">
        <v>7</v>
      </c>
      <c r="AB226">
        <v>0</v>
      </c>
      <c r="AC226">
        <v>1046</v>
      </c>
      <c r="AD226" s="8">
        <v>39652</v>
      </c>
    </row>
    <row r="227" spans="1:30">
      <c r="A227" t="s">
        <v>1148</v>
      </c>
      <c r="B227">
        <v>7.6</v>
      </c>
      <c r="C227" s="8" t="s">
        <v>1149</v>
      </c>
      <c r="D227">
        <v>5</v>
      </c>
      <c r="E227">
        <v>3</v>
      </c>
      <c r="G227">
        <v>0</v>
      </c>
      <c r="H227">
        <v>902</v>
      </c>
      <c r="I227" t="s">
        <v>22</v>
      </c>
      <c r="J227">
        <v>340</v>
      </c>
      <c r="K227">
        <v>0</v>
      </c>
      <c r="L227">
        <v>15.1</v>
      </c>
      <c r="M227" t="s">
        <v>829</v>
      </c>
      <c r="N227">
        <v>578</v>
      </c>
      <c r="O227">
        <v>6.4969999999999999</v>
      </c>
      <c r="P227">
        <v>123.48</v>
      </c>
      <c r="Q227" t="s">
        <v>1150</v>
      </c>
      <c r="R227" t="s">
        <v>54</v>
      </c>
      <c r="S227" t="s">
        <v>75</v>
      </c>
      <c r="T227">
        <v>2</v>
      </c>
      <c r="U227">
        <v>7.6</v>
      </c>
      <c r="V227">
        <v>340</v>
      </c>
      <c r="W227">
        <v>0</v>
      </c>
      <c r="X227">
        <v>15.1</v>
      </c>
      <c r="Y227">
        <v>578</v>
      </c>
      <c r="Z227">
        <v>5</v>
      </c>
      <c r="AA227">
        <v>3</v>
      </c>
      <c r="AB227">
        <v>0</v>
      </c>
      <c r="AC227">
        <v>902</v>
      </c>
      <c r="AD227" s="8">
        <v>40382</v>
      </c>
    </row>
    <row r="228" spans="1:30">
      <c r="A228" t="s">
        <v>181</v>
      </c>
      <c r="B228">
        <v>6.7</v>
      </c>
      <c r="C228" s="8" t="s">
        <v>182</v>
      </c>
      <c r="D228">
        <v>8</v>
      </c>
      <c r="E228">
        <v>5</v>
      </c>
      <c r="F228" t="s">
        <v>21</v>
      </c>
      <c r="G228">
        <v>1</v>
      </c>
      <c r="H228">
        <v>935</v>
      </c>
      <c r="I228" t="s">
        <v>22</v>
      </c>
      <c r="J228">
        <v>0</v>
      </c>
      <c r="K228">
        <v>8.1389999999999993</v>
      </c>
      <c r="L228">
        <v>12</v>
      </c>
      <c r="M228" t="s">
        <v>23</v>
      </c>
      <c r="N228">
        <v>110</v>
      </c>
      <c r="O228">
        <v>13.6989</v>
      </c>
      <c r="P228">
        <v>120.71299999999999</v>
      </c>
      <c r="Q228" t="s">
        <v>183</v>
      </c>
      <c r="R228" t="s">
        <v>54</v>
      </c>
      <c r="S228" t="s">
        <v>75</v>
      </c>
      <c r="T228">
        <v>2</v>
      </c>
      <c r="U228">
        <v>6.7</v>
      </c>
      <c r="V228">
        <v>0</v>
      </c>
      <c r="W228">
        <v>8.1389999999999993</v>
      </c>
      <c r="X228">
        <v>12</v>
      </c>
      <c r="Y228">
        <v>110</v>
      </c>
      <c r="Z228">
        <v>8</v>
      </c>
      <c r="AA228">
        <v>5</v>
      </c>
      <c r="AB228">
        <v>1</v>
      </c>
      <c r="AC228">
        <v>935</v>
      </c>
      <c r="AD228" s="8">
        <v>44400</v>
      </c>
    </row>
    <row r="229" spans="1:30">
      <c r="A229" t="s">
        <v>1529</v>
      </c>
      <c r="B229">
        <v>6.6</v>
      </c>
      <c r="C229" s="8" t="s">
        <v>1530</v>
      </c>
      <c r="D229">
        <v>0</v>
      </c>
      <c r="E229">
        <v>8</v>
      </c>
      <c r="G229">
        <v>0</v>
      </c>
      <c r="H229">
        <v>670</v>
      </c>
      <c r="I229" t="s">
        <v>22</v>
      </c>
      <c r="J229">
        <v>782</v>
      </c>
      <c r="K229">
        <v>0</v>
      </c>
      <c r="L229">
        <v>37</v>
      </c>
      <c r="M229" t="s">
        <v>829</v>
      </c>
      <c r="N229">
        <v>16</v>
      </c>
      <c r="O229">
        <v>37.225999999999999</v>
      </c>
      <c r="P229">
        <v>138.779</v>
      </c>
      <c r="Q229" t="s">
        <v>1531</v>
      </c>
      <c r="R229" t="s">
        <v>54</v>
      </c>
      <c r="S229" t="s">
        <v>200</v>
      </c>
      <c r="T229">
        <v>2</v>
      </c>
      <c r="U229">
        <v>6.6</v>
      </c>
      <c r="V229">
        <v>782</v>
      </c>
      <c r="W229">
        <v>0</v>
      </c>
      <c r="X229">
        <v>37</v>
      </c>
      <c r="Y229">
        <v>16</v>
      </c>
      <c r="Z229">
        <v>0</v>
      </c>
      <c r="AA229">
        <v>8</v>
      </c>
      <c r="AB229">
        <v>0</v>
      </c>
      <c r="AC229">
        <v>670</v>
      </c>
      <c r="AD229" s="8">
        <v>38283</v>
      </c>
    </row>
    <row r="230" spans="1:30">
      <c r="A230" t="s">
        <v>1064</v>
      </c>
      <c r="B230">
        <v>7.1</v>
      </c>
      <c r="C230" s="8" t="s">
        <v>1065</v>
      </c>
      <c r="D230">
        <v>9</v>
      </c>
      <c r="E230">
        <v>9</v>
      </c>
      <c r="G230">
        <v>0</v>
      </c>
      <c r="H230">
        <v>1096</v>
      </c>
      <c r="I230" t="s">
        <v>22</v>
      </c>
      <c r="J230">
        <v>693</v>
      </c>
      <c r="K230">
        <v>0</v>
      </c>
      <c r="L230">
        <v>19.7</v>
      </c>
      <c r="M230" t="s">
        <v>23</v>
      </c>
      <c r="N230">
        <v>18</v>
      </c>
      <c r="O230">
        <v>38.720999999999997</v>
      </c>
      <c r="P230">
        <v>43.508000000000003</v>
      </c>
      <c r="Q230" t="s">
        <v>1066</v>
      </c>
      <c r="R230" t="s">
        <v>54</v>
      </c>
      <c r="S230" t="s">
        <v>302</v>
      </c>
      <c r="T230">
        <v>2</v>
      </c>
      <c r="U230">
        <v>7.1</v>
      </c>
      <c r="V230">
        <v>693</v>
      </c>
      <c r="W230">
        <v>0</v>
      </c>
      <c r="X230">
        <v>19.7</v>
      </c>
      <c r="Y230">
        <v>18</v>
      </c>
      <c r="Z230">
        <v>9</v>
      </c>
      <c r="AA230">
        <v>9</v>
      </c>
      <c r="AB230">
        <v>0</v>
      </c>
      <c r="AC230">
        <v>1096</v>
      </c>
      <c r="AD230" s="8">
        <v>40839</v>
      </c>
    </row>
    <row r="231" spans="1:30">
      <c r="A231" t="s">
        <v>299</v>
      </c>
      <c r="B231">
        <v>6.7</v>
      </c>
      <c r="C231" s="8" t="s">
        <v>300</v>
      </c>
      <c r="D231">
        <v>8</v>
      </c>
      <c r="E231">
        <v>9</v>
      </c>
      <c r="F231" t="s">
        <v>66</v>
      </c>
      <c r="G231">
        <v>0</v>
      </c>
      <c r="H231">
        <v>1247</v>
      </c>
      <c r="I231" t="s">
        <v>22</v>
      </c>
      <c r="J231">
        <v>0</v>
      </c>
      <c r="K231">
        <v>0.87</v>
      </c>
      <c r="L231">
        <v>49</v>
      </c>
      <c r="M231" t="s">
        <v>23</v>
      </c>
      <c r="N231">
        <v>10</v>
      </c>
      <c r="O231">
        <v>38.431199999999997</v>
      </c>
      <c r="P231">
        <v>39.060899999999997</v>
      </c>
      <c r="Q231" t="s">
        <v>301</v>
      </c>
      <c r="R231" t="s">
        <v>54</v>
      </c>
      <c r="S231" t="s">
        <v>302</v>
      </c>
      <c r="T231">
        <v>2</v>
      </c>
      <c r="U231">
        <v>6.7</v>
      </c>
      <c r="V231">
        <v>0</v>
      </c>
      <c r="W231">
        <v>0.87</v>
      </c>
      <c r="X231">
        <v>49</v>
      </c>
      <c r="Y231">
        <v>10</v>
      </c>
      <c r="Z231">
        <v>8</v>
      </c>
      <c r="AA231">
        <v>9</v>
      </c>
      <c r="AB231">
        <v>0</v>
      </c>
      <c r="AC231">
        <v>1247</v>
      </c>
      <c r="AD231" s="8">
        <v>43854</v>
      </c>
    </row>
    <row r="232" spans="1:30">
      <c r="A232" t="s">
        <v>1716</v>
      </c>
      <c r="B232">
        <v>7.1</v>
      </c>
      <c r="C232" s="8" t="s">
        <v>1717</v>
      </c>
      <c r="D232">
        <v>0</v>
      </c>
      <c r="E232">
        <v>7</v>
      </c>
      <c r="G232">
        <v>0</v>
      </c>
      <c r="H232">
        <v>776</v>
      </c>
      <c r="I232" t="s">
        <v>22</v>
      </c>
      <c r="J232">
        <v>426</v>
      </c>
      <c r="K232">
        <v>0</v>
      </c>
      <c r="L232">
        <v>0</v>
      </c>
      <c r="M232" t="s">
        <v>829</v>
      </c>
      <c r="N232">
        <v>35</v>
      </c>
      <c r="O232">
        <v>1.2709999999999999</v>
      </c>
      <c r="P232">
        <v>126.249</v>
      </c>
      <c r="Q232" t="s">
        <v>794</v>
      </c>
      <c r="R232" t="s">
        <v>54</v>
      </c>
      <c r="S232" t="s">
        <v>108</v>
      </c>
      <c r="T232">
        <v>2</v>
      </c>
      <c r="U232">
        <v>7.1</v>
      </c>
      <c r="V232">
        <v>426</v>
      </c>
      <c r="W232">
        <v>0</v>
      </c>
      <c r="X232">
        <v>0</v>
      </c>
      <c r="Y232">
        <v>35</v>
      </c>
      <c r="Z232">
        <v>0</v>
      </c>
      <c r="AA232">
        <v>7</v>
      </c>
      <c r="AB232">
        <v>0</v>
      </c>
      <c r="AC232">
        <v>776</v>
      </c>
      <c r="AD232" s="8">
        <v>36946</v>
      </c>
    </row>
    <row r="233" spans="1:30">
      <c r="A233" t="s">
        <v>1296</v>
      </c>
      <c r="B233">
        <v>6.5</v>
      </c>
      <c r="C233" s="8" t="s">
        <v>1297</v>
      </c>
      <c r="D233">
        <v>4</v>
      </c>
      <c r="E233">
        <v>6</v>
      </c>
      <c r="G233">
        <v>0</v>
      </c>
      <c r="H233">
        <v>654</v>
      </c>
      <c r="I233" t="s">
        <v>22</v>
      </c>
      <c r="J233">
        <v>429</v>
      </c>
      <c r="K233">
        <v>0</v>
      </c>
      <c r="L233">
        <v>28.3</v>
      </c>
      <c r="M233" t="s">
        <v>829</v>
      </c>
      <c r="N233">
        <v>22</v>
      </c>
      <c r="O233">
        <v>-2.4049999999999998</v>
      </c>
      <c r="P233">
        <v>99.930999999999997</v>
      </c>
      <c r="Q233" t="s">
        <v>626</v>
      </c>
      <c r="R233" t="s">
        <v>54</v>
      </c>
      <c r="S233" t="s">
        <v>108</v>
      </c>
      <c r="T233">
        <v>2</v>
      </c>
      <c r="U233">
        <v>6.5</v>
      </c>
      <c r="V233">
        <v>429</v>
      </c>
      <c r="W233">
        <v>0</v>
      </c>
      <c r="X233">
        <v>28.3</v>
      </c>
      <c r="Y233">
        <v>22</v>
      </c>
      <c r="Z233">
        <v>4</v>
      </c>
      <c r="AA233">
        <v>6</v>
      </c>
      <c r="AB233">
        <v>0</v>
      </c>
      <c r="AC233">
        <v>654</v>
      </c>
      <c r="AD233" s="8">
        <v>39502</v>
      </c>
    </row>
    <row r="234" spans="1:30">
      <c r="A234" t="s">
        <v>1707</v>
      </c>
      <c r="B234">
        <v>6.8</v>
      </c>
      <c r="C234" s="8" t="s">
        <v>1708</v>
      </c>
      <c r="D234">
        <v>0</v>
      </c>
      <c r="E234">
        <v>7</v>
      </c>
      <c r="G234">
        <v>0</v>
      </c>
      <c r="H234">
        <v>711</v>
      </c>
      <c r="I234" t="s">
        <v>22</v>
      </c>
      <c r="J234">
        <v>596</v>
      </c>
      <c r="K234">
        <v>0</v>
      </c>
      <c r="L234">
        <v>0</v>
      </c>
      <c r="M234" t="s">
        <v>829</v>
      </c>
      <c r="N234">
        <v>50</v>
      </c>
      <c r="O234">
        <v>34.082999999999998</v>
      </c>
      <c r="P234">
        <v>132.52600000000001</v>
      </c>
      <c r="Q234" t="s">
        <v>1709</v>
      </c>
      <c r="R234" t="s">
        <v>54</v>
      </c>
      <c r="S234" t="s">
        <v>200</v>
      </c>
      <c r="T234">
        <v>2</v>
      </c>
      <c r="U234">
        <v>6.8</v>
      </c>
      <c r="V234">
        <v>596</v>
      </c>
      <c r="W234">
        <v>0</v>
      </c>
      <c r="X234">
        <v>0</v>
      </c>
      <c r="Y234">
        <v>50</v>
      </c>
      <c r="Z234">
        <v>0</v>
      </c>
      <c r="AA234">
        <v>7</v>
      </c>
      <c r="AB234">
        <v>0</v>
      </c>
      <c r="AC234">
        <v>711</v>
      </c>
      <c r="AD234" s="8">
        <v>36974</v>
      </c>
    </row>
    <row r="235" spans="1:30">
      <c r="A235" t="s">
        <v>1100</v>
      </c>
      <c r="B235">
        <v>6.9</v>
      </c>
      <c r="C235" s="8" t="s">
        <v>1101</v>
      </c>
      <c r="D235">
        <v>7</v>
      </c>
      <c r="E235">
        <v>9</v>
      </c>
      <c r="G235">
        <v>0</v>
      </c>
      <c r="H235">
        <v>1154</v>
      </c>
      <c r="I235" t="s">
        <v>22</v>
      </c>
      <c r="J235">
        <v>335</v>
      </c>
      <c r="K235">
        <v>0</v>
      </c>
      <c r="L235">
        <v>18.2</v>
      </c>
      <c r="M235" t="s">
        <v>23</v>
      </c>
      <c r="N235">
        <v>8</v>
      </c>
      <c r="O235">
        <v>20.687000000000001</v>
      </c>
      <c r="P235">
        <v>99.822000000000003</v>
      </c>
      <c r="Q235" t="s">
        <v>1102</v>
      </c>
      <c r="R235" t="s">
        <v>54</v>
      </c>
      <c r="S235" t="s">
        <v>620</v>
      </c>
      <c r="T235">
        <v>2</v>
      </c>
      <c r="U235">
        <v>6.9</v>
      </c>
      <c r="V235">
        <v>335</v>
      </c>
      <c r="W235">
        <v>0</v>
      </c>
      <c r="X235">
        <v>18.2</v>
      </c>
      <c r="Y235">
        <v>8</v>
      </c>
      <c r="Z235">
        <v>7</v>
      </c>
      <c r="AA235">
        <v>9</v>
      </c>
      <c r="AB235">
        <v>0</v>
      </c>
      <c r="AC235">
        <v>1154</v>
      </c>
      <c r="AD235" s="8">
        <v>40626</v>
      </c>
    </row>
    <row r="236" spans="1:30">
      <c r="A236" t="s">
        <v>940</v>
      </c>
      <c r="B236">
        <v>8.3000000000000007</v>
      </c>
      <c r="C236" s="8" t="s">
        <v>941</v>
      </c>
      <c r="D236">
        <v>5</v>
      </c>
      <c r="E236">
        <v>5</v>
      </c>
      <c r="F236" t="s">
        <v>21</v>
      </c>
      <c r="G236">
        <v>1</v>
      </c>
      <c r="H236">
        <v>1115</v>
      </c>
      <c r="I236" t="s">
        <v>22</v>
      </c>
      <c r="J236">
        <v>385</v>
      </c>
      <c r="K236">
        <v>0</v>
      </c>
      <c r="L236">
        <v>10</v>
      </c>
      <c r="M236" t="s">
        <v>23</v>
      </c>
      <c r="N236">
        <v>598.1</v>
      </c>
      <c r="O236">
        <v>54.892000000000003</v>
      </c>
      <c r="P236">
        <v>153.221</v>
      </c>
      <c r="Q236" t="s">
        <v>902</v>
      </c>
      <c r="R236" t="s">
        <v>54</v>
      </c>
      <c r="S236" t="s">
        <v>1750</v>
      </c>
      <c r="T236">
        <v>2</v>
      </c>
      <c r="U236">
        <v>8.3000000000000007</v>
      </c>
      <c r="V236">
        <v>385</v>
      </c>
      <c r="W236">
        <v>0</v>
      </c>
      <c r="X236">
        <v>10</v>
      </c>
      <c r="Y236">
        <v>598.1</v>
      </c>
      <c r="Z236">
        <v>5</v>
      </c>
      <c r="AA236">
        <v>5</v>
      </c>
      <c r="AB236">
        <v>1</v>
      </c>
      <c r="AC236">
        <v>1115</v>
      </c>
      <c r="AD236" s="8">
        <v>41418</v>
      </c>
    </row>
    <row r="237" spans="1:30">
      <c r="A237" t="s">
        <v>901</v>
      </c>
      <c r="B237">
        <v>6.7</v>
      </c>
      <c r="C237" s="8" t="s">
        <v>939</v>
      </c>
      <c r="D237">
        <v>0</v>
      </c>
      <c r="E237">
        <v>3</v>
      </c>
      <c r="F237" t="s">
        <v>21</v>
      </c>
      <c r="G237">
        <v>1</v>
      </c>
      <c r="H237">
        <v>691</v>
      </c>
      <c r="I237" t="s">
        <v>22</v>
      </c>
      <c r="J237">
        <v>217</v>
      </c>
      <c r="K237">
        <v>0</v>
      </c>
      <c r="L237">
        <v>25.2</v>
      </c>
      <c r="M237" t="s">
        <v>36</v>
      </c>
      <c r="N237">
        <v>624</v>
      </c>
      <c r="O237">
        <v>52.234999999999999</v>
      </c>
      <c r="P237">
        <v>151.44399999999999</v>
      </c>
      <c r="Q237" t="s">
        <v>902</v>
      </c>
      <c r="R237" t="s">
        <v>54</v>
      </c>
      <c r="S237" t="s">
        <v>1750</v>
      </c>
      <c r="T237">
        <v>2</v>
      </c>
      <c r="U237">
        <v>6.7</v>
      </c>
      <c r="V237">
        <v>217</v>
      </c>
      <c r="W237">
        <v>0</v>
      </c>
      <c r="X237">
        <v>25.2</v>
      </c>
      <c r="Y237">
        <v>624</v>
      </c>
      <c r="Z237">
        <v>0</v>
      </c>
      <c r="AA237">
        <v>3</v>
      </c>
      <c r="AB237">
        <v>1</v>
      </c>
      <c r="AC237">
        <v>691</v>
      </c>
      <c r="AD237" s="8">
        <v>41418</v>
      </c>
    </row>
    <row r="238" spans="1:30">
      <c r="A238" t="s">
        <v>347</v>
      </c>
      <c r="B238">
        <v>7.3</v>
      </c>
      <c r="C238" s="8" t="s">
        <v>348</v>
      </c>
      <c r="D238">
        <v>4</v>
      </c>
      <c r="E238">
        <v>6</v>
      </c>
      <c r="F238" t="s">
        <v>21</v>
      </c>
      <c r="G238">
        <v>1</v>
      </c>
      <c r="H238">
        <v>952</v>
      </c>
      <c r="I238" t="s">
        <v>22</v>
      </c>
      <c r="J238">
        <v>0</v>
      </c>
      <c r="K238">
        <v>2.629</v>
      </c>
      <c r="L238">
        <v>16</v>
      </c>
      <c r="M238" t="s">
        <v>23</v>
      </c>
      <c r="N238">
        <v>212</v>
      </c>
      <c r="O238">
        <v>-6.4077999999999999</v>
      </c>
      <c r="P238">
        <v>129.16900000000001</v>
      </c>
      <c r="Q238" t="s">
        <v>349</v>
      </c>
      <c r="R238" t="s">
        <v>54</v>
      </c>
      <c r="S238" t="s">
        <v>108</v>
      </c>
      <c r="T238">
        <v>2</v>
      </c>
      <c r="U238">
        <v>7.3</v>
      </c>
      <c r="V238">
        <v>0</v>
      </c>
      <c r="W238">
        <v>2.629</v>
      </c>
      <c r="X238">
        <v>16</v>
      </c>
      <c r="Y238">
        <v>212</v>
      </c>
      <c r="Z238">
        <v>4</v>
      </c>
      <c r="AA238">
        <v>6</v>
      </c>
      <c r="AB238">
        <v>1</v>
      </c>
      <c r="AC238">
        <v>952</v>
      </c>
      <c r="AD238" s="8">
        <v>43640</v>
      </c>
    </row>
    <row r="239" spans="1:30">
      <c r="A239" t="s">
        <v>1409</v>
      </c>
      <c r="B239">
        <v>6.5</v>
      </c>
      <c r="C239" s="8" t="s">
        <v>1410</v>
      </c>
      <c r="D239">
        <v>0</v>
      </c>
      <c r="E239">
        <v>6</v>
      </c>
      <c r="G239">
        <v>0</v>
      </c>
      <c r="H239">
        <v>650</v>
      </c>
      <c r="I239" t="s">
        <v>22</v>
      </c>
      <c r="J239">
        <v>700</v>
      </c>
      <c r="K239">
        <v>0</v>
      </c>
      <c r="L239">
        <v>47.4</v>
      </c>
      <c r="M239" t="s">
        <v>36</v>
      </c>
      <c r="N239">
        <v>43</v>
      </c>
      <c r="O239">
        <v>51.148000000000003</v>
      </c>
      <c r="P239">
        <v>157.52199999999999</v>
      </c>
      <c r="Q239" t="s">
        <v>415</v>
      </c>
      <c r="R239" t="s">
        <v>54</v>
      </c>
      <c r="S239" t="s">
        <v>295</v>
      </c>
      <c r="T239">
        <v>2</v>
      </c>
      <c r="U239">
        <v>6.5</v>
      </c>
      <c r="V239">
        <v>700</v>
      </c>
      <c r="W239">
        <v>0</v>
      </c>
      <c r="X239">
        <v>47.4</v>
      </c>
      <c r="Y239">
        <v>43</v>
      </c>
      <c r="Z239">
        <v>0</v>
      </c>
      <c r="AA239">
        <v>6</v>
      </c>
      <c r="AB239">
        <v>0</v>
      </c>
      <c r="AC239">
        <v>650</v>
      </c>
      <c r="AD239" s="8">
        <v>38953</v>
      </c>
    </row>
    <row r="240" spans="1:30">
      <c r="A240" t="s">
        <v>617</v>
      </c>
      <c r="B240">
        <v>6.8</v>
      </c>
      <c r="C240" s="8" t="s">
        <v>618</v>
      </c>
      <c r="D240">
        <v>6</v>
      </c>
      <c r="E240">
        <v>6</v>
      </c>
      <c r="F240" t="s">
        <v>45</v>
      </c>
      <c r="G240">
        <v>0</v>
      </c>
      <c r="H240">
        <v>981</v>
      </c>
      <c r="I240" t="s">
        <v>22</v>
      </c>
      <c r="J240">
        <v>0</v>
      </c>
      <c r="K240">
        <v>1.802</v>
      </c>
      <c r="L240">
        <v>17</v>
      </c>
      <c r="M240" t="s">
        <v>23</v>
      </c>
      <c r="N240">
        <v>82</v>
      </c>
      <c r="O240">
        <v>20.922799999999999</v>
      </c>
      <c r="P240">
        <v>94.569000000000003</v>
      </c>
      <c r="Q240" t="s">
        <v>619</v>
      </c>
      <c r="R240" t="s">
        <v>54</v>
      </c>
      <c r="S240" t="s">
        <v>620</v>
      </c>
      <c r="T240">
        <v>2</v>
      </c>
      <c r="U240">
        <v>6.8</v>
      </c>
      <c r="V240">
        <v>0</v>
      </c>
      <c r="W240">
        <v>1.802</v>
      </c>
      <c r="X240">
        <v>17</v>
      </c>
      <c r="Y240">
        <v>82</v>
      </c>
      <c r="Z240">
        <v>6</v>
      </c>
      <c r="AA240">
        <v>6</v>
      </c>
      <c r="AB240">
        <v>0</v>
      </c>
      <c r="AC240">
        <v>981</v>
      </c>
      <c r="AD240" s="8">
        <v>42606</v>
      </c>
    </row>
    <row r="241" spans="1:30">
      <c r="A241" t="s">
        <v>910</v>
      </c>
      <c r="B241">
        <v>7.7</v>
      </c>
      <c r="C241" s="8" t="s">
        <v>911</v>
      </c>
      <c r="D241">
        <v>5</v>
      </c>
      <c r="E241">
        <v>8</v>
      </c>
      <c r="F241" t="s">
        <v>103</v>
      </c>
      <c r="G241">
        <v>0</v>
      </c>
      <c r="H241">
        <v>2015</v>
      </c>
      <c r="I241" t="s">
        <v>22</v>
      </c>
      <c r="J241">
        <v>0</v>
      </c>
      <c r="K241">
        <v>7.2409999999999997</v>
      </c>
      <c r="L241">
        <v>17</v>
      </c>
      <c r="M241" t="s">
        <v>23</v>
      </c>
      <c r="N241">
        <v>15</v>
      </c>
      <c r="O241">
        <v>26.951000000000001</v>
      </c>
      <c r="P241">
        <v>65.500900000000001</v>
      </c>
      <c r="Q241" t="s">
        <v>912</v>
      </c>
      <c r="R241" t="s">
        <v>54</v>
      </c>
      <c r="S241" t="s">
        <v>907</v>
      </c>
      <c r="T241">
        <v>2</v>
      </c>
      <c r="U241">
        <v>7.7</v>
      </c>
      <c r="V241">
        <v>0</v>
      </c>
      <c r="W241">
        <v>7.2409999999999997</v>
      </c>
      <c r="X241">
        <v>17</v>
      </c>
      <c r="Y241">
        <v>15</v>
      </c>
      <c r="Z241">
        <v>5</v>
      </c>
      <c r="AA241">
        <v>8</v>
      </c>
      <c r="AB241">
        <v>0</v>
      </c>
      <c r="AC241">
        <v>2015</v>
      </c>
      <c r="AD241" s="8">
        <v>41541</v>
      </c>
    </row>
    <row r="242" spans="1:30">
      <c r="A242" t="s">
        <v>707</v>
      </c>
      <c r="B242">
        <v>6.6</v>
      </c>
      <c r="C242" s="8" t="s">
        <v>708</v>
      </c>
      <c r="D242">
        <v>7</v>
      </c>
      <c r="E242">
        <v>7</v>
      </c>
      <c r="F242" t="s">
        <v>21</v>
      </c>
      <c r="G242">
        <v>0</v>
      </c>
      <c r="H242">
        <v>671</v>
      </c>
      <c r="I242" t="s">
        <v>22</v>
      </c>
      <c r="J242">
        <v>0</v>
      </c>
      <c r="K242">
        <v>2.4860000000000002</v>
      </c>
      <c r="L242">
        <v>13</v>
      </c>
      <c r="M242" t="s">
        <v>23</v>
      </c>
      <c r="N242">
        <v>18</v>
      </c>
      <c r="O242">
        <v>-0.62119999999999997</v>
      </c>
      <c r="P242">
        <v>131.262</v>
      </c>
      <c r="Q242" t="s">
        <v>709</v>
      </c>
      <c r="R242" t="s">
        <v>54</v>
      </c>
      <c r="S242" t="s">
        <v>108</v>
      </c>
      <c r="T242">
        <v>2</v>
      </c>
      <c r="U242">
        <v>6.6</v>
      </c>
      <c r="V242">
        <v>0</v>
      </c>
      <c r="W242">
        <v>2.4860000000000002</v>
      </c>
      <c r="X242">
        <v>13</v>
      </c>
      <c r="Y242">
        <v>18</v>
      </c>
      <c r="Z242">
        <v>7</v>
      </c>
      <c r="AA242">
        <v>7</v>
      </c>
      <c r="AB242">
        <v>0</v>
      </c>
      <c r="AC242">
        <v>671</v>
      </c>
      <c r="AD242" s="8">
        <v>42271</v>
      </c>
    </row>
    <row r="243" spans="1:30">
      <c r="A243" t="s">
        <v>1334</v>
      </c>
      <c r="B243">
        <v>6.8</v>
      </c>
      <c r="C243" s="8" t="s">
        <v>1335</v>
      </c>
      <c r="D243">
        <v>3</v>
      </c>
      <c r="E243">
        <v>5</v>
      </c>
      <c r="G243">
        <v>0</v>
      </c>
      <c r="H243">
        <v>713</v>
      </c>
      <c r="I243" t="s">
        <v>22</v>
      </c>
      <c r="J243">
        <v>494</v>
      </c>
      <c r="K243">
        <v>0</v>
      </c>
      <c r="L243">
        <v>23.9</v>
      </c>
      <c r="M243" t="s">
        <v>829</v>
      </c>
      <c r="N243">
        <v>21</v>
      </c>
      <c r="O243">
        <v>-3.899</v>
      </c>
      <c r="P243">
        <v>101.02</v>
      </c>
      <c r="Q243" t="s">
        <v>29</v>
      </c>
      <c r="R243" t="s">
        <v>54</v>
      </c>
      <c r="S243" t="s">
        <v>108</v>
      </c>
      <c r="T243">
        <v>2</v>
      </c>
      <c r="U243">
        <v>6.8</v>
      </c>
      <c r="V243">
        <v>494</v>
      </c>
      <c r="W243">
        <v>0</v>
      </c>
      <c r="X243">
        <v>23.9</v>
      </c>
      <c r="Y243">
        <v>21</v>
      </c>
      <c r="Z243">
        <v>3</v>
      </c>
      <c r="AA243">
        <v>5</v>
      </c>
      <c r="AB243">
        <v>0</v>
      </c>
      <c r="AC243">
        <v>713</v>
      </c>
      <c r="AD243" s="8">
        <v>39379</v>
      </c>
    </row>
    <row r="244" spans="1:30">
      <c r="A244" t="s">
        <v>1215</v>
      </c>
      <c r="B244">
        <v>6.9</v>
      </c>
      <c r="C244" s="8" t="s">
        <v>1216</v>
      </c>
      <c r="D244">
        <v>4</v>
      </c>
      <c r="E244">
        <v>6</v>
      </c>
      <c r="G244">
        <v>0</v>
      </c>
      <c r="H244">
        <v>972</v>
      </c>
      <c r="I244" t="s">
        <v>22</v>
      </c>
      <c r="J244">
        <v>397</v>
      </c>
      <c r="K244">
        <v>0</v>
      </c>
      <c r="L244">
        <v>11</v>
      </c>
      <c r="M244" t="s">
        <v>829</v>
      </c>
      <c r="N244">
        <v>130</v>
      </c>
      <c r="O244">
        <v>-6.133</v>
      </c>
      <c r="P244">
        <v>130.38499999999999</v>
      </c>
      <c r="Q244" t="s">
        <v>1002</v>
      </c>
      <c r="R244" t="s">
        <v>54</v>
      </c>
      <c r="S244" t="s">
        <v>108</v>
      </c>
      <c r="T244">
        <v>2</v>
      </c>
      <c r="U244">
        <v>6.9</v>
      </c>
      <c r="V244">
        <v>397</v>
      </c>
      <c r="W244">
        <v>0</v>
      </c>
      <c r="X244">
        <v>11</v>
      </c>
      <c r="Y244">
        <v>130</v>
      </c>
      <c r="Z244">
        <v>4</v>
      </c>
      <c r="AA244">
        <v>6</v>
      </c>
      <c r="AB244">
        <v>0</v>
      </c>
      <c r="AC244">
        <v>972</v>
      </c>
      <c r="AD244" s="8">
        <v>40110</v>
      </c>
    </row>
    <row r="245" spans="1:30">
      <c r="A245" t="s">
        <v>506</v>
      </c>
      <c r="B245">
        <v>6.7</v>
      </c>
      <c r="C245" s="8" t="s">
        <v>507</v>
      </c>
      <c r="D245">
        <v>3</v>
      </c>
      <c r="E245">
        <v>3</v>
      </c>
      <c r="F245" t="s">
        <v>21</v>
      </c>
      <c r="G245">
        <v>0</v>
      </c>
      <c r="H245">
        <v>694</v>
      </c>
      <c r="I245" t="s">
        <v>22</v>
      </c>
      <c r="J245">
        <v>0</v>
      </c>
      <c r="K245">
        <v>1.6339999999999999</v>
      </c>
      <c r="L245">
        <v>16</v>
      </c>
      <c r="M245" t="s">
        <v>23</v>
      </c>
      <c r="N245">
        <v>553.80999999999995</v>
      </c>
      <c r="O245">
        <v>-7.2168000000000001</v>
      </c>
      <c r="P245">
        <v>123.074</v>
      </c>
      <c r="Q245" t="s">
        <v>508</v>
      </c>
      <c r="R245" t="s">
        <v>54</v>
      </c>
      <c r="S245" t="s">
        <v>108</v>
      </c>
      <c r="T245">
        <v>2</v>
      </c>
      <c r="U245">
        <v>6.7</v>
      </c>
      <c r="V245">
        <v>0</v>
      </c>
      <c r="W245">
        <v>1.6339999999999999</v>
      </c>
      <c r="X245">
        <v>16</v>
      </c>
      <c r="Y245">
        <v>553.80999999999995</v>
      </c>
      <c r="Z245">
        <v>3</v>
      </c>
      <c r="AA245">
        <v>3</v>
      </c>
      <c r="AB245">
        <v>0</v>
      </c>
      <c r="AC245">
        <v>694</v>
      </c>
      <c r="AD245" s="8">
        <v>43032</v>
      </c>
    </row>
    <row r="246" spans="1:30">
      <c r="A246" t="s">
        <v>1294</v>
      </c>
      <c r="B246">
        <v>7.2</v>
      </c>
      <c r="C246" s="8" t="s">
        <v>1295</v>
      </c>
      <c r="D246">
        <v>4</v>
      </c>
      <c r="E246">
        <v>7</v>
      </c>
      <c r="G246">
        <v>0</v>
      </c>
      <c r="H246">
        <v>832</v>
      </c>
      <c r="I246" t="s">
        <v>22</v>
      </c>
      <c r="J246">
        <v>505</v>
      </c>
      <c r="K246">
        <v>0</v>
      </c>
      <c r="L246">
        <v>18.399999999999999</v>
      </c>
      <c r="M246" t="s">
        <v>829</v>
      </c>
      <c r="N246">
        <v>25</v>
      </c>
      <c r="O246">
        <v>-2.4860000000000002</v>
      </c>
      <c r="P246">
        <v>99.971999999999994</v>
      </c>
      <c r="Q246" t="s">
        <v>626</v>
      </c>
      <c r="R246" t="s">
        <v>54</v>
      </c>
      <c r="S246" t="s">
        <v>108</v>
      </c>
      <c r="T246">
        <v>2</v>
      </c>
      <c r="U246">
        <v>7.2</v>
      </c>
      <c r="V246">
        <v>505</v>
      </c>
      <c r="W246">
        <v>0</v>
      </c>
      <c r="X246">
        <v>18.399999999999999</v>
      </c>
      <c r="Y246">
        <v>25</v>
      </c>
      <c r="Z246">
        <v>4</v>
      </c>
      <c r="AA246">
        <v>7</v>
      </c>
      <c r="AB246">
        <v>0</v>
      </c>
      <c r="AC246">
        <v>832</v>
      </c>
      <c r="AD246" s="8">
        <v>39503</v>
      </c>
    </row>
    <row r="247" spans="1:30">
      <c r="A247" t="s">
        <v>1292</v>
      </c>
      <c r="B247">
        <v>6.6</v>
      </c>
      <c r="C247" s="8" t="s">
        <v>1293</v>
      </c>
      <c r="D247">
        <v>4</v>
      </c>
      <c r="E247">
        <v>6</v>
      </c>
      <c r="G247">
        <v>0</v>
      </c>
      <c r="H247">
        <v>674</v>
      </c>
      <c r="I247" t="s">
        <v>22</v>
      </c>
      <c r="J247">
        <v>421</v>
      </c>
      <c r="K247">
        <v>0</v>
      </c>
      <c r="L247">
        <v>17.7</v>
      </c>
      <c r="M247" t="s">
        <v>829</v>
      </c>
      <c r="N247">
        <v>25</v>
      </c>
      <c r="O247">
        <v>-2.3319999999999999</v>
      </c>
      <c r="P247">
        <v>99.891000000000005</v>
      </c>
      <c r="Q247" t="s">
        <v>1231</v>
      </c>
      <c r="R247" t="s">
        <v>54</v>
      </c>
      <c r="S247" t="s">
        <v>108</v>
      </c>
      <c r="T247">
        <v>2</v>
      </c>
      <c r="U247">
        <v>6.6</v>
      </c>
      <c r="V247">
        <v>421</v>
      </c>
      <c r="W247">
        <v>0</v>
      </c>
      <c r="X247">
        <v>17.7</v>
      </c>
      <c r="Y247">
        <v>25</v>
      </c>
      <c r="Z247">
        <v>4</v>
      </c>
      <c r="AA247">
        <v>6</v>
      </c>
      <c r="AB247">
        <v>0</v>
      </c>
      <c r="AC247">
        <v>674</v>
      </c>
      <c r="AD247" s="8">
        <v>39503</v>
      </c>
    </row>
    <row r="248" spans="1:30">
      <c r="A248" t="s">
        <v>1290</v>
      </c>
      <c r="B248">
        <v>6.7</v>
      </c>
      <c r="C248" s="8" t="s">
        <v>1291</v>
      </c>
      <c r="D248">
        <v>5</v>
      </c>
      <c r="E248">
        <v>6</v>
      </c>
      <c r="G248">
        <v>0</v>
      </c>
      <c r="H248">
        <v>696</v>
      </c>
      <c r="I248" t="s">
        <v>22</v>
      </c>
      <c r="J248">
        <v>543</v>
      </c>
      <c r="K248">
        <v>0</v>
      </c>
      <c r="L248">
        <v>15.1</v>
      </c>
      <c r="M248" t="s">
        <v>829</v>
      </c>
      <c r="N248">
        <v>25</v>
      </c>
      <c r="O248">
        <v>-2.2450000000000001</v>
      </c>
      <c r="P248">
        <v>99.808000000000007</v>
      </c>
      <c r="Q248" t="s">
        <v>1231</v>
      </c>
      <c r="R248" t="s">
        <v>54</v>
      </c>
      <c r="S248" t="s">
        <v>108</v>
      </c>
      <c r="T248">
        <v>2</v>
      </c>
      <c r="U248">
        <v>6.7</v>
      </c>
      <c r="V248">
        <v>543</v>
      </c>
      <c r="W248">
        <v>0</v>
      </c>
      <c r="X248">
        <v>15.1</v>
      </c>
      <c r="Y248">
        <v>25</v>
      </c>
      <c r="Z248">
        <v>5</v>
      </c>
      <c r="AA248">
        <v>6</v>
      </c>
      <c r="AB248">
        <v>0</v>
      </c>
      <c r="AC248">
        <v>696</v>
      </c>
      <c r="AD248" s="8">
        <v>39503</v>
      </c>
    </row>
    <row r="249" spans="1:30">
      <c r="A249" t="s">
        <v>1614</v>
      </c>
      <c r="B249">
        <v>6.5</v>
      </c>
      <c r="C249" s="8" t="s">
        <v>1615</v>
      </c>
      <c r="D249">
        <v>0</v>
      </c>
      <c r="E249">
        <v>7</v>
      </c>
      <c r="G249">
        <v>0</v>
      </c>
      <c r="H249">
        <v>650</v>
      </c>
      <c r="I249" t="s">
        <v>22</v>
      </c>
      <c r="J249">
        <v>247</v>
      </c>
      <c r="K249">
        <v>0</v>
      </c>
      <c r="L249">
        <v>28.7</v>
      </c>
      <c r="M249" t="s">
        <v>829</v>
      </c>
      <c r="N249">
        <v>33</v>
      </c>
      <c r="O249">
        <v>-8.2940000000000005</v>
      </c>
      <c r="P249">
        <v>120.74299999999999</v>
      </c>
      <c r="Q249" t="s">
        <v>1616</v>
      </c>
      <c r="R249" t="s">
        <v>54</v>
      </c>
      <c r="S249" t="s">
        <v>108</v>
      </c>
      <c r="T249">
        <v>2</v>
      </c>
      <c r="U249">
        <v>6.5</v>
      </c>
      <c r="V249">
        <v>247</v>
      </c>
      <c r="W249">
        <v>0</v>
      </c>
      <c r="X249">
        <v>28.7</v>
      </c>
      <c r="Y249">
        <v>33</v>
      </c>
      <c r="Z249">
        <v>0</v>
      </c>
      <c r="AA249">
        <v>7</v>
      </c>
      <c r="AB249">
        <v>0</v>
      </c>
      <c r="AC249">
        <v>650</v>
      </c>
      <c r="AD249" s="8">
        <v>37705</v>
      </c>
    </row>
    <row r="250" spans="1:30">
      <c r="A250" t="s">
        <v>1376</v>
      </c>
      <c r="B250">
        <v>6.7</v>
      </c>
      <c r="C250" s="8" t="s">
        <v>1377</v>
      </c>
      <c r="D250">
        <v>7</v>
      </c>
      <c r="E250">
        <v>8</v>
      </c>
      <c r="G250">
        <v>0</v>
      </c>
      <c r="H250">
        <v>782</v>
      </c>
      <c r="I250" t="s">
        <v>22</v>
      </c>
      <c r="J250">
        <v>493</v>
      </c>
      <c r="K250">
        <v>0</v>
      </c>
      <c r="L250">
        <v>23.9</v>
      </c>
      <c r="M250" t="s">
        <v>829</v>
      </c>
      <c r="N250">
        <v>8</v>
      </c>
      <c r="O250">
        <v>37.335999999999999</v>
      </c>
      <c r="P250">
        <v>136.58799999999999</v>
      </c>
      <c r="Q250" t="s">
        <v>1378</v>
      </c>
      <c r="R250" t="s">
        <v>54</v>
      </c>
      <c r="S250" t="s">
        <v>200</v>
      </c>
      <c r="T250">
        <v>2</v>
      </c>
      <c r="U250">
        <v>6.7</v>
      </c>
      <c r="V250">
        <v>493</v>
      </c>
      <c r="W250">
        <v>0</v>
      </c>
      <c r="X250">
        <v>23.9</v>
      </c>
      <c r="Y250">
        <v>8</v>
      </c>
      <c r="Z250">
        <v>7</v>
      </c>
      <c r="AA250">
        <v>8</v>
      </c>
      <c r="AB250">
        <v>0</v>
      </c>
      <c r="AC250">
        <v>782</v>
      </c>
      <c r="AD250" s="8">
        <v>39166</v>
      </c>
    </row>
    <row r="251" spans="1:30">
      <c r="A251" t="s">
        <v>289</v>
      </c>
      <c r="B251">
        <v>7.5</v>
      </c>
      <c r="C251" s="8" t="s">
        <v>290</v>
      </c>
      <c r="D251">
        <v>6</v>
      </c>
      <c r="E251">
        <v>5</v>
      </c>
      <c r="F251" t="s">
        <v>21</v>
      </c>
      <c r="G251">
        <v>1</v>
      </c>
      <c r="H251">
        <v>879</v>
      </c>
      <c r="I251" t="s">
        <v>22</v>
      </c>
      <c r="J251">
        <v>0</v>
      </c>
      <c r="K251">
        <v>4.109</v>
      </c>
      <c r="L251">
        <v>12</v>
      </c>
      <c r="M251" t="s">
        <v>23</v>
      </c>
      <c r="N251">
        <v>57.8</v>
      </c>
      <c r="O251">
        <v>48.963799999999999</v>
      </c>
      <c r="P251">
        <v>157.69499999999999</v>
      </c>
      <c r="Q251" t="s">
        <v>291</v>
      </c>
      <c r="R251" t="s">
        <v>54</v>
      </c>
      <c r="S251" t="s">
        <v>295</v>
      </c>
      <c r="T251">
        <v>2</v>
      </c>
      <c r="U251">
        <v>7.5</v>
      </c>
      <c r="V251">
        <v>0</v>
      </c>
      <c r="W251">
        <v>4.109</v>
      </c>
      <c r="X251">
        <v>12</v>
      </c>
      <c r="Y251">
        <v>57.8</v>
      </c>
      <c r="Z251">
        <v>6</v>
      </c>
      <c r="AA251">
        <v>5</v>
      </c>
      <c r="AB251">
        <v>1</v>
      </c>
      <c r="AC251">
        <v>879</v>
      </c>
      <c r="AD251" s="8">
        <v>43915</v>
      </c>
    </row>
    <row r="252" spans="1:30">
      <c r="A252" t="s">
        <v>768</v>
      </c>
      <c r="B252">
        <v>7.8</v>
      </c>
      <c r="C252" s="8" t="s">
        <v>769</v>
      </c>
      <c r="D252">
        <v>8</v>
      </c>
      <c r="E252">
        <v>9</v>
      </c>
      <c r="F252" t="s">
        <v>103</v>
      </c>
      <c r="G252">
        <v>0</v>
      </c>
      <c r="H252">
        <v>2820</v>
      </c>
      <c r="I252" t="s">
        <v>22</v>
      </c>
      <c r="J252">
        <v>0</v>
      </c>
      <c r="K252">
        <v>1.857</v>
      </c>
      <c r="L252">
        <v>12</v>
      </c>
      <c r="M252" t="s">
        <v>23</v>
      </c>
      <c r="N252">
        <v>8.2200000000000006</v>
      </c>
      <c r="O252">
        <v>28.230499999999999</v>
      </c>
      <c r="P252">
        <v>84.731399999999994</v>
      </c>
      <c r="Q252" t="s">
        <v>767</v>
      </c>
      <c r="R252" t="s">
        <v>54</v>
      </c>
      <c r="S252" t="s">
        <v>756</v>
      </c>
      <c r="T252">
        <v>2</v>
      </c>
      <c r="U252">
        <v>7.8</v>
      </c>
      <c r="V252">
        <v>0</v>
      </c>
      <c r="W252">
        <v>1.857</v>
      </c>
      <c r="X252">
        <v>12</v>
      </c>
      <c r="Y252">
        <v>8.2200000000000006</v>
      </c>
      <c r="Z252">
        <v>8</v>
      </c>
      <c r="AA252">
        <v>9</v>
      </c>
      <c r="AB252">
        <v>0</v>
      </c>
      <c r="AC252">
        <v>2820</v>
      </c>
      <c r="AD252" s="8">
        <v>42119</v>
      </c>
    </row>
    <row r="253" spans="1:30">
      <c r="A253" t="s">
        <v>765</v>
      </c>
      <c r="B253">
        <v>6.6</v>
      </c>
      <c r="C253" s="8" t="s">
        <v>766</v>
      </c>
      <c r="D253">
        <v>8</v>
      </c>
      <c r="E253">
        <v>7</v>
      </c>
      <c r="F253" t="s">
        <v>45</v>
      </c>
      <c r="G253">
        <v>0</v>
      </c>
      <c r="H253">
        <v>733</v>
      </c>
      <c r="I253" t="s">
        <v>22</v>
      </c>
      <c r="J253">
        <v>0</v>
      </c>
      <c r="K253">
        <v>1.778</v>
      </c>
      <c r="L253">
        <v>16</v>
      </c>
      <c r="M253" t="s">
        <v>23</v>
      </c>
      <c r="N253">
        <v>10</v>
      </c>
      <c r="O253">
        <v>28.224399999999999</v>
      </c>
      <c r="P253">
        <v>84.821600000000004</v>
      </c>
      <c r="Q253" t="s">
        <v>767</v>
      </c>
      <c r="R253" t="s">
        <v>54</v>
      </c>
      <c r="S253" t="s">
        <v>756</v>
      </c>
      <c r="T253">
        <v>2</v>
      </c>
      <c r="U253">
        <v>6.6</v>
      </c>
      <c r="V253">
        <v>0</v>
      </c>
      <c r="W253">
        <v>1.778</v>
      </c>
      <c r="X253">
        <v>16</v>
      </c>
      <c r="Y253">
        <v>10</v>
      </c>
      <c r="Z253">
        <v>8</v>
      </c>
      <c r="AA253">
        <v>7</v>
      </c>
      <c r="AB253">
        <v>0</v>
      </c>
      <c r="AC253">
        <v>733</v>
      </c>
      <c r="AD253" s="8">
        <v>42119</v>
      </c>
    </row>
    <row r="254" spans="1:30">
      <c r="A254" t="s">
        <v>1267</v>
      </c>
      <c r="B254">
        <v>6.7</v>
      </c>
      <c r="C254" s="8" t="s">
        <v>1268</v>
      </c>
      <c r="D254">
        <v>4</v>
      </c>
      <c r="E254">
        <v>7</v>
      </c>
      <c r="G254">
        <v>0</v>
      </c>
      <c r="H254">
        <v>692</v>
      </c>
      <c r="I254" t="s">
        <v>22</v>
      </c>
      <c r="J254">
        <v>325</v>
      </c>
      <c r="K254">
        <v>0</v>
      </c>
      <c r="L254">
        <v>28</v>
      </c>
      <c r="M254" t="s">
        <v>829</v>
      </c>
      <c r="N254">
        <v>12</v>
      </c>
      <c r="O254">
        <v>30.901</v>
      </c>
      <c r="P254">
        <v>83.52</v>
      </c>
      <c r="Q254" t="s">
        <v>1269</v>
      </c>
      <c r="R254" t="s">
        <v>54</v>
      </c>
      <c r="S254" t="s">
        <v>756</v>
      </c>
      <c r="T254">
        <v>2</v>
      </c>
      <c r="U254">
        <v>6.7</v>
      </c>
      <c r="V254">
        <v>325</v>
      </c>
      <c r="W254">
        <v>0</v>
      </c>
      <c r="X254">
        <v>28</v>
      </c>
      <c r="Y254">
        <v>12</v>
      </c>
      <c r="Z254">
        <v>4</v>
      </c>
      <c r="AA254">
        <v>7</v>
      </c>
      <c r="AB254">
        <v>0</v>
      </c>
      <c r="AC254">
        <v>692</v>
      </c>
      <c r="AD254" s="8">
        <v>39685</v>
      </c>
    </row>
    <row r="255" spans="1:30">
      <c r="A255" t="s">
        <v>1591</v>
      </c>
      <c r="B255">
        <v>8.16</v>
      </c>
      <c r="C255" s="8" t="s">
        <v>1592</v>
      </c>
      <c r="D255">
        <v>0</v>
      </c>
      <c r="E255">
        <v>9</v>
      </c>
      <c r="G255">
        <v>0</v>
      </c>
      <c r="H255">
        <v>1024</v>
      </c>
      <c r="I255" t="s">
        <v>1039</v>
      </c>
      <c r="J255">
        <v>0</v>
      </c>
      <c r="K255">
        <v>0</v>
      </c>
      <c r="L255">
        <v>0</v>
      </c>
      <c r="M255" t="s">
        <v>23</v>
      </c>
      <c r="N255">
        <v>27</v>
      </c>
      <c r="O255">
        <v>41.814999999999998</v>
      </c>
      <c r="P255">
        <v>143.91</v>
      </c>
      <c r="Q255" t="s">
        <v>1582</v>
      </c>
      <c r="R255" t="s">
        <v>54</v>
      </c>
      <c r="S255" t="s">
        <v>200</v>
      </c>
      <c r="T255">
        <v>2</v>
      </c>
      <c r="U255">
        <v>8.16</v>
      </c>
      <c r="V255">
        <v>0</v>
      </c>
      <c r="W255">
        <v>0</v>
      </c>
      <c r="X255">
        <v>0</v>
      </c>
      <c r="Y255">
        <v>27</v>
      </c>
      <c r="Z255">
        <v>0</v>
      </c>
      <c r="AA255">
        <v>9</v>
      </c>
      <c r="AB255">
        <v>0</v>
      </c>
      <c r="AC255">
        <v>1024</v>
      </c>
      <c r="AD255" s="8">
        <v>37889</v>
      </c>
    </row>
    <row r="256" spans="1:30">
      <c r="A256" t="s">
        <v>1589</v>
      </c>
      <c r="B256">
        <v>7.4</v>
      </c>
      <c r="C256" s="8" t="s">
        <v>1590</v>
      </c>
      <c r="D256">
        <v>0</v>
      </c>
      <c r="E256">
        <v>7</v>
      </c>
      <c r="G256">
        <v>0</v>
      </c>
      <c r="H256">
        <v>842</v>
      </c>
      <c r="I256" t="s">
        <v>22</v>
      </c>
      <c r="J256">
        <v>514</v>
      </c>
      <c r="K256">
        <v>0</v>
      </c>
      <c r="L256">
        <v>78.8</v>
      </c>
      <c r="M256" t="s">
        <v>829</v>
      </c>
      <c r="N256">
        <v>33</v>
      </c>
      <c r="O256">
        <v>41.774000000000001</v>
      </c>
      <c r="P256">
        <v>143.59299999999999</v>
      </c>
      <c r="Q256" t="s">
        <v>666</v>
      </c>
      <c r="R256" t="s">
        <v>54</v>
      </c>
      <c r="S256" t="s">
        <v>200</v>
      </c>
      <c r="T256">
        <v>2</v>
      </c>
      <c r="U256">
        <v>7.4</v>
      </c>
      <c r="V256">
        <v>514</v>
      </c>
      <c r="W256">
        <v>0</v>
      </c>
      <c r="X256">
        <v>78.8</v>
      </c>
      <c r="Y256">
        <v>33</v>
      </c>
      <c r="Z256">
        <v>0</v>
      </c>
      <c r="AA256">
        <v>7</v>
      </c>
      <c r="AB256">
        <v>0</v>
      </c>
      <c r="AC256">
        <v>842</v>
      </c>
      <c r="AD256" s="8">
        <v>37889</v>
      </c>
    </row>
    <row r="257" spans="1:30">
      <c r="A257" t="s">
        <v>321</v>
      </c>
      <c r="B257">
        <v>6.5</v>
      </c>
      <c r="C257" s="8" t="s">
        <v>322</v>
      </c>
      <c r="D257">
        <v>7</v>
      </c>
      <c r="E257">
        <v>7</v>
      </c>
      <c r="F257" t="s">
        <v>45</v>
      </c>
      <c r="G257">
        <v>1</v>
      </c>
      <c r="H257">
        <v>656</v>
      </c>
      <c r="I257" t="s">
        <v>22</v>
      </c>
      <c r="J257">
        <v>0</v>
      </c>
      <c r="K257">
        <v>3.9089999999999998</v>
      </c>
      <c r="L257">
        <v>15</v>
      </c>
      <c r="M257" t="s">
        <v>23</v>
      </c>
      <c r="N257">
        <v>12.26</v>
      </c>
      <c r="O257">
        <v>-3.4527999999999999</v>
      </c>
      <c r="P257">
        <v>128.37</v>
      </c>
      <c r="Q257" t="s">
        <v>323</v>
      </c>
      <c r="R257" t="s">
        <v>54</v>
      </c>
      <c r="S257" t="s">
        <v>108</v>
      </c>
      <c r="T257">
        <v>2</v>
      </c>
      <c r="U257">
        <v>6.5</v>
      </c>
      <c r="V257">
        <v>0</v>
      </c>
      <c r="W257">
        <v>3.9089999999999998</v>
      </c>
      <c r="X257">
        <v>15</v>
      </c>
      <c r="Y257">
        <v>12.26</v>
      </c>
      <c r="Z257">
        <v>7</v>
      </c>
      <c r="AA257">
        <v>7</v>
      </c>
      <c r="AB257">
        <v>1</v>
      </c>
      <c r="AC257">
        <v>656</v>
      </c>
      <c r="AD257" s="8">
        <v>43733</v>
      </c>
    </row>
    <row r="258" spans="1:30">
      <c r="A258" t="s">
        <v>1133</v>
      </c>
      <c r="B258">
        <v>7.8</v>
      </c>
      <c r="C258" s="8" t="s">
        <v>1134</v>
      </c>
      <c r="D258">
        <v>4</v>
      </c>
      <c r="E258">
        <v>7</v>
      </c>
      <c r="G258">
        <v>0</v>
      </c>
      <c r="H258">
        <v>946</v>
      </c>
      <c r="I258" t="s">
        <v>22</v>
      </c>
      <c r="J258">
        <v>379</v>
      </c>
      <c r="K258">
        <v>0</v>
      </c>
      <c r="L258">
        <v>23</v>
      </c>
      <c r="M258" t="s">
        <v>829</v>
      </c>
      <c r="N258">
        <v>20.100000000000001</v>
      </c>
      <c r="O258">
        <v>-3.4870000000000001</v>
      </c>
      <c r="P258">
        <v>100.08199999999999</v>
      </c>
      <c r="Q258" t="s">
        <v>626</v>
      </c>
      <c r="R258" t="s">
        <v>54</v>
      </c>
      <c r="S258" t="s">
        <v>108</v>
      </c>
      <c r="T258">
        <v>2</v>
      </c>
      <c r="U258">
        <v>7.8</v>
      </c>
      <c r="V258">
        <v>379</v>
      </c>
      <c r="W258">
        <v>0</v>
      </c>
      <c r="X258">
        <v>23</v>
      </c>
      <c r="Y258">
        <v>20.100000000000001</v>
      </c>
      <c r="Z258">
        <v>4</v>
      </c>
      <c r="AA258">
        <v>7</v>
      </c>
      <c r="AB258">
        <v>0</v>
      </c>
      <c r="AC258">
        <v>946</v>
      </c>
      <c r="AD258" s="8">
        <v>40476</v>
      </c>
    </row>
    <row r="259" spans="1:30">
      <c r="A259" t="s">
        <v>888</v>
      </c>
      <c r="B259">
        <v>7.1</v>
      </c>
      <c r="C259" s="8" t="s">
        <v>889</v>
      </c>
      <c r="D259">
        <v>6</v>
      </c>
      <c r="E259">
        <v>4</v>
      </c>
      <c r="F259" t="s">
        <v>21</v>
      </c>
      <c r="G259">
        <v>1</v>
      </c>
      <c r="H259">
        <v>872</v>
      </c>
      <c r="I259" t="s">
        <v>22</v>
      </c>
      <c r="J259">
        <v>0</v>
      </c>
      <c r="K259">
        <v>3.968</v>
      </c>
      <c r="L259">
        <v>10</v>
      </c>
      <c r="M259" t="s">
        <v>23</v>
      </c>
      <c r="N259">
        <v>35</v>
      </c>
      <c r="O259">
        <v>37.155700000000003</v>
      </c>
      <c r="P259">
        <v>144.661</v>
      </c>
      <c r="Q259" t="s">
        <v>890</v>
      </c>
      <c r="R259" t="s">
        <v>54</v>
      </c>
      <c r="S259" t="s">
        <v>200</v>
      </c>
      <c r="T259">
        <v>2</v>
      </c>
      <c r="U259">
        <v>7.1</v>
      </c>
      <c r="V259">
        <v>0</v>
      </c>
      <c r="W259">
        <v>3.968</v>
      </c>
      <c r="X259">
        <v>10</v>
      </c>
      <c r="Y259">
        <v>35</v>
      </c>
      <c r="Z259">
        <v>6</v>
      </c>
      <c r="AA259">
        <v>4</v>
      </c>
      <c r="AB259">
        <v>1</v>
      </c>
      <c r="AC259">
        <v>872</v>
      </c>
      <c r="AD259" s="8">
        <v>41572</v>
      </c>
    </row>
    <row r="260" spans="1:30">
      <c r="A260" t="s">
        <v>1322</v>
      </c>
      <c r="B260">
        <v>6.5</v>
      </c>
      <c r="C260" s="8" t="s">
        <v>1323</v>
      </c>
      <c r="D260">
        <v>7</v>
      </c>
      <c r="E260">
        <v>7</v>
      </c>
      <c r="G260">
        <v>0</v>
      </c>
      <c r="H260">
        <v>657</v>
      </c>
      <c r="I260" t="s">
        <v>22</v>
      </c>
      <c r="J260">
        <v>353</v>
      </c>
      <c r="K260">
        <v>0</v>
      </c>
      <c r="L260">
        <v>27.5</v>
      </c>
      <c r="M260" t="s">
        <v>829</v>
      </c>
      <c r="N260">
        <v>20</v>
      </c>
      <c r="O260">
        <v>-8.2919999999999998</v>
      </c>
      <c r="P260">
        <v>118.37</v>
      </c>
      <c r="Q260" t="s">
        <v>1321</v>
      </c>
      <c r="R260" t="s">
        <v>54</v>
      </c>
      <c r="S260" t="s">
        <v>108</v>
      </c>
      <c r="T260">
        <v>2</v>
      </c>
      <c r="U260">
        <v>6.5</v>
      </c>
      <c r="V260">
        <v>353</v>
      </c>
      <c r="W260">
        <v>0</v>
      </c>
      <c r="X260">
        <v>27.5</v>
      </c>
      <c r="Y260">
        <v>20</v>
      </c>
      <c r="Z260">
        <v>7</v>
      </c>
      <c r="AA260">
        <v>7</v>
      </c>
      <c r="AB260">
        <v>0</v>
      </c>
      <c r="AC260">
        <v>657</v>
      </c>
      <c r="AD260" s="8">
        <v>39411</v>
      </c>
    </row>
    <row r="261" spans="1:30">
      <c r="A261" t="s">
        <v>1319</v>
      </c>
      <c r="B261">
        <v>6.5</v>
      </c>
      <c r="C261" s="8" t="s">
        <v>1320</v>
      </c>
      <c r="D261">
        <v>5</v>
      </c>
      <c r="E261">
        <v>7</v>
      </c>
      <c r="G261">
        <v>0</v>
      </c>
      <c r="H261">
        <v>653</v>
      </c>
      <c r="I261" t="s">
        <v>22</v>
      </c>
      <c r="J261">
        <v>272</v>
      </c>
      <c r="K261">
        <v>0</v>
      </c>
      <c r="L261">
        <v>27.6</v>
      </c>
      <c r="M261" t="s">
        <v>829</v>
      </c>
      <c r="N261">
        <v>18</v>
      </c>
      <c r="O261">
        <v>-8.2240000000000002</v>
      </c>
      <c r="P261">
        <v>118.467</v>
      </c>
      <c r="Q261" t="s">
        <v>1321</v>
      </c>
      <c r="R261" t="s">
        <v>54</v>
      </c>
      <c r="S261" t="s">
        <v>108</v>
      </c>
      <c r="T261">
        <v>2</v>
      </c>
      <c r="U261">
        <v>6.5</v>
      </c>
      <c r="V261">
        <v>272</v>
      </c>
      <c r="W261">
        <v>0</v>
      </c>
      <c r="X261">
        <v>27.6</v>
      </c>
      <c r="Y261">
        <v>18</v>
      </c>
      <c r="Z261">
        <v>5</v>
      </c>
      <c r="AA261">
        <v>7</v>
      </c>
      <c r="AB261">
        <v>0</v>
      </c>
      <c r="AC261">
        <v>653</v>
      </c>
      <c r="AD261" s="8">
        <v>39411</v>
      </c>
    </row>
    <row r="262" spans="1:30">
      <c r="A262" t="s">
        <v>583</v>
      </c>
      <c r="B262">
        <v>6.6</v>
      </c>
      <c r="C262" s="8" t="s">
        <v>584</v>
      </c>
      <c r="D262">
        <v>8</v>
      </c>
      <c r="E262">
        <v>7</v>
      </c>
      <c r="F262" t="s">
        <v>21</v>
      </c>
      <c r="G262">
        <v>0</v>
      </c>
      <c r="H262">
        <v>693</v>
      </c>
      <c r="I262" t="s">
        <v>22</v>
      </c>
      <c r="J262">
        <v>0</v>
      </c>
      <c r="K262">
        <v>1.6970000000000001</v>
      </c>
      <c r="L262">
        <v>20</v>
      </c>
      <c r="M262" t="s">
        <v>23</v>
      </c>
      <c r="N262">
        <v>17</v>
      </c>
      <c r="O262">
        <v>39.273200000000003</v>
      </c>
      <c r="P262">
        <v>73.977599999999995</v>
      </c>
      <c r="Q262" t="s">
        <v>585</v>
      </c>
      <c r="R262" t="s">
        <v>54</v>
      </c>
      <c r="S262" t="s">
        <v>678</v>
      </c>
      <c r="T262">
        <v>2</v>
      </c>
      <c r="U262">
        <v>6.6</v>
      </c>
      <c r="V262">
        <v>0</v>
      </c>
      <c r="W262">
        <v>1.6970000000000001</v>
      </c>
      <c r="X262">
        <v>20</v>
      </c>
      <c r="Y262">
        <v>17</v>
      </c>
      <c r="Z262">
        <v>8</v>
      </c>
      <c r="AA262">
        <v>7</v>
      </c>
      <c r="AB262">
        <v>0</v>
      </c>
      <c r="AC262">
        <v>693</v>
      </c>
      <c r="AD262" s="8">
        <v>42699</v>
      </c>
    </row>
    <row r="263" spans="1:30">
      <c r="A263" t="s">
        <v>1487</v>
      </c>
      <c r="B263">
        <v>6.8</v>
      </c>
      <c r="C263" s="8" t="s">
        <v>1488</v>
      </c>
      <c r="D263">
        <v>0</v>
      </c>
      <c r="E263">
        <v>6</v>
      </c>
      <c r="G263">
        <v>0</v>
      </c>
      <c r="H263">
        <v>711</v>
      </c>
      <c r="I263" t="s">
        <v>22</v>
      </c>
      <c r="J263">
        <v>444</v>
      </c>
      <c r="K263">
        <v>0</v>
      </c>
      <c r="L263">
        <v>33.799999999999997</v>
      </c>
      <c r="M263" t="s">
        <v>36</v>
      </c>
      <c r="N263">
        <v>36</v>
      </c>
      <c r="O263">
        <v>2.9079999999999999</v>
      </c>
      <c r="P263">
        <v>95.591999999999999</v>
      </c>
      <c r="Q263" t="s">
        <v>197</v>
      </c>
      <c r="R263" t="s">
        <v>54</v>
      </c>
      <c r="S263" t="s">
        <v>108</v>
      </c>
      <c r="T263">
        <v>2</v>
      </c>
      <c r="U263">
        <v>6.8</v>
      </c>
      <c r="V263">
        <v>444</v>
      </c>
      <c r="W263">
        <v>0</v>
      </c>
      <c r="X263">
        <v>33.799999999999997</v>
      </c>
      <c r="Y263">
        <v>36</v>
      </c>
      <c r="Z263">
        <v>0</v>
      </c>
      <c r="AA263">
        <v>6</v>
      </c>
      <c r="AB263">
        <v>0</v>
      </c>
      <c r="AC263">
        <v>711</v>
      </c>
      <c r="AD263" s="8">
        <v>38409</v>
      </c>
    </row>
    <row r="264" spans="1:30">
      <c r="A264" t="s">
        <v>1198</v>
      </c>
      <c r="B264">
        <v>7</v>
      </c>
      <c r="C264" s="8" t="s">
        <v>1199</v>
      </c>
      <c r="D264">
        <v>6</v>
      </c>
      <c r="E264">
        <v>6</v>
      </c>
      <c r="G264">
        <v>0</v>
      </c>
      <c r="H264">
        <v>1180</v>
      </c>
      <c r="I264" t="s">
        <v>22</v>
      </c>
      <c r="J264">
        <v>487</v>
      </c>
      <c r="K264">
        <v>0</v>
      </c>
      <c r="L264">
        <v>15.7</v>
      </c>
      <c r="M264" t="s">
        <v>829</v>
      </c>
      <c r="N264">
        <v>25</v>
      </c>
      <c r="O264">
        <v>25.93</v>
      </c>
      <c r="P264">
        <v>128.42500000000001</v>
      </c>
      <c r="Q264" t="s">
        <v>1200</v>
      </c>
      <c r="R264" t="s">
        <v>54</v>
      </c>
      <c r="S264" t="s">
        <v>200</v>
      </c>
      <c r="T264">
        <v>2</v>
      </c>
      <c r="U264">
        <v>7</v>
      </c>
      <c r="V264">
        <v>487</v>
      </c>
      <c r="W264">
        <v>0</v>
      </c>
      <c r="X264">
        <v>15.7</v>
      </c>
      <c r="Y264">
        <v>25</v>
      </c>
      <c r="Z264">
        <v>6</v>
      </c>
      <c r="AA264">
        <v>6</v>
      </c>
      <c r="AB264">
        <v>0</v>
      </c>
      <c r="AC264">
        <v>1180</v>
      </c>
      <c r="AD264" s="8">
        <v>40235</v>
      </c>
    </row>
    <row r="265" spans="1:30">
      <c r="A265" t="s">
        <v>1047</v>
      </c>
      <c r="B265">
        <v>6.7</v>
      </c>
      <c r="C265" s="8" t="s">
        <v>1048</v>
      </c>
      <c r="D265">
        <v>7</v>
      </c>
      <c r="E265">
        <v>7</v>
      </c>
      <c r="G265">
        <v>0</v>
      </c>
      <c r="H265">
        <v>833</v>
      </c>
      <c r="I265" t="s">
        <v>22</v>
      </c>
      <c r="J265">
        <v>596</v>
      </c>
      <c r="K265">
        <v>0</v>
      </c>
      <c r="L265">
        <v>13.4</v>
      </c>
      <c r="M265" t="s">
        <v>23</v>
      </c>
      <c r="N265">
        <v>12</v>
      </c>
      <c r="O265">
        <v>51.707999999999998</v>
      </c>
      <c r="P265">
        <v>95.991</v>
      </c>
      <c r="Q265" t="s">
        <v>1049</v>
      </c>
      <c r="R265" t="s">
        <v>54</v>
      </c>
      <c r="S265" t="s">
        <v>295</v>
      </c>
      <c r="T265">
        <v>2</v>
      </c>
      <c r="U265">
        <v>6.7</v>
      </c>
      <c r="V265">
        <v>596</v>
      </c>
      <c r="W265">
        <v>0</v>
      </c>
      <c r="X265">
        <v>13.4</v>
      </c>
      <c r="Y265">
        <v>12</v>
      </c>
      <c r="Z265">
        <v>7</v>
      </c>
      <c r="AA265">
        <v>7</v>
      </c>
      <c r="AB265">
        <v>0</v>
      </c>
      <c r="AC265">
        <v>833</v>
      </c>
      <c r="AD265" s="8">
        <v>40965</v>
      </c>
    </row>
    <row r="266" spans="1:30">
      <c r="A266" t="s">
        <v>762</v>
      </c>
      <c r="B266">
        <v>6.7</v>
      </c>
      <c r="C266" s="8" t="s">
        <v>763</v>
      </c>
      <c r="D266">
        <v>7</v>
      </c>
      <c r="E266">
        <v>7</v>
      </c>
      <c r="F266" t="s">
        <v>45</v>
      </c>
      <c r="G266">
        <v>0</v>
      </c>
      <c r="H266">
        <v>1016</v>
      </c>
      <c r="I266" t="s">
        <v>22</v>
      </c>
      <c r="J266">
        <v>0</v>
      </c>
      <c r="K266">
        <v>0.72699999999999998</v>
      </c>
      <c r="L266">
        <v>13</v>
      </c>
      <c r="M266" t="s">
        <v>23</v>
      </c>
      <c r="N266">
        <v>22.91</v>
      </c>
      <c r="O266">
        <v>27.771100000000001</v>
      </c>
      <c r="P266">
        <v>86.017300000000006</v>
      </c>
      <c r="Q266" t="s">
        <v>764</v>
      </c>
      <c r="R266" t="s">
        <v>54</v>
      </c>
      <c r="S266" t="s">
        <v>756</v>
      </c>
      <c r="T266">
        <v>2</v>
      </c>
      <c r="U266">
        <v>6.7</v>
      </c>
      <c r="V266">
        <v>0</v>
      </c>
      <c r="W266">
        <v>0.72699999999999998</v>
      </c>
      <c r="X266">
        <v>13</v>
      </c>
      <c r="Y266">
        <v>22.91</v>
      </c>
      <c r="Z266">
        <v>7</v>
      </c>
      <c r="AA266">
        <v>7</v>
      </c>
      <c r="AB266">
        <v>0</v>
      </c>
      <c r="AC266">
        <v>1016</v>
      </c>
      <c r="AD266" s="8">
        <v>42120</v>
      </c>
    </row>
    <row r="267" spans="1:30">
      <c r="A267" t="s">
        <v>1608</v>
      </c>
      <c r="B267">
        <v>7</v>
      </c>
      <c r="C267" s="8" t="s">
        <v>1609</v>
      </c>
      <c r="D267">
        <v>0</v>
      </c>
      <c r="E267">
        <v>7</v>
      </c>
      <c r="G267">
        <v>0</v>
      </c>
      <c r="H267">
        <v>754</v>
      </c>
      <c r="I267" t="s">
        <v>22</v>
      </c>
      <c r="J267">
        <v>690</v>
      </c>
      <c r="K267">
        <v>0</v>
      </c>
      <c r="L267">
        <v>19.100000000000001</v>
      </c>
      <c r="M267" t="s">
        <v>36</v>
      </c>
      <c r="N267">
        <v>68</v>
      </c>
      <c r="O267">
        <v>38.848999999999997</v>
      </c>
      <c r="P267">
        <v>141.56800000000001</v>
      </c>
      <c r="Q267" t="s">
        <v>754</v>
      </c>
      <c r="R267" t="s">
        <v>54</v>
      </c>
      <c r="S267" t="s">
        <v>200</v>
      </c>
      <c r="T267">
        <v>2</v>
      </c>
      <c r="U267">
        <v>7</v>
      </c>
      <c r="V267">
        <v>690</v>
      </c>
      <c r="W267">
        <v>0</v>
      </c>
      <c r="X267">
        <v>19.100000000000001</v>
      </c>
      <c r="Y267">
        <v>68</v>
      </c>
      <c r="Z267">
        <v>0</v>
      </c>
      <c r="AA267">
        <v>7</v>
      </c>
      <c r="AB267">
        <v>0</v>
      </c>
      <c r="AC267">
        <v>754</v>
      </c>
      <c r="AD267" s="8">
        <v>37767</v>
      </c>
    </row>
    <row r="268" spans="1:30">
      <c r="A268" t="s">
        <v>1606</v>
      </c>
      <c r="B268">
        <v>7</v>
      </c>
      <c r="C268" s="8" t="s">
        <v>1607</v>
      </c>
      <c r="D268">
        <v>0</v>
      </c>
      <c r="E268">
        <v>6</v>
      </c>
      <c r="G268">
        <v>0</v>
      </c>
      <c r="H268">
        <v>754</v>
      </c>
      <c r="I268" t="s">
        <v>22</v>
      </c>
      <c r="J268">
        <v>473</v>
      </c>
      <c r="K268">
        <v>0</v>
      </c>
      <c r="L268">
        <v>30.3</v>
      </c>
      <c r="M268" t="s">
        <v>829</v>
      </c>
      <c r="N268">
        <v>31</v>
      </c>
      <c r="O268">
        <v>2.3540000000000001</v>
      </c>
      <c r="P268">
        <v>128.85499999999999</v>
      </c>
      <c r="Q268" t="s">
        <v>797</v>
      </c>
      <c r="R268" t="s">
        <v>54</v>
      </c>
      <c r="S268" t="s">
        <v>108</v>
      </c>
      <c r="T268">
        <v>2</v>
      </c>
      <c r="U268">
        <v>7</v>
      </c>
      <c r="V268">
        <v>473</v>
      </c>
      <c r="W268">
        <v>0</v>
      </c>
      <c r="X268">
        <v>30.3</v>
      </c>
      <c r="Y268">
        <v>31</v>
      </c>
      <c r="Z268">
        <v>0</v>
      </c>
      <c r="AA268">
        <v>6</v>
      </c>
      <c r="AB268">
        <v>0</v>
      </c>
      <c r="AC268">
        <v>754</v>
      </c>
      <c r="AD268" s="8">
        <v>37767</v>
      </c>
    </row>
    <row r="269" spans="1:30">
      <c r="A269" t="s">
        <v>1362</v>
      </c>
      <c r="B269">
        <v>6.9</v>
      </c>
      <c r="C269" s="8" t="s">
        <v>1363</v>
      </c>
      <c r="D269">
        <v>3</v>
      </c>
      <c r="E269">
        <v>5</v>
      </c>
      <c r="G269">
        <v>0</v>
      </c>
      <c r="H269">
        <v>734</v>
      </c>
      <c r="I269" t="s">
        <v>22</v>
      </c>
      <c r="J269">
        <v>374</v>
      </c>
      <c r="K269">
        <v>0</v>
      </c>
      <c r="L269">
        <v>24.1</v>
      </c>
      <c r="M269" t="s">
        <v>36</v>
      </c>
      <c r="N269">
        <v>25</v>
      </c>
      <c r="O269">
        <v>2.8719999999999999</v>
      </c>
      <c r="P269">
        <v>127.464</v>
      </c>
      <c r="Q269" t="s">
        <v>797</v>
      </c>
      <c r="R269" t="s">
        <v>54</v>
      </c>
      <c r="S269" t="s">
        <v>108</v>
      </c>
      <c r="T269">
        <v>2</v>
      </c>
      <c r="U269">
        <v>6.9</v>
      </c>
      <c r="V269">
        <v>374</v>
      </c>
      <c r="W269">
        <v>0</v>
      </c>
      <c r="X269">
        <v>24.1</v>
      </c>
      <c r="Y269">
        <v>25</v>
      </c>
      <c r="Z269">
        <v>3</v>
      </c>
      <c r="AA269">
        <v>5</v>
      </c>
      <c r="AB269">
        <v>0</v>
      </c>
      <c r="AC269">
        <v>734</v>
      </c>
      <c r="AD269" s="8">
        <v>39289</v>
      </c>
    </row>
    <row r="270" spans="1:30">
      <c r="A270" t="s">
        <v>1013</v>
      </c>
      <c r="B270">
        <v>6.6</v>
      </c>
      <c r="C270" s="8" t="s">
        <v>1014</v>
      </c>
      <c r="D270">
        <v>4</v>
      </c>
      <c r="E270">
        <v>5</v>
      </c>
      <c r="G270">
        <v>0</v>
      </c>
      <c r="H270">
        <v>678</v>
      </c>
      <c r="I270" t="s">
        <v>22</v>
      </c>
      <c r="J270">
        <v>497</v>
      </c>
      <c r="K270">
        <v>0</v>
      </c>
      <c r="L270">
        <v>14.6</v>
      </c>
      <c r="M270" t="s">
        <v>23</v>
      </c>
      <c r="N270">
        <v>91.1</v>
      </c>
      <c r="O270">
        <v>2.19</v>
      </c>
      <c r="P270">
        <v>126.837</v>
      </c>
      <c r="Q270" t="s">
        <v>797</v>
      </c>
      <c r="R270" t="s">
        <v>54</v>
      </c>
      <c r="S270" t="s">
        <v>108</v>
      </c>
      <c r="T270">
        <v>2</v>
      </c>
      <c r="U270">
        <v>6.6</v>
      </c>
      <c r="V270">
        <v>497</v>
      </c>
      <c r="W270">
        <v>0</v>
      </c>
      <c r="X270">
        <v>14.6</v>
      </c>
      <c r="Y270">
        <v>91.1</v>
      </c>
      <c r="Z270">
        <v>4</v>
      </c>
      <c r="AA270">
        <v>5</v>
      </c>
      <c r="AB270">
        <v>0</v>
      </c>
      <c r="AC270">
        <v>678</v>
      </c>
      <c r="AD270" s="8">
        <v>41147</v>
      </c>
    </row>
    <row r="271" spans="1:30">
      <c r="A271" t="s">
        <v>1517</v>
      </c>
      <c r="B271">
        <v>7.1</v>
      </c>
      <c r="C271" s="8" t="s">
        <v>1518</v>
      </c>
      <c r="D271">
        <v>0</v>
      </c>
      <c r="E271">
        <v>7</v>
      </c>
      <c r="G271">
        <v>0</v>
      </c>
      <c r="H271">
        <v>776</v>
      </c>
      <c r="I271" t="s">
        <v>22</v>
      </c>
      <c r="J271">
        <v>439</v>
      </c>
      <c r="K271">
        <v>0</v>
      </c>
      <c r="L271">
        <v>28.8</v>
      </c>
      <c r="M271" t="s">
        <v>829</v>
      </c>
      <c r="N271">
        <v>10</v>
      </c>
      <c r="O271">
        <v>-3.609</v>
      </c>
      <c r="P271">
        <v>135.404</v>
      </c>
      <c r="Q271" t="s">
        <v>1519</v>
      </c>
      <c r="R271" t="s">
        <v>54</v>
      </c>
      <c r="S271" t="s">
        <v>108</v>
      </c>
      <c r="T271">
        <v>2</v>
      </c>
      <c r="U271">
        <v>7.1</v>
      </c>
      <c r="V271">
        <v>439</v>
      </c>
      <c r="W271">
        <v>0</v>
      </c>
      <c r="X271">
        <v>28.8</v>
      </c>
      <c r="Y271">
        <v>10</v>
      </c>
      <c r="Z271">
        <v>0</v>
      </c>
      <c r="AA271">
        <v>7</v>
      </c>
      <c r="AB271">
        <v>0</v>
      </c>
      <c r="AC271">
        <v>776</v>
      </c>
      <c r="AD271" s="8">
        <v>38317</v>
      </c>
    </row>
    <row r="272" spans="1:30">
      <c r="A272" t="s">
        <v>792</v>
      </c>
      <c r="B272">
        <v>6.8</v>
      </c>
      <c r="C272" s="8" t="s">
        <v>793</v>
      </c>
      <c r="D272">
        <v>6</v>
      </c>
      <c r="E272">
        <v>5</v>
      </c>
      <c r="F272" t="s">
        <v>21</v>
      </c>
      <c r="G272">
        <v>1</v>
      </c>
      <c r="H272">
        <v>713</v>
      </c>
      <c r="I272" t="s">
        <v>22</v>
      </c>
      <c r="J272">
        <v>0</v>
      </c>
      <c r="K272">
        <v>1.421</v>
      </c>
      <c r="L272">
        <v>19</v>
      </c>
      <c r="M272" t="s">
        <v>23</v>
      </c>
      <c r="N272">
        <v>39</v>
      </c>
      <c r="O272">
        <v>1.9603999999999999</v>
      </c>
      <c r="P272">
        <v>126.575</v>
      </c>
      <c r="Q272" t="s">
        <v>794</v>
      </c>
      <c r="R272" t="s">
        <v>54</v>
      </c>
      <c r="S272" t="s">
        <v>108</v>
      </c>
      <c r="T272">
        <v>2</v>
      </c>
      <c r="U272">
        <v>6.8</v>
      </c>
      <c r="V272">
        <v>0</v>
      </c>
      <c r="W272">
        <v>1.421</v>
      </c>
      <c r="X272">
        <v>19</v>
      </c>
      <c r="Y272">
        <v>39</v>
      </c>
      <c r="Z272">
        <v>6</v>
      </c>
      <c r="AA272">
        <v>5</v>
      </c>
      <c r="AB272">
        <v>1</v>
      </c>
      <c r="AC272">
        <v>713</v>
      </c>
      <c r="AD272" s="8">
        <v>41969</v>
      </c>
    </row>
    <row r="273" spans="1:30">
      <c r="A273" t="s">
        <v>1564</v>
      </c>
      <c r="B273">
        <v>6.6</v>
      </c>
      <c r="C273" s="8" t="s">
        <v>1565</v>
      </c>
      <c r="D273">
        <v>0</v>
      </c>
      <c r="E273">
        <v>9</v>
      </c>
      <c r="G273">
        <v>0</v>
      </c>
      <c r="H273">
        <v>670</v>
      </c>
      <c r="I273" t="s">
        <v>22</v>
      </c>
      <c r="J273">
        <v>552</v>
      </c>
      <c r="K273">
        <v>0</v>
      </c>
      <c r="L273">
        <v>44.8</v>
      </c>
      <c r="M273" t="s">
        <v>829</v>
      </c>
      <c r="N273">
        <v>10</v>
      </c>
      <c r="O273">
        <v>28.995000000000001</v>
      </c>
      <c r="P273">
        <v>58.311</v>
      </c>
      <c r="Q273" t="s">
        <v>1131</v>
      </c>
      <c r="R273" t="s">
        <v>54</v>
      </c>
      <c r="S273" t="s">
        <v>498</v>
      </c>
      <c r="T273">
        <v>2</v>
      </c>
      <c r="U273">
        <v>6.6</v>
      </c>
      <c r="V273">
        <v>552</v>
      </c>
      <c r="W273">
        <v>0</v>
      </c>
      <c r="X273">
        <v>44.8</v>
      </c>
      <c r="Y273">
        <v>10</v>
      </c>
      <c r="Z273">
        <v>0</v>
      </c>
      <c r="AA273">
        <v>9</v>
      </c>
      <c r="AB273">
        <v>0</v>
      </c>
      <c r="AC273">
        <v>670</v>
      </c>
      <c r="AD273" s="8">
        <v>37981</v>
      </c>
    </row>
    <row r="274" spans="1:30">
      <c r="A274" t="s">
        <v>1501</v>
      </c>
      <c r="B274">
        <v>7.2</v>
      </c>
      <c r="C274" s="8" t="s">
        <v>1502</v>
      </c>
      <c r="D274">
        <v>5</v>
      </c>
      <c r="E274">
        <v>6</v>
      </c>
      <c r="G274">
        <v>0</v>
      </c>
      <c r="H274">
        <v>802</v>
      </c>
      <c r="I274" t="s">
        <v>22</v>
      </c>
      <c r="J274">
        <v>385</v>
      </c>
      <c r="K274">
        <v>0</v>
      </c>
      <c r="L274">
        <v>27.9</v>
      </c>
      <c r="M274" t="s">
        <v>829</v>
      </c>
      <c r="N274">
        <v>39.200000000000003</v>
      </c>
      <c r="O274">
        <v>6.91</v>
      </c>
      <c r="P274">
        <v>92.957999999999998</v>
      </c>
      <c r="Q274" t="s">
        <v>1503</v>
      </c>
      <c r="R274" t="s">
        <v>54</v>
      </c>
      <c r="S274" t="s">
        <v>108</v>
      </c>
      <c r="T274">
        <v>2</v>
      </c>
      <c r="U274">
        <v>7.2</v>
      </c>
      <c r="V274">
        <v>385</v>
      </c>
      <c r="W274">
        <v>0</v>
      </c>
      <c r="X274">
        <v>27.9</v>
      </c>
      <c r="Y274">
        <v>39.200000000000003</v>
      </c>
      <c r="Z274">
        <v>5</v>
      </c>
      <c r="AA274">
        <v>6</v>
      </c>
      <c r="AB274">
        <v>0</v>
      </c>
      <c r="AC274">
        <v>802</v>
      </c>
      <c r="AD274" s="8">
        <v>38347</v>
      </c>
    </row>
    <row r="275" spans="1:30">
      <c r="A275" t="s">
        <v>1392</v>
      </c>
      <c r="B275">
        <v>7.1</v>
      </c>
      <c r="C275" s="8" t="s">
        <v>1393</v>
      </c>
      <c r="D275">
        <v>8</v>
      </c>
      <c r="E275">
        <v>7</v>
      </c>
      <c r="G275">
        <v>0</v>
      </c>
      <c r="H275">
        <v>1023</v>
      </c>
      <c r="I275" t="s">
        <v>22</v>
      </c>
      <c r="J275">
        <v>744</v>
      </c>
      <c r="K275">
        <v>0</v>
      </c>
      <c r="L275">
        <v>29.1</v>
      </c>
      <c r="M275" t="s">
        <v>36</v>
      </c>
      <c r="N275">
        <v>10</v>
      </c>
      <c r="O275">
        <v>21.798999999999999</v>
      </c>
      <c r="P275">
        <v>120.547</v>
      </c>
      <c r="Q275" t="s">
        <v>1391</v>
      </c>
      <c r="R275" t="s">
        <v>54</v>
      </c>
      <c r="S275" t="s">
        <v>55</v>
      </c>
      <c r="T275">
        <v>2</v>
      </c>
      <c r="U275">
        <v>7.1</v>
      </c>
      <c r="V275">
        <v>744</v>
      </c>
      <c r="W275">
        <v>0</v>
      </c>
      <c r="X275">
        <v>29.1</v>
      </c>
      <c r="Y275">
        <v>10</v>
      </c>
      <c r="Z275">
        <v>8</v>
      </c>
      <c r="AA275">
        <v>7</v>
      </c>
      <c r="AB275">
        <v>0</v>
      </c>
      <c r="AC275">
        <v>1023</v>
      </c>
      <c r="AD275" s="8">
        <v>39077</v>
      </c>
    </row>
    <row r="276" spans="1:30">
      <c r="A276" t="s">
        <v>1389</v>
      </c>
      <c r="B276">
        <v>6.9</v>
      </c>
      <c r="C276" s="8" t="s">
        <v>1390</v>
      </c>
      <c r="D276">
        <v>6</v>
      </c>
      <c r="E276">
        <v>7</v>
      </c>
      <c r="G276">
        <v>0</v>
      </c>
      <c r="H276">
        <v>798</v>
      </c>
      <c r="I276" t="s">
        <v>22</v>
      </c>
      <c r="J276">
        <v>466</v>
      </c>
      <c r="K276">
        <v>0</v>
      </c>
      <c r="L276">
        <v>31.6</v>
      </c>
      <c r="M276" t="s">
        <v>829</v>
      </c>
      <c r="N276">
        <v>10</v>
      </c>
      <c r="O276">
        <v>21.974</v>
      </c>
      <c r="P276">
        <v>120.49299999999999</v>
      </c>
      <c r="Q276" t="s">
        <v>1391</v>
      </c>
      <c r="R276" t="s">
        <v>54</v>
      </c>
      <c r="S276" t="s">
        <v>55</v>
      </c>
      <c r="T276">
        <v>2</v>
      </c>
      <c r="U276">
        <v>6.9</v>
      </c>
      <c r="V276">
        <v>466</v>
      </c>
      <c r="W276">
        <v>0</v>
      </c>
      <c r="X276">
        <v>31.6</v>
      </c>
      <c r="Y276">
        <v>10</v>
      </c>
      <c r="Z276">
        <v>6</v>
      </c>
      <c r="AA276">
        <v>7</v>
      </c>
      <c r="AB276">
        <v>0</v>
      </c>
      <c r="AC276">
        <v>798</v>
      </c>
      <c r="AD276" s="8">
        <v>39077</v>
      </c>
    </row>
    <row r="277" spans="1:30">
      <c r="A277" t="s">
        <v>776</v>
      </c>
      <c r="B277">
        <v>7</v>
      </c>
      <c r="C277" s="8" t="s">
        <v>777</v>
      </c>
      <c r="D277">
        <v>4</v>
      </c>
      <c r="E277">
        <v>6</v>
      </c>
      <c r="F277" t="s">
        <v>21</v>
      </c>
      <c r="G277">
        <v>0</v>
      </c>
      <c r="H277">
        <v>760</v>
      </c>
      <c r="I277" t="s">
        <v>22</v>
      </c>
      <c r="J277">
        <v>0</v>
      </c>
      <c r="K277">
        <v>1.3620000000000001</v>
      </c>
      <c r="L277">
        <v>12</v>
      </c>
      <c r="M277" t="s">
        <v>23</v>
      </c>
      <c r="N277">
        <v>552.05999999999995</v>
      </c>
      <c r="O277">
        <v>-7.2968000000000002</v>
      </c>
      <c r="P277">
        <v>122.535</v>
      </c>
      <c r="Q277" t="s">
        <v>508</v>
      </c>
      <c r="R277" t="s">
        <v>54</v>
      </c>
      <c r="S277" t="s">
        <v>108</v>
      </c>
      <c r="T277">
        <v>2</v>
      </c>
      <c r="U277">
        <v>7</v>
      </c>
      <c r="V277">
        <v>0</v>
      </c>
      <c r="W277">
        <v>1.3620000000000001</v>
      </c>
      <c r="X277">
        <v>12</v>
      </c>
      <c r="Y277">
        <v>552.05999999999995</v>
      </c>
      <c r="Z277">
        <v>4</v>
      </c>
      <c r="AA277">
        <v>6</v>
      </c>
      <c r="AB277">
        <v>0</v>
      </c>
      <c r="AC277">
        <v>760</v>
      </c>
      <c r="AD277" s="8">
        <v>42062</v>
      </c>
    </row>
    <row r="278" spans="1:30">
      <c r="A278" t="s">
        <v>72</v>
      </c>
      <c r="B278">
        <v>7</v>
      </c>
      <c r="C278" s="8" t="s">
        <v>73</v>
      </c>
      <c r="D278">
        <v>9</v>
      </c>
      <c r="E278">
        <v>8</v>
      </c>
      <c r="F278" t="s">
        <v>45</v>
      </c>
      <c r="G278">
        <v>1</v>
      </c>
      <c r="H278">
        <v>1351</v>
      </c>
      <c r="I278" t="s">
        <v>22</v>
      </c>
      <c r="J278">
        <v>152</v>
      </c>
      <c r="K278">
        <v>5.2759999999999998</v>
      </c>
      <c r="L278">
        <v>22</v>
      </c>
      <c r="M278" t="s">
        <v>23</v>
      </c>
      <c r="N278">
        <v>33.728999999999999</v>
      </c>
      <c r="O278">
        <v>17.597799999999999</v>
      </c>
      <c r="P278">
        <v>120.809</v>
      </c>
      <c r="Q278" t="s">
        <v>74</v>
      </c>
      <c r="R278" t="s">
        <v>54</v>
      </c>
      <c r="S278" t="s">
        <v>75</v>
      </c>
      <c r="T278">
        <v>2</v>
      </c>
      <c r="U278">
        <v>7</v>
      </c>
      <c r="V278">
        <v>152</v>
      </c>
      <c r="W278">
        <v>5.2759999999999998</v>
      </c>
      <c r="X278">
        <v>22</v>
      </c>
      <c r="Y278">
        <v>33.728999999999999</v>
      </c>
      <c r="Z278">
        <v>9</v>
      </c>
      <c r="AA278">
        <v>8</v>
      </c>
      <c r="AB278">
        <v>1</v>
      </c>
      <c r="AC278">
        <v>1351</v>
      </c>
      <c r="AD278" s="8">
        <v>44769</v>
      </c>
    </row>
    <row r="279" spans="1:30">
      <c r="A279" t="s">
        <v>1587</v>
      </c>
      <c r="B279">
        <v>7.3</v>
      </c>
      <c r="C279" s="8" t="s">
        <v>1588</v>
      </c>
      <c r="D279">
        <v>0</v>
      </c>
      <c r="E279">
        <v>7</v>
      </c>
      <c r="G279">
        <v>0</v>
      </c>
      <c r="H279">
        <v>820</v>
      </c>
      <c r="I279" t="s">
        <v>22</v>
      </c>
      <c r="J279">
        <v>667</v>
      </c>
      <c r="K279">
        <v>0</v>
      </c>
      <c r="L279">
        <v>24.5</v>
      </c>
      <c r="M279" t="s">
        <v>36</v>
      </c>
      <c r="N279">
        <v>16</v>
      </c>
      <c r="O279">
        <v>50.037999999999997</v>
      </c>
      <c r="P279">
        <v>87.813000000000002</v>
      </c>
      <c r="Q279" t="s">
        <v>1584</v>
      </c>
      <c r="R279" t="s">
        <v>54</v>
      </c>
      <c r="S279" t="s">
        <v>295</v>
      </c>
      <c r="T279">
        <v>2</v>
      </c>
      <c r="U279">
        <v>7.3</v>
      </c>
      <c r="V279">
        <v>667</v>
      </c>
      <c r="W279">
        <v>0</v>
      </c>
      <c r="X279">
        <v>24.5</v>
      </c>
      <c r="Y279">
        <v>16</v>
      </c>
      <c r="Z279">
        <v>0</v>
      </c>
      <c r="AA279">
        <v>7</v>
      </c>
      <c r="AB279">
        <v>0</v>
      </c>
      <c r="AC279">
        <v>820</v>
      </c>
      <c r="AD279" s="8">
        <v>37891</v>
      </c>
    </row>
    <row r="280" spans="1:30">
      <c r="A280" t="s">
        <v>1054</v>
      </c>
      <c r="B280">
        <v>6.6</v>
      </c>
      <c r="C280" s="8" t="s">
        <v>1055</v>
      </c>
      <c r="D280">
        <v>0</v>
      </c>
      <c r="E280">
        <v>7</v>
      </c>
      <c r="G280">
        <v>0</v>
      </c>
      <c r="H280">
        <v>670</v>
      </c>
      <c r="I280" t="s">
        <v>22</v>
      </c>
      <c r="J280">
        <v>545</v>
      </c>
      <c r="K280">
        <v>0</v>
      </c>
      <c r="L280">
        <v>17.600000000000001</v>
      </c>
      <c r="M280" t="s">
        <v>23</v>
      </c>
      <c r="N280">
        <v>15</v>
      </c>
      <c r="O280">
        <v>51.841999999999999</v>
      </c>
      <c r="P280">
        <v>95.911000000000001</v>
      </c>
      <c r="Q280" t="s">
        <v>1049</v>
      </c>
      <c r="R280" t="s">
        <v>54</v>
      </c>
      <c r="S280" t="s">
        <v>295</v>
      </c>
      <c r="T280">
        <v>2</v>
      </c>
      <c r="U280">
        <v>6.6</v>
      </c>
      <c r="V280">
        <v>545</v>
      </c>
      <c r="W280">
        <v>0</v>
      </c>
      <c r="X280">
        <v>17.600000000000001</v>
      </c>
      <c r="Y280">
        <v>15</v>
      </c>
      <c r="Z280">
        <v>0</v>
      </c>
      <c r="AA280">
        <v>7</v>
      </c>
      <c r="AB280">
        <v>0</v>
      </c>
      <c r="AC280">
        <v>670</v>
      </c>
      <c r="AD280" s="8">
        <v>40904</v>
      </c>
    </row>
    <row r="281" spans="1:30">
      <c r="A281" t="s">
        <v>1560</v>
      </c>
      <c r="B281">
        <v>6.7</v>
      </c>
      <c r="C281" s="8" t="s">
        <v>1561</v>
      </c>
      <c r="D281">
        <v>0</v>
      </c>
      <c r="E281">
        <v>6</v>
      </c>
      <c r="G281">
        <v>0</v>
      </c>
      <c r="H281">
        <v>691</v>
      </c>
      <c r="I281" t="s">
        <v>22</v>
      </c>
      <c r="J281">
        <v>243</v>
      </c>
      <c r="K281">
        <v>0</v>
      </c>
      <c r="L281">
        <v>42.5</v>
      </c>
      <c r="M281" t="s">
        <v>36</v>
      </c>
      <c r="N281">
        <v>17.399999999999999</v>
      </c>
      <c r="O281">
        <v>-3.12</v>
      </c>
      <c r="P281">
        <v>127.4</v>
      </c>
      <c r="Q281" t="s">
        <v>1438</v>
      </c>
      <c r="R281" t="s">
        <v>54</v>
      </c>
      <c r="S281" t="s">
        <v>108</v>
      </c>
      <c r="T281">
        <v>2</v>
      </c>
      <c r="U281">
        <v>6.7</v>
      </c>
      <c r="V281">
        <v>243</v>
      </c>
      <c r="W281">
        <v>0</v>
      </c>
      <c r="X281">
        <v>42.5</v>
      </c>
      <c r="Y281">
        <v>17.399999999999999</v>
      </c>
      <c r="Z281">
        <v>0</v>
      </c>
      <c r="AA281">
        <v>6</v>
      </c>
      <c r="AB281">
        <v>0</v>
      </c>
      <c r="AC281">
        <v>691</v>
      </c>
      <c r="AD281" s="8">
        <v>38014</v>
      </c>
    </row>
    <row r="282" spans="1:30">
      <c r="A282" t="s">
        <v>965</v>
      </c>
      <c r="B282">
        <v>6.9</v>
      </c>
      <c r="C282" s="8" t="s">
        <v>966</v>
      </c>
      <c r="D282">
        <v>5</v>
      </c>
      <c r="E282">
        <v>6</v>
      </c>
      <c r="F282" t="s">
        <v>21</v>
      </c>
      <c r="G282">
        <v>1</v>
      </c>
      <c r="H282">
        <v>736</v>
      </c>
      <c r="I282" t="s">
        <v>22</v>
      </c>
      <c r="J282">
        <v>531</v>
      </c>
      <c r="K282">
        <v>0</v>
      </c>
      <c r="L282">
        <v>20.7</v>
      </c>
      <c r="M282" t="s">
        <v>23</v>
      </c>
      <c r="N282">
        <v>41</v>
      </c>
      <c r="O282">
        <v>50.954000000000001</v>
      </c>
      <c r="P282">
        <v>157.28299999999999</v>
      </c>
      <c r="Q282" t="s">
        <v>415</v>
      </c>
      <c r="R282" t="s">
        <v>54</v>
      </c>
      <c r="S282" t="s">
        <v>295</v>
      </c>
      <c r="T282">
        <v>2</v>
      </c>
      <c r="U282">
        <v>6.9</v>
      </c>
      <c r="V282">
        <v>531</v>
      </c>
      <c r="W282">
        <v>0</v>
      </c>
      <c r="X282">
        <v>20.7</v>
      </c>
      <c r="Y282">
        <v>41</v>
      </c>
      <c r="Z282">
        <v>5</v>
      </c>
      <c r="AA282">
        <v>6</v>
      </c>
      <c r="AB282">
        <v>1</v>
      </c>
      <c r="AC282">
        <v>736</v>
      </c>
      <c r="AD282" s="8">
        <v>41333</v>
      </c>
    </row>
    <row r="283" spans="1:30">
      <c r="A283" t="s">
        <v>1482</v>
      </c>
      <c r="B283">
        <v>8.6</v>
      </c>
      <c r="C283" s="8" t="s">
        <v>1483</v>
      </c>
      <c r="D283">
        <v>0</v>
      </c>
      <c r="E283">
        <v>8</v>
      </c>
      <c r="G283">
        <v>0</v>
      </c>
      <c r="H283">
        <v>1138</v>
      </c>
      <c r="I283" t="s">
        <v>1039</v>
      </c>
      <c r="J283">
        <v>510</v>
      </c>
      <c r="K283">
        <v>0</v>
      </c>
      <c r="L283">
        <v>22.1</v>
      </c>
      <c r="M283" t="s">
        <v>23</v>
      </c>
      <c r="N283">
        <v>30</v>
      </c>
      <c r="O283">
        <v>2.085</v>
      </c>
      <c r="P283">
        <v>97.108000000000004</v>
      </c>
      <c r="Q283" t="s">
        <v>1422</v>
      </c>
      <c r="R283" t="s">
        <v>54</v>
      </c>
      <c r="S283" t="s">
        <v>108</v>
      </c>
      <c r="T283">
        <v>2</v>
      </c>
      <c r="U283">
        <v>8.6</v>
      </c>
      <c r="V283">
        <v>510</v>
      </c>
      <c r="W283">
        <v>0</v>
      </c>
      <c r="X283">
        <v>22.1</v>
      </c>
      <c r="Y283">
        <v>30</v>
      </c>
      <c r="Z283">
        <v>0</v>
      </c>
      <c r="AA283">
        <v>8</v>
      </c>
      <c r="AB283">
        <v>0</v>
      </c>
      <c r="AC283">
        <v>1138</v>
      </c>
      <c r="AD283" s="8">
        <v>38439</v>
      </c>
    </row>
    <row r="284" spans="1:30">
      <c r="A284" t="s">
        <v>541</v>
      </c>
      <c r="B284">
        <v>6.9</v>
      </c>
      <c r="C284" s="8" t="s">
        <v>542</v>
      </c>
      <c r="D284">
        <v>9</v>
      </c>
      <c r="E284">
        <v>6</v>
      </c>
      <c r="F284" t="s">
        <v>21</v>
      </c>
      <c r="G284">
        <v>1</v>
      </c>
      <c r="H284">
        <v>814</v>
      </c>
      <c r="I284" t="s">
        <v>22</v>
      </c>
      <c r="J284">
        <v>0</v>
      </c>
      <c r="K284">
        <v>1.6359999999999999</v>
      </c>
      <c r="L284">
        <v>14</v>
      </c>
      <c r="M284" t="s">
        <v>23</v>
      </c>
      <c r="N284">
        <v>26</v>
      </c>
      <c r="O284">
        <v>5.5042999999999997</v>
      </c>
      <c r="P284">
        <v>125.066</v>
      </c>
      <c r="Q284" t="s">
        <v>543</v>
      </c>
      <c r="R284" t="s">
        <v>54</v>
      </c>
      <c r="S284" t="s">
        <v>75</v>
      </c>
      <c r="T284">
        <v>2</v>
      </c>
      <c r="U284">
        <v>6.9</v>
      </c>
      <c r="V284">
        <v>0</v>
      </c>
      <c r="W284">
        <v>1.6359999999999999</v>
      </c>
      <c r="X284">
        <v>14</v>
      </c>
      <c r="Y284">
        <v>26</v>
      </c>
      <c r="Z284">
        <v>9</v>
      </c>
      <c r="AA284">
        <v>6</v>
      </c>
      <c r="AB284">
        <v>1</v>
      </c>
      <c r="AC284">
        <v>814</v>
      </c>
      <c r="AD284" s="8">
        <v>42853</v>
      </c>
    </row>
    <row r="285" spans="1:30">
      <c r="A285" t="s">
        <v>1546</v>
      </c>
      <c r="B285">
        <v>6.5</v>
      </c>
      <c r="C285" s="8" t="s">
        <v>1547</v>
      </c>
      <c r="D285">
        <v>0</v>
      </c>
      <c r="E285">
        <v>7</v>
      </c>
      <c r="G285">
        <v>0</v>
      </c>
      <c r="H285">
        <v>650</v>
      </c>
      <c r="I285" t="s">
        <v>22</v>
      </c>
      <c r="J285">
        <v>305</v>
      </c>
      <c r="K285">
        <v>0</v>
      </c>
      <c r="L285">
        <v>39</v>
      </c>
      <c r="M285" t="s">
        <v>829</v>
      </c>
      <c r="N285">
        <v>13.4</v>
      </c>
      <c r="O285">
        <v>-0.443</v>
      </c>
      <c r="P285">
        <v>133.09100000000001</v>
      </c>
      <c r="Q285" t="s">
        <v>1025</v>
      </c>
      <c r="R285" t="s">
        <v>54</v>
      </c>
      <c r="S285" t="s">
        <v>108</v>
      </c>
      <c r="T285">
        <v>2</v>
      </c>
      <c r="U285">
        <v>6.5</v>
      </c>
      <c r="V285">
        <v>305</v>
      </c>
      <c r="W285">
        <v>0</v>
      </c>
      <c r="X285">
        <v>39</v>
      </c>
      <c r="Y285">
        <v>13.4</v>
      </c>
      <c r="Z285">
        <v>0</v>
      </c>
      <c r="AA285">
        <v>7</v>
      </c>
      <c r="AB285">
        <v>0</v>
      </c>
      <c r="AC285">
        <v>650</v>
      </c>
      <c r="AD285" s="8">
        <v>38196</v>
      </c>
    </row>
    <row r="286" spans="1:30">
      <c r="A286" t="s">
        <v>904</v>
      </c>
      <c r="B286">
        <v>6.8</v>
      </c>
      <c r="C286" s="8" t="s">
        <v>905</v>
      </c>
      <c r="D286">
        <v>7</v>
      </c>
      <c r="E286">
        <v>7</v>
      </c>
      <c r="F286" t="s">
        <v>66</v>
      </c>
      <c r="G286">
        <v>0</v>
      </c>
      <c r="H286">
        <v>1005</v>
      </c>
      <c r="I286" t="s">
        <v>22</v>
      </c>
      <c r="J286">
        <v>0</v>
      </c>
      <c r="K286">
        <v>7.359</v>
      </c>
      <c r="L286">
        <v>17</v>
      </c>
      <c r="M286" t="s">
        <v>23</v>
      </c>
      <c r="N286">
        <v>12</v>
      </c>
      <c r="O286">
        <v>27.182500000000001</v>
      </c>
      <c r="P286">
        <v>65.505200000000002</v>
      </c>
      <c r="Q286" t="s">
        <v>906</v>
      </c>
      <c r="R286" t="s">
        <v>54</v>
      </c>
      <c r="S286" t="s">
        <v>907</v>
      </c>
      <c r="T286">
        <v>2</v>
      </c>
      <c r="U286">
        <v>6.8</v>
      </c>
      <c r="V286">
        <v>0</v>
      </c>
      <c r="W286">
        <v>7.359</v>
      </c>
      <c r="X286">
        <v>17</v>
      </c>
      <c r="Y286">
        <v>12</v>
      </c>
      <c r="Z286">
        <v>7</v>
      </c>
      <c r="AA286">
        <v>7</v>
      </c>
      <c r="AB286">
        <v>0</v>
      </c>
      <c r="AC286">
        <v>1005</v>
      </c>
      <c r="AD286" s="8">
        <v>41545</v>
      </c>
    </row>
    <row r="287" spans="1:30">
      <c r="A287" t="s">
        <v>421</v>
      </c>
      <c r="B287">
        <v>7.5</v>
      </c>
      <c r="C287" s="8" t="s">
        <v>422</v>
      </c>
      <c r="D287">
        <v>8</v>
      </c>
      <c r="E287">
        <v>8</v>
      </c>
      <c r="F287" t="s">
        <v>103</v>
      </c>
      <c r="G287">
        <v>0</v>
      </c>
      <c r="H287">
        <v>2026</v>
      </c>
      <c r="I287" t="s">
        <v>22</v>
      </c>
      <c r="J287">
        <v>0</v>
      </c>
      <c r="K287">
        <v>1.649</v>
      </c>
      <c r="L287">
        <v>13</v>
      </c>
      <c r="M287" t="s">
        <v>23</v>
      </c>
      <c r="N287">
        <v>20</v>
      </c>
      <c r="O287">
        <v>-0.25590000000000002</v>
      </c>
      <c r="P287">
        <v>119.846</v>
      </c>
      <c r="Q287" t="s">
        <v>423</v>
      </c>
      <c r="R287" t="s">
        <v>54</v>
      </c>
      <c r="S287" t="s">
        <v>108</v>
      </c>
      <c r="T287">
        <v>2</v>
      </c>
      <c r="U287">
        <v>7.5</v>
      </c>
      <c r="V287">
        <v>0</v>
      </c>
      <c r="W287">
        <v>1.649</v>
      </c>
      <c r="X287">
        <v>13</v>
      </c>
      <c r="Y287">
        <v>20</v>
      </c>
      <c r="Z287">
        <v>8</v>
      </c>
      <c r="AA287">
        <v>8</v>
      </c>
      <c r="AB287">
        <v>0</v>
      </c>
      <c r="AC287">
        <v>2026</v>
      </c>
      <c r="AD287" s="8">
        <v>43371</v>
      </c>
    </row>
    <row r="288" spans="1:30">
      <c r="A288" t="s">
        <v>1515</v>
      </c>
      <c r="B288">
        <v>7</v>
      </c>
      <c r="C288" s="8" t="s">
        <v>1516</v>
      </c>
      <c r="D288">
        <v>4</v>
      </c>
      <c r="E288">
        <v>7</v>
      </c>
      <c r="G288">
        <v>0</v>
      </c>
      <c r="H288">
        <v>771</v>
      </c>
      <c r="I288" t="s">
        <v>22</v>
      </c>
      <c r="J288">
        <v>929</v>
      </c>
      <c r="K288">
        <v>0</v>
      </c>
      <c r="L288">
        <v>23.9</v>
      </c>
      <c r="M288" t="s">
        <v>36</v>
      </c>
      <c r="N288">
        <v>39</v>
      </c>
      <c r="O288">
        <v>43.006</v>
      </c>
      <c r="P288">
        <v>145.119</v>
      </c>
      <c r="Q288" t="s">
        <v>1514</v>
      </c>
      <c r="R288" t="s">
        <v>54</v>
      </c>
      <c r="S288" t="s">
        <v>200</v>
      </c>
      <c r="T288">
        <v>2</v>
      </c>
      <c r="U288">
        <v>7</v>
      </c>
      <c r="V288">
        <v>929</v>
      </c>
      <c r="W288">
        <v>0</v>
      </c>
      <c r="X288">
        <v>23.9</v>
      </c>
      <c r="Y288">
        <v>39</v>
      </c>
      <c r="Z288">
        <v>4</v>
      </c>
      <c r="AA288">
        <v>7</v>
      </c>
      <c r="AB288">
        <v>0</v>
      </c>
      <c r="AC288">
        <v>771</v>
      </c>
      <c r="AD288" s="8">
        <v>38319</v>
      </c>
    </row>
    <row r="289" spans="1:30">
      <c r="A289" t="s">
        <v>551</v>
      </c>
      <c r="B289">
        <v>6.6</v>
      </c>
      <c r="C289" s="8" t="s">
        <v>552</v>
      </c>
      <c r="D289">
        <v>6</v>
      </c>
      <c r="E289">
        <v>7</v>
      </c>
      <c r="F289" t="s">
        <v>45</v>
      </c>
      <c r="G289">
        <v>1</v>
      </c>
      <c r="H289">
        <v>671</v>
      </c>
      <c r="I289" t="s">
        <v>22</v>
      </c>
      <c r="J289">
        <v>0</v>
      </c>
      <c r="K289">
        <v>4.5910000000000002</v>
      </c>
      <c r="L289">
        <v>14</v>
      </c>
      <c r="M289" t="s">
        <v>23</v>
      </c>
      <c r="N289">
        <v>17</v>
      </c>
      <c r="O289">
        <v>56.940100000000001</v>
      </c>
      <c r="P289">
        <v>162.786</v>
      </c>
      <c r="Q289" t="s">
        <v>212</v>
      </c>
      <c r="R289" t="s">
        <v>54</v>
      </c>
      <c r="S289" t="s">
        <v>295</v>
      </c>
      <c r="T289">
        <v>2</v>
      </c>
      <c r="U289">
        <v>6.6</v>
      </c>
      <c r="V289">
        <v>0</v>
      </c>
      <c r="W289">
        <v>4.5910000000000002</v>
      </c>
      <c r="X289">
        <v>14</v>
      </c>
      <c r="Y289">
        <v>17</v>
      </c>
      <c r="Z289">
        <v>6</v>
      </c>
      <c r="AA289">
        <v>7</v>
      </c>
      <c r="AB289">
        <v>1</v>
      </c>
      <c r="AC289">
        <v>671</v>
      </c>
      <c r="AD289" s="8">
        <v>42823</v>
      </c>
    </row>
    <row r="290" spans="1:30">
      <c r="A290" t="s">
        <v>1430</v>
      </c>
      <c r="B290">
        <v>6.6</v>
      </c>
      <c r="C290" s="8" t="s">
        <v>1431</v>
      </c>
      <c r="D290">
        <v>0</v>
      </c>
      <c r="E290">
        <v>8</v>
      </c>
      <c r="G290">
        <v>0</v>
      </c>
      <c r="H290">
        <v>670</v>
      </c>
      <c r="I290" t="s">
        <v>22</v>
      </c>
      <c r="J290">
        <v>645</v>
      </c>
      <c r="K290">
        <v>0</v>
      </c>
      <c r="L290">
        <v>28.4</v>
      </c>
      <c r="M290" t="s">
        <v>829</v>
      </c>
      <c r="N290">
        <v>11</v>
      </c>
      <c r="O290">
        <v>60.491</v>
      </c>
      <c r="P290">
        <v>167.51599999999999</v>
      </c>
      <c r="Q290" t="s">
        <v>1419</v>
      </c>
      <c r="R290" t="s">
        <v>54</v>
      </c>
      <c r="S290" t="s">
        <v>295</v>
      </c>
      <c r="T290">
        <v>2</v>
      </c>
      <c r="U290">
        <v>6.6</v>
      </c>
      <c r="V290">
        <v>645</v>
      </c>
      <c r="W290">
        <v>0</v>
      </c>
      <c r="X290">
        <v>28.4</v>
      </c>
      <c r="Y290">
        <v>11</v>
      </c>
      <c r="Z290">
        <v>0</v>
      </c>
      <c r="AA290">
        <v>8</v>
      </c>
      <c r="AB290">
        <v>0</v>
      </c>
      <c r="AC290">
        <v>670</v>
      </c>
      <c r="AD290" s="8">
        <v>38836</v>
      </c>
    </row>
    <row r="291" spans="1:30">
      <c r="A291" t="s">
        <v>536</v>
      </c>
      <c r="B291">
        <v>6.6</v>
      </c>
      <c r="C291" s="8" t="s">
        <v>537</v>
      </c>
      <c r="D291">
        <v>7</v>
      </c>
      <c r="E291">
        <v>7</v>
      </c>
      <c r="F291" t="s">
        <v>21</v>
      </c>
      <c r="G291">
        <v>0</v>
      </c>
      <c r="H291">
        <v>678</v>
      </c>
      <c r="I291" t="s">
        <v>22</v>
      </c>
      <c r="J291">
        <v>0</v>
      </c>
      <c r="K291">
        <v>2.3530000000000002</v>
      </c>
      <c r="L291">
        <v>18</v>
      </c>
      <c r="M291" t="s">
        <v>23</v>
      </c>
      <c r="N291">
        <v>12</v>
      </c>
      <c r="O291">
        <v>-1.2923</v>
      </c>
      <c r="P291">
        <v>120.431</v>
      </c>
      <c r="Q291" t="s">
        <v>538</v>
      </c>
      <c r="R291" t="s">
        <v>54</v>
      </c>
      <c r="S291" t="s">
        <v>108</v>
      </c>
      <c r="T291">
        <v>2</v>
      </c>
      <c r="U291">
        <v>6.6</v>
      </c>
      <c r="V291">
        <v>0</v>
      </c>
      <c r="W291">
        <v>2.3530000000000002</v>
      </c>
      <c r="X291">
        <v>18</v>
      </c>
      <c r="Y291">
        <v>12</v>
      </c>
      <c r="Z291">
        <v>7</v>
      </c>
      <c r="AA291">
        <v>7</v>
      </c>
      <c r="AB291">
        <v>0</v>
      </c>
      <c r="AC291">
        <v>678</v>
      </c>
      <c r="AD291" s="8">
        <v>42884</v>
      </c>
    </row>
    <row r="292" spans="1:30">
      <c r="A292" t="s">
        <v>1585</v>
      </c>
      <c r="B292">
        <v>6.5</v>
      </c>
      <c r="C292" s="8" t="s">
        <v>1586</v>
      </c>
      <c r="D292">
        <v>0</v>
      </c>
      <c r="E292">
        <v>5</v>
      </c>
      <c r="G292">
        <v>0</v>
      </c>
      <c r="H292">
        <v>650</v>
      </c>
      <c r="I292" t="s">
        <v>22</v>
      </c>
      <c r="J292">
        <v>586</v>
      </c>
      <c r="K292">
        <v>0</v>
      </c>
      <c r="L292">
        <v>71.3</v>
      </c>
      <c r="M292" t="s">
        <v>829</v>
      </c>
      <c r="N292">
        <v>25</v>
      </c>
      <c r="O292">
        <v>42.45</v>
      </c>
      <c r="P292">
        <v>144.38</v>
      </c>
      <c r="Q292" t="s">
        <v>1582</v>
      </c>
      <c r="R292" t="s">
        <v>54</v>
      </c>
      <c r="S292" t="s">
        <v>200</v>
      </c>
      <c r="T292">
        <v>2</v>
      </c>
      <c r="U292">
        <v>6.5</v>
      </c>
      <c r="V292">
        <v>586</v>
      </c>
      <c r="W292">
        <v>0</v>
      </c>
      <c r="X292">
        <v>71.3</v>
      </c>
      <c r="Y292">
        <v>25</v>
      </c>
      <c r="Z292">
        <v>0</v>
      </c>
      <c r="AA292">
        <v>5</v>
      </c>
      <c r="AB292">
        <v>0</v>
      </c>
      <c r="AC292">
        <v>650</v>
      </c>
      <c r="AD292" s="8">
        <v>37893</v>
      </c>
    </row>
    <row r="293" spans="1:30">
      <c r="A293" t="s">
        <v>1138</v>
      </c>
      <c r="B293">
        <v>7</v>
      </c>
      <c r="C293" s="8" t="s">
        <v>1139</v>
      </c>
      <c r="D293">
        <v>8</v>
      </c>
      <c r="E293">
        <v>5</v>
      </c>
      <c r="G293">
        <v>0</v>
      </c>
      <c r="H293">
        <v>772</v>
      </c>
      <c r="I293" t="s">
        <v>22</v>
      </c>
      <c r="J293">
        <v>271</v>
      </c>
      <c r="K293">
        <v>0</v>
      </c>
      <c r="L293">
        <v>15.1</v>
      </c>
      <c r="M293" t="s">
        <v>829</v>
      </c>
      <c r="N293">
        <v>26</v>
      </c>
      <c r="O293">
        <v>-4.9630000000000001</v>
      </c>
      <c r="P293">
        <v>133.76</v>
      </c>
      <c r="Q293" t="s">
        <v>1140</v>
      </c>
      <c r="R293" t="s">
        <v>54</v>
      </c>
      <c r="S293" t="s">
        <v>108</v>
      </c>
      <c r="T293">
        <v>2</v>
      </c>
      <c r="U293">
        <v>7</v>
      </c>
      <c r="V293">
        <v>271</v>
      </c>
      <c r="W293">
        <v>0</v>
      </c>
      <c r="X293">
        <v>15.1</v>
      </c>
      <c r="Y293">
        <v>26</v>
      </c>
      <c r="Z293">
        <v>8</v>
      </c>
      <c r="AA293">
        <v>5</v>
      </c>
      <c r="AB293">
        <v>0</v>
      </c>
      <c r="AC293">
        <v>772</v>
      </c>
      <c r="AD293" s="8">
        <v>40450</v>
      </c>
    </row>
    <row r="294" spans="1:30">
      <c r="A294" t="s">
        <v>315</v>
      </c>
      <c r="B294">
        <v>6.6</v>
      </c>
      <c r="C294" s="8" t="s">
        <v>316</v>
      </c>
      <c r="D294">
        <v>9</v>
      </c>
      <c r="E294">
        <v>7</v>
      </c>
      <c r="F294" t="s">
        <v>45</v>
      </c>
      <c r="G294">
        <v>1</v>
      </c>
      <c r="H294">
        <v>780</v>
      </c>
      <c r="I294" t="s">
        <v>22</v>
      </c>
      <c r="J294">
        <v>0</v>
      </c>
      <c r="K294">
        <v>0.64600000000000002</v>
      </c>
      <c r="L294">
        <v>24</v>
      </c>
      <c r="M294" t="s">
        <v>23</v>
      </c>
      <c r="N294">
        <v>15</v>
      </c>
      <c r="O294">
        <v>6.7567000000000004</v>
      </c>
      <c r="P294">
        <v>125.008</v>
      </c>
      <c r="Q294" t="s">
        <v>317</v>
      </c>
      <c r="R294" t="s">
        <v>54</v>
      </c>
      <c r="S294" t="s">
        <v>75</v>
      </c>
      <c r="T294">
        <v>2</v>
      </c>
      <c r="U294">
        <v>6.6</v>
      </c>
      <c r="V294">
        <v>0</v>
      </c>
      <c r="W294">
        <v>0.64600000000000002</v>
      </c>
      <c r="X294">
        <v>24</v>
      </c>
      <c r="Y294">
        <v>15</v>
      </c>
      <c r="Z294">
        <v>9</v>
      </c>
      <c r="AA294">
        <v>7</v>
      </c>
      <c r="AB294">
        <v>1</v>
      </c>
      <c r="AC294">
        <v>780</v>
      </c>
      <c r="AD294" s="8">
        <v>43767</v>
      </c>
    </row>
    <row r="295" spans="1:30">
      <c r="A295" t="s">
        <v>387</v>
      </c>
      <c r="B295">
        <v>7</v>
      </c>
      <c r="C295" s="8" t="s">
        <v>388</v>
      </c>
      <c r="D295">
        <v>5</v>
      </c>
      <c r="E295">
        <v>5</v>
      </c>
      <c r="F295" t="s">
        <v>21</v>
      </c>
      <c r="G295">
        <v>1</v>
      </c>
      <c r="H295">
        <v>803</v>
      </c>
      <c r="I295" t="s">
        <v>22</v>
      </c>
      <c r="J295">
        <v>0</v>
      </c>
      <c r="K295">
        <v>1.7689999999999999</v>
      </c>
      <c r="L295">
        <v>21</v>
      </c>
      <c r="M295" t="s">
        <v>23</v>
      </c>
      <c r="N295">
        <v>60.21</v>
      </c>
      <c r="O295">
        <v>5.8982999999999999</v>
      </c>
      <c r="P295">
        <v>126.92100000000001</v>
      </c>
      <c r="Q295" t="s">
        <v>177</v>
      </c>
      <c r="R295" t="s">
        <v>54</v>
      </c>
      <c r="S295" t="s">
        <v>75</v>
      </c>
      <c r="T295">
        <v>2</v>
      </c>
      <c r="U295">
        <v>7</v>
      </c>
      <c r="V295">
        <v>0</v>
      </c>
      <c r="W295">
        <v>1.7689999999999999</v>
      </c>
      <c r="X295">
        <v>21</v>
      </c>
      <c r="Y295">
        <v>60.21</v>
      </c>
      <c r="Z295">
        <v>5</v>
      </c>
      <c r="AA295">
        <v>5</v>
      </c>
      <c r="AB295">
        <v>1</v>
      </c>
      <c r="AC295">
        <v>803</v>
      </c>
      <c r="AD295" s="8">
        <v>43463</v>
      </c>
    </row>
    <row r="296" spans="1:30">
      <c r="A296" t="s">
        <v>132</v>
      </c>
      <c r="B296">
        <v>7.3</v>
      </c>
      <c r="C296" s="8" t="s">
        <v>133</v>
      </c>
      <c r="D296">
        <v>8</v>
      </c>
      <c r="E296">
        <v>7</v>
      </c>
      <c r="F296" t="s">
        <v>21</v>
      </c>
      <c r="G296">
        <v>0</v>
      </c>
      <c r="H296">
        <v>921</v>
      </c>
      <c r="I296" t="s">
        <v>22</v>
      </c>
      <c r="J296">
        <v>0</v>
      </c>
      <c r="K296">
        <v>3.7130000000000001</v>
      </c>
      <c r="L296">
        <v>19</v>
      </c>
      <c r="M296" t="s">
        <v>23</v>
      </c>
      <c r="N296">
        <v>165.49</v>
      </c>
      <c r="O296">
        <v>-7.5923999999999996</v>
      </c>
      <c r="P296">
        <v>127.581</v>
      </c>
      <c r="Q296" t="s">
        <v>134</v>
      </c>
      <c r="R296" t="s">
        <v>54</v>
      </c>
      <c r="S296" t="s">
        <v>108</v>
      </c>
      <c r="T296">
        <v>2</v>
      </c>
      <c r="U296">
        <v>7.3</v>
      </c>
      <c r="V296">
        <v>0</v>
      </c>
      <c r="W296">
        <v>3.7130000000000001</v>
      </c>
      <c r="X296">
        <v>19</v>
      </c>
      <c r="Y296">
        <v>165.49</v>
      </c>
      <c r="Z296">
        <v>8</v>
      </c>
      <c r="AA296">
        <v>7</v>
      </c>
      <c r="AB296">
        <v>0</v>
      </c>
      <c r="AC296">
        <v>921</v>
      </c>
      <c r="AD296" s="8">
        <v>44559</v>
      </c>
    </row>
    <row r="297" spans="1:30">
      <c r="A297" t="s">
        <v>655</v>
      </c>
      <c r="B297">
        <v>7.2</v>
      </c>
      <c r="C297" s="8" t="s">
        <v>656</v>
      </c>
      <c r="D297">
        <v>3</v>
      </c>
      <c r="E297">
        <v>7</v>
      </c>
      <c r="F297" t="s">
        <v>21</v>
      </c>
      <c r="G297">
        <v>1</v>
      </c>
      <c r="H297">
        <v>799</v>
      </c>
      <c r="I297" t="s">
        <v>22</v>
      </c>
      <c r="J297">
        <v>0</v>
      </c>
      <c r="K297">
        <v>0.95799999999999996</v>
      </c>
      <c r="L297">
        <v>17</v>
      </c>
      <c r="M297" t="s">
        <v>23</v>
      </c>
      <c r="N297">
        <v>177</v>
      </c>
      <c r="O297">
        <v>53.977600000000002</v>
      </c>
      <c r="P297">
        <v>158.54599999999999</v>
      </c>
      <c r="Q297" t="s">
        <v>657</v>
      </c>
      <c r="R297" t="s">
        <v>54</v>
      </c>
      <c r="S297" t="s">
        <v>295</v>
      </c>
      <c r="T297">
        <v>2</v>
      </c>
      <c r="U297">
        <v>7.2</v>
      </c>
      <c r="V297">
        <v>0</v>
      </c>
      <c r="W297">
        <v>0.95799999999999996</v>
      </c>
      <c r="X297">
        <v>17</v>
      </c>
      <c r="Y297">
        <v>177</v>
      </c>
      <c r="Z297">
        <v>3</v>
      </c>
      <c r="AA297">
        <v>7</v>
      </c>
      <c r="AB297">
        <v>1</v>
      </c>
      <c r="AC297">
        <v>799</v>
      </c>
      <c r="AD297" s="8">
        <v>42399</v>
      </c>
    </row>
    <row r="298" spans="1:30">
      <c r="A298" t="s">
        <v>742</v>
      </c>
      <c r="B298">
        <v>7.8</v>
      </c>
      <c r="C298" s="8" t="s">
        <v>743</v>
      </c>
      <c r="D298">
        <v>6</v>
      </c>
      <c r="E298">
        <v>3</v>
      </c>
      <c r="F298" t="s">
        <v>21</v>
      </c>
      <c r="G298">
        <v>1</v>
      </c>
      <c r="H298">
        <v>1151</v>
      </c>
      <c r="I298" t="s">
        <v>22</v>
      </c>
      <c r="J298">
        <v>0</v>
      </c>
      <c r="K298">
        <v>1.675</v>
      </c>
      <c r="L298">
        <v>12</v>
      </c>
      <c r="M298" t="s">
        <v>23</v>
      </c>
      <c r="N298">
        <v>664</v>
      </c>
      <c r="O298">
        <v>27.8386</v>
      </c>
      <c r="P298">
        <v>140.49299999999999</v>
      </c>
      <c r="Q298" t="s">
        <v>741</v>
      </c>
      <c r="R298" t="s">
        <v>54</v>
      </c>
      <c r="S298" t="s">
        <v>200</v>
      </c>
      <c r="T298">
        <v>2</v>
      </c>
      <c r="U298">
        <v>7.8</v>
      </c>
      <c r="V298">
        <v>0</v>
      </c>
      <c r="W298">
        <v>1.675</v>
      </c>
      <c r="X298">
        <v>12</v>
      </c>
      <c r="Y298">
        <v>664</v>
      </c>
      <c r="Z298">
        <v>6</v>
      </c>
      <c r="AA298">
        <v>3</v>
      </c>
      <c r="AB298">
        <v>1</v>
      </c>
      <c r="AC298">
        <v>1151</v>
      </c>
      <c r="AD298" s="8">
        <v>42154</v>
      </c>
    </row>
    <row r="299" spans="1:30">
      <c r="A299" t="s">
        <v>1222</v>
      </c>
      <c r="B299">
        <v>7.6</v>
      </c>
      <c r="C299" s="8" t="s">
        <v>1223</v>
      </c>
      <c r="D299">
        <v>8</v>
      </c>
      <c r="E299">
        <v>8</v>
      </c>
      <c r="G299">
        <v>0</v>
      </c>
      <c r="H299">
        <v>1639</v>
      </c>
      <c r="I299" t="s">
        <v>22</v>
      </c>
      <c r="J299">
        <v>498</v>
      </c>
      <c r="K299">
        <v>0</v>
      </c>
      <c r="L299">
        <v>14</v>
      </c>
      <c r="M299" t="s">
        <v>829</v>
      </c>
      <c r="N299">
        <v>81</v>
      </c>
      <c r="O299">
        <v>-0.72</v>
      </c>
      <c r="P299">
        <v>99.867000000000004</v>
      </c>
      <c r="Q299" t="s">
        <v>107</v>
      </c>
      <c r="R299" t="s">
        <v>54</v>
      </c>
      <c r="S299" t="s">
        <v>108</v>
      </c>
      <c r="T299">
        <v>2</v>
      </c>
      <c r="U299">
        <v>7.6</v>
      </c>
      <c r="V299">
        <v>498</v>
      </c>
      <c r="W299">
        <v>0</v>
      </c>
      <c r="X299">
        <v>14</v>
      </c>
      <c r="Y299">
        <v>81</v>
      </c>
      <c r="Z299">
        <v>8</v>
      </c>
      <c r="AA299">
        <v>8</v>
      </c>
      <c r="AB299">
        <v>0</v>
      </c>
      <c r="AC299">
        <v>1639</v>
      </c>
      <c r="AD299" s="8">
        <v>40086</v>
      </c>
    </row>
    <row r="300" spans="1:30">
      <c r="A300" t="s">
        <v>1213</v>
      </c>
      <c r="B300">
        <v>6.8</v>
      </c>
      <c r="C300" s="8" t="s">
        <v>1214</v>
      </c>
      <c r="D300">
        <v>0</v>
      </c>
      <c r="E300">
        <v>6</v>
      </c>
      <c r="G300">
        <v>0</v>
      </c>
      <c r="H300">
        <v>711</v>
      </c>
      <c r="I300" t="s">
        <v>22</v>
      </c>
      <c r="J300">
        <v>424</v>
      </c>
      <c r="K300">
        <v>0</v>
      </c>
      <c r="L300">
        <v>21.4</v>
      </c>
      <c r="M300" t="s">
        <v>829</v>
      </c>
      <c r="N300">
        <v>34</v>
      </c>
      <c r="O300">
        <v>29.218</v>
      </c>
      <c r="P300">
        <v>129.78200000000001</v>
      </c>
      <c r="Q300" t="s">
        <v>272</v>
      </c>
      <c r="R300" t="s">
        <v>54</v>
      </c>
      <c r="S300" t="s">
        <v>200</v>
      </c>
      <c r="T300">
        <v>2</v>
      </c>
      <c r="U300">
        <v>6.8</v>
      </c>
      <c r="V300">
        <v>424</v>
      </c>
      <c r="W300">
        <v>0</v>
      </c>
      <c r="X300">
        <v>21.4</v>
      </c>
      <c r="Y300">
        <v>34</v>
      </c>
      <c r="Z300">
        <v>0</v>
      </c>
      <c r="AA300">
        <v>6</v>
      </c>
      <c r="AB300">
        <v>0</v>
      </c>
      <c r="AC300">
        <v>711</v>
      </c>
      <c r="AD300" s="8">
        <v>40116</v>
      </c>
    </row>
    <row r="301" spans="1:30">
      <c r="A301" t="s">
        <v>1659</v>
      </c>
      <c r="B301">
        <v>7.1</v>
      </c>
      <c r="C301" s="8" t="s">
        <v>1660</v>
      </c>
      <c r="D301">
        <v>0</v>
      </c>
      <c r="E301">
        <v>6</v>
      </c>
      <c r="G301">
        <v>0</v>
      </c>
      <c r="H301">
        <v>776</v>
      </c>
      <c r="I301" t="s">
        <v>22</v>
      </c>
      <c r="J301">
        <v>550</v>
      </c>
      <c r="K301">
        <v>0</v>
      </c>
      <c r="L301">
        <v>0</v>
      </c>
      <c r="M301" t="s">
        <v>829</v>
      </c>
      <c r="N301">
        <v>32.799999999999997</v>
      </c>
      <c r="O301">
        <v>24.279</v>
      </c>
      <c r="P301">
        <v>122.179</v>
      </c>
      <c r="Q301" t="s">
        <v>100</v>
      </c>
      <c r="R301" t="s">
        <v>54</v>
      </c>
      <c r="S301" t="s">
        <v>55</v>
      </c>
      <c r="T301">
        <v>2</v>
      </c>
      <c r="U301">
        <v>7.1</v>
      </c>
      <c r="V301">
        <v>550</v>
      </c>
      <c r="W301">
        <v>0</v>
      </c>
      <c r="X301">
        <v>0</v>
      </c>
      <c r="Y301">
        <v>32.799999999999997</v>
      </c>
      <c r="Z301">
        <v>0</v>
      </c>
      <c r="AA301">
        <v>6</v>
      </c>
      <c r="AB301">
        <v>0</v>
      </c>
      <c r="AC301">
        <v>776</v>
      </c>
      <c r="AD301" s="8">
        <v>37346</v>
      </c>
    </row>
    <row r="302" spans="1:30">
      <c r="A302" t="s">
        <v>1008</v>
      </c>
      <c r="B302">
        <v>7.6</v>
      </c>
      <c r="C302" s="8" t="s">
        <v>1009</v>
      </c>
      <c r="D302">
        <v>8</v>
      </c>
      <c r="E302">
        <v>5</v>
      </c>
      <c r="G302">
        <v>0</v>
      </c>
      <c r="H302">
        <v>1115</v>
      </c>
      <c r="I302" t="s">
        <v>22</v>
      </c>
      <c r="J302">
        <v>682</v>
      </c>
      <c r="K302">
        <v>0</v>
      </c>
      <c r="L302">
        <v>10.199999999999999</v>
      </c>
      <c r="M302" t="s">
        <v>23</v>
      </c>
      <c r="N302">
        <v>28</v>
      </c>
      <c r="O302">
        <v>10.811</v>
      </c>
      <c r="P302">
        <v>126.63800000000001</v>
      </c>
      <c r="Q302" t="s">
        <v>1010</v>
      </c>
      <c r="R302" t="s">
        <v>54</v>
      </c>
      <c r="S302" t="s">
        <v>1740</v>
      </c>
      <c r="T302">
        <v>2</v>
      </c>
      <c r="U302">
        <v>7.6</v>
      </c>
      <c r="V302">
        <v>682</v>
      </c>
      <c r="W302">
        <v>0</v>
      </c>
      <c r="X302">
        <v>10.199999999999999</v>
      </c>
      <c r="Y302">
        <v>28</v>
      </c>
      <c r="Z302">
        <v>8</v>
      </c>
      <c r="AA302">
        <v>5</v>
      </c>
      <c r="AB302">
        <v>0</v>
      </c>
      <c r="AC302">
        <v>1115</v>
      </c>
      <c r="AD302" s="8">
        <v>41152</v>
      </c>
    </row>
    <row r="303" spans="1:30">
      <c r="A303" t="s">
        <v>1579</v>
      </c>
      <c r="B303">
        <v>7</v>
      </c>
      <c r="C303" s="8" t="s">
        <v>1580</v>
      </c>
      <c r="D303">
        <v>0</v>
      </c>
      <c r="E303">
        <v>5</v>
      </c>
      <c r="G303">
        <v>0</v>
      </c>
      <c r="H303">
        <v>754</v>
      </c>
      <c r="I303" t="s">
        <v>22</v>
      </c>
      <c r="J303">
        <v>568</v>
      </c>
      <c r="K303">
        <v>0</v>
      </c>
      <c r="L303">
        <v>61.2</v>
      </c>
      <c r="M303" t="s">
        <v>36</v>
      </c>
      <c r="N303">
        <v>10</v>
      </c>
      <c r="O303">
        <v>37.811999999999998</v>
      </c>
      <c r="P303">
        <v>142.619</v>
      </c>
      <c r="Q303" t="s">
        <v>209</v>
      </c>
      <c r="R303" s="3" t="s">
        <v>54</v>
      </c>
      <c r="S303" t="s">
        <v>200</v>
      </c>
      <c r="T303">
        <v>2</v>
      </c>
      <c r="U303">
        <v>7</v>
      </c>
      <c r="V303">
        <v>568</v>
      </c>
      <c r="W303">
        <v>0</v>
      </c>
      <c r="X303">
        <v>61.2</v>
      </c>
      <c r="Y303">
        <v>10</v>
      </c>
      <c r="Z303">
        <v>0</v>
      </c>
      <c r="AA303">
        <v>5</v>
      </c>
      <c r="AB303">
        <v>0</v>
      </c>
      <c r="AC303">
        <v>754</v>
      </c>
      <c r="AD303" s="8">
        <v>37925</v>
      </c>
    </row>
    <row r="304" spans="1:30">
      <c r="A304" t="s">
        <v>312</v>
      </c>
      <c r="B304">
        <v>6.5</v>
      </c>
      <c r="C304" s="8" t="s">
        <v>313</v>
      </c>
      <c r="D304">
        <v>9</v>
      </c>
      <c r="E304">
        <v>7</v>
      </c>
      <c r="F304" t="s">
        <v>21</v>
      </c>
      <c r="G304">
        <v>1</v>
      </c>
      <c r="H304">
        <v>733</v>
      </c>
      <c r="I304" t="s">
        <v>22</v>
      </c>
      <c r="J304">
        <v>0</v>
      </c>
      <c r="K304">
        <v>0.42799999999999999</v>
      </c>
      <c r="L304">
        <v>19</v>
      </c>
      <c r="M304" t="s">
        <v>23</v>
      </c>
      <c r="N304">
        <v>10</v>
      </c>
      <c r="O304">
        <v>6.9097999999999997</v>
      </c>
      <c r="P304">
        <v>125.178</v>
      </c>
      <c r="Q304" t="s">
        <v>314</v>
      </c>
      <c r="R304" t="s">
        <v>54</v>
      </c>
      <c r="S304" t="s">
        <v>75</v>
      </c>
      <c r="T304">
        <v>2</v>
      </c>
      <c r="U304">
        <v>6.5</v>
      </c>
      <c r="V304">
        <v>0</v>
      </c>
      <c r="W304">
        <v>0.42799999999999999</v>
      </c>
      <c r="X304">
        <v>19</v>
      </c>
      <c r="Y304">
        <v>10</v>
      </c>
      <c r="Z304">
        <v>9</v>
      </c>
      <c r="AA304">
        <v>7</v>
      </c>
      <c r="AB304">
        <v>1</v>
      </c>
      <c r="AC304">
        <v>733</v>
      </c>
      <c r="AD304" s="8">
        <v>43769</v>
      </c>
    </row>
    <row r="305" spans="1:30">
      <c r="A305" t="s">
        <v>1598</v>
      </c>
      <c r="B305">
        <v>7.6</v>
      </c>
      <c r="C305" s="8">
        <v>37719.192361111112</v>
      </c>
      <c r="D305">
        <v>0</v>
      </c>
      <c r="E305">
        <v>6</v>
      </c>
      <c r="G305">
        <v>0</v>
      </c>
      <c r="H305">
        <v>889</v>
      </c>
      <c r="I305" t="s">
        <v>22</v>
      </c>
      <c r="J305">
        <v>315</v>
      </c>
      <c r="K305">
        <v>0</v>
      </c>
      <c r="L305">
        <v>25.2</v>
      </c>
      <c r="M305" t="s">
        <v>829</v>
      </c>
      <c r="N305">
        <v>10</v>
      </c>
      <c r="O305">
        <v>-60.531999999999996</v>
      </c>
      <c r="P305">
        <v>-43.411000000000001</v>
      </c>
      <c r="Q305" t="s">
        <v>883</v>
      </c>
      <c r="R305" t="s">
        <v>234</v>
      </c>
      <c r="S305" t="s">
        <v>1753</v>
      </c>
      <c r="T305">
        <v>3</v>
      </c>
      <c r="U305">
        <v>7.6</v>
      </c>
      <c r="V305">
        <v>315</v>
      </c>
      <c r="W305">
        <v>0</v>
      </c>
      <c r="X305">
        <v>25.2</v>
      </c>
      <c r="Y305">
        <v>10</v>
      </c>
      <c r="Z305">
        <v>0</v>
      </c>
      <c r="AA305">
        <v>6</v>
      </c>
      <c r="AB305">
        <v>0</v>
      </c>
      <c r="AC305">
        <v>889</v>
      </c>
      <c r="AD305" s="8">
        <v>37719.192361111112</v>
      </c>
    </row>
    <row r="306" spans="1:30">
      <c r="A306" t="s">
        <v>1443</v>
      </c>
      <c r="B306">
        <v>6.7</v>
      </c>
      <c r="C306" s="8">
        <v>38930.481944444444</v>
      </c>
      <c r="D306">
        <v>7</v>
      </c>
      <c r="E306">
        <v>6</v>
      </c>
      <c r="G306">
        <v>0</v>
      </c>
      <c r="H306">
        <v>934</v>
      </c>
      <c r="I306" t="s">
        <v>22</v>
      </c>
      <c r="J306">
        <v>769</v>
      </c>
      <c r="K306">
        <v>0</v>
      </c>
      <c r="L306">
        <v>19.7</v>
      </c>
      <c r="M306" t="s">
        <v>36</v>
      </c>
      <c r="N306">
        <v>66</v>
      </c>
      <c r="O306">
        <v>36.311</v>
      </c>
      <c r="P306">
        <v>23.212</v>
      </c>
      <c r="Q306" t="s">
        <v>1444</v>
      </c>
      <c r="R306" t="s">
        <v>234</v>
      </c>
      <c r="S306" t="s">
        <v>235</v>
      </c>
      <c r="T306">
        <v>3</v>
      </c>
      <c r="U306">
        <v>6.7</v>
      </c>
      <c r="V306">
        <v>769</v>
      </c>
      <c r="W306">
        <v>0</v>
      </c>
      <c r="X306">
        <v>19.7</v>
      </c>
      <c r="Y306">
        <v>66</v>
      </c>
      <c r="Z306">
        <v>7</v>
      </c>
      <c r="AA306">
        <v>6</v>
      </c>
      <c r="AB306">
        <v>0</v>
      </c>
      <c r="AC306">
        <v>934</v>
      </c>
      <c r="AD306" s="8">
        <v>38930.481944444444</v>
      </c>
    </row>
    <row r="307" spans="1:30">
      <c r="A307" t="s">
        <v>899</v>
      </c>
      <c r="B307">
        <v>6.6</v>
      </c>
      <c r="C307" s="8">
        <v>41618.549305555556</v>
      </c>
      <c r="D307">
        <v>5</v>
      </c>
      <c r="E307">
        <v>6</v>
      </c>
      <c r="F307" t="s">
        <v>45</v>
      </c>
      <c r="G307">
        <v>0</v>
      </c>
      <c r="H307">
        <v>691</v>
      </c>
      <c r="I307" t="s">
        <v>22</v>
      </c>
      <c r="J307">
        <v>0</v>
      </c>
      <c r="K307">
        <v>1.984</v>
      </c>
      <c r="L307">
        <v>40</v>
      </c>
      <c r="M307" t="s">
        <v>23</v>
      </c>
      <c r="N307">
        <v>40</v>
      </c>
      <c r="O307">
        <v>35.514200000000002</v>
      </c>
      <c r="P307">
        <v>23.252300000000002</v>
      </c>
      <c r="Q307" t="s">
        <v>900</v>
      </c>
      <c r="R307" t="s">
        <v>234</v>
      </c>
      <c r="S307" t="s">
        <v>235</v>
      </c>
      <c r="T307">
        <v>3</v>
      </c>
      <c r="U307">
        <v>6.6</v>
      </c>
      <c r="V307">
        <v>0</v>
      </c>
      <c r="W307">
        <v>1.984</v>
      </c>
      <c r="X307">
        <v>40</v>
      </c>
      <c r="Y307">
        <v>40</v>
      </c>
      <c r="Z307">
        <v>5</v>
      </c>
      <c r="AA307">
        <v>6</v>
      </c>
      <c r="AB307">
        <v>0</v>
      </c>
      <c r="AC307">
        <v>691</v>
      </c>
      <c r="AD307" s="8">
        <v>41618.549305555556</v>
      </c>
    </row>
    <row r="308" spans="1:30">
      <c r="A308" t="s">
        <v>366</v>
      </c>
      <c r="B308">
        <v>6.5</v>
      </c>
      <c r="C308" s="8">
        <v>43712.745138888888</v>
      </c>
      <c r="D308">
        <v>0</v>
      </c>
      <c r="E308">
        <v>5</v>
      </c>
      <c r="F308" t="s">
        <v>21</v>
      </c>
      <c r="G308">
        <v>1</v>
      </c>
      <c r="H308">
        <v>650</v>
      </c>
      <c r="I308" t="s">
        <v>22</v>
      </c>
      <c r="J308">
        <v>0</v>
      </c>
      <c r="K308">
        <v>7.5679999999999996</v>
      </c>
      <c r="L308">
        <v>18</v>
      </c>
      <c r="M308" t="s">
        <v>23</v>
      </c>
      <c r="N308">
        <v>38</v>
      </c>
      <c r="O308">
        <v>-58.626199999999997</v>
      </c>
      <c r="P308">
        <v>-25.303999999999998</v>
      </c>
      <c r="Q308" t="s">
        <v>327</v>
      </c>
      <c r="R308" t="s">
        <v>234</v>
      </c>
      <c r="S308" t="s">
        <v>1753</v>
      </c>
      <c r="T308">
        <v>3</v>
      </c>
      <c r="U308">
        <v>6.5</v>
      </c>
      <c r="V308">
        <v>0</v>
      </c>
      <c r="W308">
        <v>7.5679999999999996</v>
      </c>
      <c r="X308">
        <v>18</v>
      </c>
      <c r="Y308">
        <v>38</v>
      </c>
      <c r="Z308">
        <v>0</v>
      </c>
      <c r="AA308">
        <v>5</v>
      </c>
      <c r="AB308">
        <v>1</v>
      </c>
      <c r="AC308">
        <v>650</v>
      </c>
      <c r="AD308" s="8">
        <v>43712.745138888888</v>
      </c>
    </row>
    <row r="309" spans="1:30">
      <c r="A309" t="s">
        <v>284</v>
      </c>
      <c r="B309">
        <v>6.5</v>
      </c>
      <c r="C309" s="8">
        <v>43866.535416666666</v>
      </c>
      <c r="D309">
        <v>7</v>
      </c>
      <c r="E309">
        <v>6</v>
      </c>
      <c r="F309" t="s">
        <v>21</v>
      </c>
      <c r="G309">
        <v>0</v>
      </c>
      <c r="H309">
        <v>678</v>
      </c>
      <c r="I309" t="s">
        <v>22</v>
      </c>
      <c r="J309">
        <v>0</v>
      </c>
      <c r="K309">
        <v>1.2929999999999999</v>
      </c>
      <c r="L309">
        <v>19</v>
      </c>
      <c r="M309" t="s">
        <v>23</v>
      </c>
      <c r="N309">
        <v>10</v>
      </c>
      <c r="O309">
        <v>34.181800000000003</v>
      </c>
      <c r="P309">
        <v>25.710100000000001</v>
      </c>
      <c r="Q309" t="s">
        <v>285</v>
      </c>
      <c r="R309" t="s">
        <v>234</v>
      </c>
      <c r="S309" t="s">
        <v>235</v>
      </c>
      <c r="T309">
        <v>3</v>
      </c>
      <c r="U309">
        <v>6.5</v>
      </c>
      <c r="V309">
        <v>0</v>
      </c>
      <c r="W309">
        <v>1.2929999999999999</v>
      </c>
      <c r="X309">
        <v>19</v>
      </c>
      <c r="Y309">
        <v>10</v>
      </c>
      <c r="Z309">
        <v>7</v>
      </c>
      <c r="AA309">
        <v>6</v>
      </c>
      <c r="AB309">
        <v>0</v>
      </c>
      <c r="AC309">
        <v>678</v>
      </c>
      <c r="AD309" s="8">
        <v>43866.535416666666</v>
      </c>
    </row>
    <row r="310" spans="1:30">
      <c r="A310" t="s">
        <v>1303</v>
      </c>
      <c r="B310">
        <v>6.9</v>
      </c>
      <c r="C310" s="8" t="s">
        <v>1304</v>
      </c>
      <c r="D310">
        <v>6</v>
      </c>
      <c r="E310">
        <v>6</v>
      </c>
      <c r="G310">
        <v>0</v>
      </c>
      <c r="H310">
        <v>941</v>
      </c>
      <c r="I310" t="s">
        <v>22</v>
      </c>
      <c r="J310">
        <v>645</v>
      </c>
      <c r="K310">
        <v>0</v>
      </c>
      <c r="L310">
        <v>30.6</v>
      </c>
      <c r="M310" t="s">
        <v>829</v>
      </c>
      <c r="N310">
        <v>29</v>
      </c>
      <c r="O310">
        <v>36.500999999999998</v>
      </c>
      <c r="P310">
        <v>21.67</v>
      </c>
      <c r="Q310" t="s">
        <v>1305</v>
      </c>
      <c r="R310" t="s">
        <v>234</v>
      </c>
      <c r="S310" t="s">
        <v>235</v>
      </c>
      <c r="T310">
        <v>3</v>
      </c>
      <c r="U310">
        <v>6.9</v>
      </c>
      <c r="V310">
        <v>645</v>
      </c>
      <c r="W310">
        <v>0</v>
      </c>
      <c r="X310">
        <v>30.6</v>
      </c>
      <c r="Y310">
        <v>29</v>
      </c>
      <c r="Z310">
        <v>6</v>
      </c>
      <c r="AA310">
        <v>6</v>
      </c>
      <c r="AB310">
        <v>0</v>
      </c>
      <c r="AC310">
        <v>941</v>
      </c>
      <c r="AD310" s="8">
        <v>39492</v>
      </c>
    </row>
    <row r="311" spans="1:30">
      <c r="A311" t="s">
        <v>1300</v>
      </c>
      <c r="B311">
        <v>6.5</v>
      </c>
      <c r="C311" s="8" t="s">
        <v>1301</v>
      </c>
      <c r="D311">
        <v>8</v>
      </c>
      <c r="E311">
        <v>5</v>
      </c>
      <c r="G311">
        <v>0</v>
      </c>
      <c r="H311">
        <v>692</v>
      </c>
      <c r="I311" t="s">
        <v>22</v>
      </c>
      <c r="J311">
        <v>650</v>
      </c>
      <c r="K311">
        <v>0</v>
      </c>
      <c r="L311">
        <v>30.7</v>
      </c>
      <c r="M311" t="s">
        <v>829</v>
      </c>
      <c r="N311">
        <v>28</v>
      </c>
      <c r="O311">
        <v>36.344999999999999</v>
      </c>
      <c r="P311">
        <v>21.863</v>
      </c>
      <c r="Q311" t="s">
        <v>1302</v>
      </c>
      <c r="R311" t="s">
        <v>234</v>
      </c>
      <c r="S311" t="s">
        <v>235</v>
      </c>
      <c r="T311">
        <v>3</v>
      </c>
      <c r="U311">
        <v>6.5</v>
      </c>
      <c r="V311">
        <v>650</v>
      </c>
      <c r="W311">
        <v>0</v>
      </c>
      <c r="X311">
        <v>30.7</v>
      </c>
      <c r="Y311">
        <v>28</v>
      </c>
      <c r="Z311">
        <v>8</v>
      </c>
      <c r="AA311">
        <v>5</v>
      </c>
      <c r="AB311">
        <v>0</v>
      </c>
      <c r="AC311">
        <v>692</v>
      </c>
      <c r="AD311" s="8">
        <v>39492</v>
      </c>
    </row>
    <row r="312" spans="1:30">
      <c r="A312" t="s">
        <v>927</v>
      </c>
      <c r="B312">
        <v>7.3</v>
      </c>
      <c r="C312" s="8" t="s">
        <v>928</v>
      </c>
      <c r="D312">
        <v>0</v>
      </c>
      <c r="E312">
        <v>6</v>
      </c>
      <c r="F312" t="s">
        <v>21</v>
      </c>
      <c r="G312">
        <v>1</v>
      </c>
      <c r="H312">
        <v>820</v>
      </c>
      <c r="I312" t="s">
        <v>22</v>
      </c>
      <c r="J312">
        <v>398</v>
      </c>
      <c r="K312">
        <v>0</v>
      </c>
      <c r="L312">
        <v>43</v>
      </c>
      <c r="M312" t="s">
        <v>23</v>
      </c>
      <c r="N312">
        <v>11</v>
      </c>
      <c r="O312">
        <v>-60.856999999999999</v>
      </c>
      <c r="P312">
        <v>-25.07</v>
      </c>
      <c r="Q312" t="s">
        <v>156</v>
      </c>
      <c r="R312" t="s">
        <v>234</v>
      </c>
      <c r="S312" t="s">
        <v>1753</v>
      </c>
      <c r="T312">
        <v>3</v>
      </c>
      <c r="U312">
        <v>7.3</v>
      </c>
      <c r="V312">
        <v>398</v>
      </c>
      <c r="W312">
        <v>0</v>
      </c>
      <c r="X312">
        <v>43</v>
      </c>
      <c r="Y312">
        <v>11</v>
      </c>
      <c r="Z312">
        <v>0</v>
      </c>
      <c r="AA312">
        <v>6</v>
      </c>
      <c r="AB312">
        <v>1</v>
      </c>
      <c r="AC312">
        <v>820</v>
      </c>
      <c r="AD312" s="8">
        <v>41470</v>
      </c>
    </row>
    <row r="313" spans="1:30">
      <c r="A313" t="s">
        <v>884</v>
      </c>
      <c r="B313">
        <v>6.9</v>
      </c>
      <c r="C313" s="8" t="s">
        <v>885</v>
      </c>
      <c r="D313">
        <v>0</v>
      </c>
      <c r="E313">
        <v>5</v>
      </c>
      <c r="F313" t="s">
        <v>21</v>
      </c>
      <c r="G313">
        <v>1</v>
      </c>
      <c r="H313">
        <v>732</v>
      </c>
      <c r="I313" t="s">
        <v>22</v>
      </c>
      <c r="J313">
        <v>0</v>
      </c>
      <c r="K313">
        <v>8.2840000000000007</v>
      </c>
      <c r="L313">
        <v>17</v>
      </c>
      <c r="M313" t="s">
        <v>23</v>
      </c>
      <c r="N313">
        <v>9.9700000000000006</v>
      </c>
      <c r="O313">
        <v>-60.262700000000002</v>
      </c>
      <c r="P313">
        <v>-47.062100000000001</v>
      </c>
      <c r="Q313" t="s">
        <v>883</v>
      </c>
      <c r="R313" t="s">
        <v>234</v>
      </c>
      <c r="S313" t="s">
        <v>1753</v>
      </c>
      <c r="T313">
        <v>3</v>
      </c>
      <c r="U313">
        <v>6.9</v>
      </c>
      <c r="V313">
        <v>0</v>
      </c>
      <c r="W313">
        <v>8.2840000000000007</v>
      </c>
      <c r="X313">
        <v>17</v>
      </c>
      <c r="Y313">
        <v>9.9700000000000006</v>
      </c>
      <c r="Z313">
        <v>0</v>
      </c>
      <c r="AA313">
        <v>5</v>
      </c>
      <c r="AB313">
        <v>1</v>
      </c>
      <c r="AC313">
        <v>732</v>
      </c>
      <c r="AD313" s="8">
        <v>41594</v>
      </c>
    </row>
    <row r="314" spans="1:30">
      <c r="A314" t="s">
        <v>881</v>
      </c>
      <c r="B314">
        <v>7.7</v>
      </c>
      <c r="C314" s="8" t="s">
        <v>882</v>
      </c>
      <c r="D314">
        <v>1</v>
      </c>
      <c r="E314">
        <v>8</v>
      </c>
      <c r="F314" t="s">
        <v>21</v>
      </c>
      <c r="G314">
        <v>1</v>
      </c>
      <c r="H314">
        <v>912</v>
      </c>
      <c r="I314" t="s">
        <v>22</v>
      </c>
      <c r="J314">
        <v>0</v>
      </c>
      <c r="K314">
        <v>8.0500000000000007</v>
      </c>
      <c r="L314">
        <v>23</v>
      </c>
      <c r="M314" t="s">
        <v>23</v>
      </c>
      <c r="N314">
        <v>10</v>
      </c>
      <c r="O314">
        <v>-60.273800000000001</v>
      </c>
      <c r="P314">
        <v>-46.4011</v>
      </c>
      <c r="Q314" t="s">
        <v>883</v>
      </c>
      <c r="R314" t="s">
        <v>234</v>
      </c>
      <c r="S314" t="s">
        <v>1753</v>
      </c>
      <c r="T314">
        <v>3</v>
      </c>
      <c r="U314">
        <v>7.7</v>
      </c>
      <c r="V314">
        <v>0</v>
      </c>
      <c r="W314">
        <v>8.0500000000000007</v>
      </c>
      <c r="X314">
        <v>23</v>
      </c>
      <c r="Y314">
        <v>10</v>
      </c>
      <c r="Z314">
        <v>1</v>
      </c>
      <c r="AA314">
        <v>8</v>
      </c>
      <c r="AB314">
        <v>1</v>
      </c>
      <c r="AC314">
        <v>912</v>
      </c>
      <c r="AD314" s="8">
        <v>41595</v>
      </c>
    </row>
    <row r="315" spans="1:30">
      <c r="A315" t="s">
        <v>688</v>
      </c>
      <c r="B315">
        <v>6.5</v>
      </c>
      <c r="C315" s="8" t="s">
        <v>689</v>
      </c>
      <c r="D315">
        <v>7</v>
      </c>
      <c r="E315">
        <v>7</v>
      </c>
      <c r="F315" t="s">
        <v>66</v>
      </c>
      <c r="G315">
        <v>0</v>
      </c>
      <c r="H315">
        <v>1018</v>
      </c>
      <c r="I315" t="s">
        <v>22</v>
      </c>
      <c r="J315">
        <v>0</v>
      </c>
      <c r="K315">
        <v>0</v>
      </c>
      <c r="L315">
        <v>0</v>
      </c>
      <c r="M315" t="s">
        <v>23</v>
      </c>
      <c r="N315">
        <v>11</v>
      </c>
      <c r="O315">
        <v>38.67</v>
      </c>
      <c r="P315">
        <v>20.6</v>
      </c>
      <c r="Q315" t="s">
        <v>690</v>
      </c>
      <c r="R315" t="s">
        <v>234</v>
      </c>
      <c r="S315" t="s">
        <v>235</v>
      </c>
      <c r="T315">
        <v>3</v>
      </c>
      <c r="U315">
        <v>6.5</v>
      </c>
      <c r="V315">
        <v>0</v>
      </c>
      <c r="W315">
        <v>0</v>
      </c>
      <c r="X315">
        <v>0</v>
      </c>
      <c r="Y315">
        <v>11</v>
      </c>
      <c r="Z315">
        <v>7</v>
      </c>
      <c r="AA315">
        <v>7</v>
      </c>
      <c r="AB315">
        <v>0</v>
      </c>
      <c r="AC315">
        <v>1018</v>
      </c>
      <c r="AD315" s="8">
        <v>42325</v>
      </c>
    </row>
    <row r="316" spans="1:30">
      <c r="A316" t="s">
        <v>833</v>
      </c>
      <c r="B316">
        <v>6.9</v>
      </c>
      <c r="C316" s="8" t="s">
        <v>834</v>
      </c>
      <c r="D316">
        <v>9</v>
      </c>
      <c r="E316">
        <v>7</v>
      </c>
      <c r="F316" t="s">
        <v>21</v>
      </c>
      <c r="G316">
        <v>0</v>
      </c>
      <c r="H316">
        <v>951</v>
      </c>
      <c r="I316" t="s">
        <v>22</v>
      </c>
      <c r="J316">
        <v>0</v>
      </c>
      <c r="K316">
        <v>0.40200000000000002</v>
      </c>
      <c r="L316">
        <v>25</v>
      </c>
      <c r="M316" t="s">
        <v>23</v>
      </c>
      <c r="N316">
        <v>6.43</v>
      </c>
      <c r="O316">
        <v>40.289299999999997</v>
      </c>
      <c r="P316">
        <v>25.3889</v>
      </c>
      <c r="Q316" t="s">
        <v>835</v>
      </c>
      <c r="R316" t="s">
        <v>234</v>
      </c>
      <c r="S316" t="s">
        <v>235</v>
      </c>
      <c r="T316">
        <v>3</v>
      </c>
      <c r="U316">
        <v>6.9</v>
      </c>
      <c r="V316">
        <v>0</v>
      </c>
      <c r="W316">
        <v>0.40200000000000002</v>
      </c>
      <c r="X316">
        <v>25</v>
      </c>
      <c r="Y316">
        <v>6.43</v>
      </c>
      <c r="Z316">
        <v>9</v>
      </c>
      <c r="AA316">
        <v>7</v>
      </c>
      <c r="AB316">
        <v>0</v>
      </c>
      <c r="AC316">
        <v>951</v>
      </c>
      <c r="AD316" s="8">
        <v>41783</v>
      </c>
    </row>
    <row r="317" spans="1:30">
      <c r="A317" t="s">
        <v>401</v>
      </c>
      <c r="B317">
        <v>6.8</v>
      </c>
      <c r="C317" s="8" t="s">
        <v>402</v>
      </c>
      <c r="D317">
        <v>8</v>
      </c>
      <c r="E317">
        <v>7</v>
      </c>
      <c r="F317" t="s">
        <v>45</v>
      </c>
      <c r="G317">
        <v>0</v>
      </c>
      <c r="H317">
        <v>954</v>
      </c>
      <c r="I317" t="s">
        <v>22</v>
      </c>
      <c r="J317">
        <v>0</v>
      </c>
      <c r="K317">
        <v>2.2679999999999998</v>
      </c>
      <c r="L317">
        <v>15</v>
      </c>
      <c r="M317" t="s">
        <v>23</v>
      </c>
      <c r="N317">
        <v>14</v>
      </c>
      <c r="O317">
        <v>37.520299999999999</v>
      </c>
      <c r="P317">
        <v>20.5565</v>
      </c>
      <c r="Q317" t="s">
        <v>403</v>
      </c>
      <c r="R317" t="s">
        <v>234</v>
      </c>
      <c r="S317" t="s">
        <v>235</v>
      </c>
      <c r="T317">
        <v>3</v>
      </c>
      <c r="U317">
        <v>6.8</v>
      </c>
      <c r="V317">
        <v>0</v>
      </c>
      <c r="W317">
        <v>2.2679999999999998</v>
      </c>
      <c r="X317">
        <v>15</v>
      </c>
      <c r="Y317">
        <v>14</v>
      </c>
      <c r="Z317">
        <v>8</v>
      </c>
      <c r="AA317">
        <v>7</v>
      </c>
      <c r="AB317">
        <v>0</v>
      </c>
      <c r="AC317">
        <v>954</v>
      </c>
      <c r="AD317" s="8">
        <v>43398</v>
      </c>
    </row>
    <row r="318" spans="1:30">
      <c r="A318" t="s">
        <v>1692</v>
      </c>
      <c r="B318">
        <v>6.5</v>
      </c>
      <c r="C318" s="8" t="s">
        <v>1693</v>
      </c>
      <c r="D318">
        <v>0</v>
      </c>
      <c r="E318">
        <v>8</v>
      </c>
      <c r="G318">
        <v>0</v>
      </c>
      <c r="H318">
        <v>650</v>
      </c>
      <c r="I318" t="s">
        <v>22</v>
      </c>
      <c r="J318">
        <v>483</v>
      </c>
      <c r="K318">
        <v>0</v>
      </c>
      <c r="L318">
        <v>0</v>
      </c>
      <c r="M318" t="s">
        <v>829</v>
      </c>
      <c r="N318">
        <v>10</v>
      </c>
      <c r="O318">
        <v>39.058999999999997</v>
      </c>
      <c r="P318">
        <v>24.244</v>
      </c>
      <c r="Q318" t="s">
        <v>1694</v>
      </c>
      <c r="R318" t="s">
        <v>234</v>
      </c>
      <c r="S318" t="s">
        <v>235</v>
      </c>
      <c r="T318">
        <v>3</v>
      </c>
      <c r="U318">
        <v>6.5</v>
      </c>
      <c r="V318">
        <v>483</v>
      </c>
      <c r="W318">
        <v>0</v>
      </c>
      <c r="X318">
        <v>0</v>
      </c>
      <c r="Y318">
        <v>10</v>
      </c>
      <c r="Z318">
        <v>0</v>
      </c>
      <c r="AA318">
        <v>8</v>
      </c>
      <c r="AB318">
        <v>0</v>
      </c>
      <c r="AC318">
        <v>650</v>
      </c>
      <c r="AD318" s="8">
        <v>37098</v>
      </c>
    </row>
    <row r="319" spans="1:30">
      <c r="A319" t="s">
        <v>325</v>
      </c>
      <c r="B319">
        <v>6.6</v>
      </c>
      <c r="C319" s="8" t="s">
        <v>326</v>
      </c>
      <c r="D319">
        <v>0</v>
      </c>
      <c r="E319">
        <v>4</v>
      </c>
      <c r="F319" t="s">
        <v>21</v>
      </c>
      <c r="G319">
        <v>1</v>
      </c>
      <c r="H319">
        <v>670</v>
      </c>
      <c r="I319" t="s">
        <v>22</v>
      </c>
      <c r="J319">
        <v>0</v>
      </c>
      <c r="K319">
        <v>12.896000000000001</v>
      </c>
      <c r="L319">
        <v>19</v>
      </c>
      <c r="M319" t="s">
        <v>23</v>
      </c>
      <c r="N319">
        <v>16</v>
      </c>
      <c r="O319">
        <v>-60.215200000000003</v>
      </c>
      <c r="P319">
        <v>-26.580100000000002</v>
      </c>
      <c r="Q319" t="s">
        <v>327</v>
      </c>
      <c r="R319" t="s">
        <v>234</v>
      </c>
      <c r="S319" t="s">
        <v>1753</v>
      </c>
      <c r="T319">
        <v>3</v>
      </c>
      <c r="U319">
        <v>6.6</v>
      </c>
      <c r="V319">
        <v>0</v>
      </c>
      <c r="W319">
        <v>12.896000000000001</v>
      </c>
      <c r="X319">
        <v>19</v>
      </c>
      <c r="Y319">
        <v>16</v>
      </c>
      <c r="Z319">
        <v>0</v>
      </c>
      <c r="AA319">
        <v>4</v>
      </c>
      <c r="AB319">
        <v>1</v>
      </c>
      <c r="AC319">
        <v>670</v>
      </c>
      <c r="AD319" s="8">
        <v>43704</v>
      </c>
    </row>
    <row r="320" spans="1:30">
      <c r="A320" t="s">
        <v>600</v>
      </c>
      <c r="B320">
        <v>6.6</v>
      </c>
      <c r="C320" s="8" t="s">
        <v>601</v>
      </c>
      <c r="D320">
        <v>9</v>
      </c>
      <c r="E320">
        <v>8</v>
      </c>
      <c r="F320" t="s">
        <v>103</v>
      </c>
      <c r="G320">
        <v>0</v>
      </c>
      <c r="H320">
        <v>2840</v>
      </c>
      <c r="I320" t="s">
        <v>22</v>
      </c>
      <c r="J320">
        <v>0</v>
      </c>
      <c r="K320">
        <v>0.17399999999999999</v>
      </c>
      <c r="L320">
        <v>25</v>
      </c>
      <c r="M320" t="s">
        <v>23</v>
      </c>
      <c r="N320">
        <v>8</v>
      </c>
      <c r="O320">
        <v>42.862099999999998</v>
      </c>
      <c r="P320">
        <v>13.0961</v>
      </c>
      <c r="Q320" t="s">
        <v>602</v>
      </c>
      <c r="R320" t="s">
        <v>234</v>
      </c>
      <c r="S320" t="s">
        <v>603</v>
      </c>
      <c r="T320">
        <v>3</v>
      </c>
      <c r="U320">
        <v>6.6</v>
      </c>
      <c r="V320">
        <v>0</v>
      </c>
      <c r="W320">
        <v>0.17399999999999999</v>
      </c>
      <c r="X320">
        <v>25</v>
      </c>
      <c r="Y320">
        <v>8</v>
      </c>
      <c r="Z320">
        <v>9</v>
      </c>
      <c r="AA320">
        <v>8</v>
      </c>
      <c r="AB320">
        <v>0</v>
      </c>
      <c r="AC320">
        <v>2840</v>
      </c>
      <c r="AD320" s="8">
        <v>42673</v>
      </c>
    </row>
    <row r="321" spans="1:30">
      <c r="A321" t="s">
        <v>231</v>
      </c>
      <c r="B321">
        <v>7</v>
      </c>
      <c r="C321" s="8" t="s">
        <v>232</v>
      </c>
      <c r="D321">
        <v>8</v>
      </c>
      <c r="E321">
        <v>7</v>
      </c>
      <c r="F321" t="s">
        <v>66</v>
      </c>
      <c r="G321">
        <v>0</v>
      </c>
      <c r="H321">
        <v>1527</v>
      </c>
      <c r="I321" t="s">
        <v>22</v>
      </c>
      <c r="J321">
        <v>0</v>
      </c>
      <c r="K321">
        <v>1.518</v>
      </c>
      <c r="L321">
        <v>18</v>
      </c>
      <c r="M321" t="s">
        <v>23</v>
      </c>
      <c r="N321">
        <v>21</v>
      </c>
      <c r="O321">
        <v>37.897300000000001</v>
      </c>
      <c r="P321">
        <v>26.795300000000001</v>
      </c>
      <c r="Q321" t="s">
        <v>233</v>
      </c>
      <c r="R321" t="s">
        <v>234</v>
      </c>
      <c r="S321" t="s">
        <v>235</v>
      </c>
      <c r="T321">
        <v>3</v>
      </c>
      <c r="U321">
        <v>7</v>
      </c>
      <c r="V321">
        <v>0</v>
      </c>
      <c r="W321">
        <v>1.518</v>
      </c>
      <c r="X321">
        <v>18</v>
      </c>
      <c r="Y321">
        <v>21</v>
      </c>
      <c r="Z321">
        <v>8</v>
      </c>
      <c r="AA321">
        <v>7</v>
      </c>
      <c r="AB321">
        <v>0</v>
      </c>
      <c r="AC321">
        <v>1527</v>
      </c>
      <c r="AD321" s="8">
        <v>44134</v>
      </c>
    </row>
    <row r="322" spans="1:30">
      <c r="A322" t="s">
        <v>1731</v>
      </c>
      <c r="B322">
        <v>6.9</v>
      </c>
      <c r="C322" s="8">
        <v>37165.668055555558</v>
      </c>
      <c r="D322">
        <v>5</v>
      </c>
      <c r="E322">
        <v>7</v>
      </c>
      <c r="G322">
        <v>0</v>
      </c>
      <c r="H322">
        <v>745</v>
      </c>
      <c r="I322" t="s">
        <v>143</v>
      </c>
      <c r="J322">
        <v>0</v>
      </c>
      <c r="K322">
        <v>0</v>
      </c>
      <c r="L322">
        <v>0</v>
      </c>
      <c r="M322" t="s">
        <v>345</v>
      </c>
      <c r="N322">
        <v>36.4</v>
      </c>
      <c r="O322">
        <v>56.7744</v>
      </c>
      <c r="P322">
        <v>-153.28100000000001</v>
      </c>
      <c r="Q322" t="s">
        <v>1732</v>
      </c>
      <c r="R322" t="s">
        <v>47</v>
      </c>
      <c r="S322" t="s">
        <v>1754</v>
      </c>
      <c r="T322">
        <v>4</v>
      </c>
      <c r="U322">
        <v>6.9</v>
      </c>
      <c r="V322">
        <v>0</v>
      </c>
      <c r="W322">
        <v>0</v>
      </c>
      <c r="X322">
        <v>0</v>
      </c>
      <c r="Y322">
        <v>36.4</v>
      </c>
      <c r="Z322">
        <v>5</v>
      </c>
      <c r="AA322">
        <v>7</v>
      </c>
      <c r="AB322">
        <v>0</v>
      </c>
      <c r="AC322">
        <v>745</v>
      </c>
      <c r="AD322" s="8">
        <v>37165.668055555558</v>
      </c>
    </row>
    <row r="323" spans="1:30">
      <c r="A323" t="s">
        <v>1628</v>
      </c>
      <c r="B323">
        <v>7.9</v>
      </c>
      <c r="C323" s="8">
        <v>37326.925000000003</v>
      </c>
      <c r="D323">
        <v>8</v>
      </c>
      <c r="E323">
        <v>9</v>
      </c>
      <c r="G323">
        <v>0</v>
      </c>
      <c r="H323">
        <v>1750</v>
      </c>
      <c r="I323" t="s">
        <v>143</v>
      </c>
      <c r="J323">
        <v>0</v>
      </c>
      <c r="K323">
        <v>0</v>
      </c>
      <c r="L323">
        <v>0</v>
      </c>
      <c r="M323" t="s">
        <v>345</v>
      </c>
      <c r="N323">
        <v>4.2</v>
      </c>
      <c r="O323">
        <v>63.514099999999999</v>
      </c>
      <c r="P323">
        <v>-147.453</v>
      </c>
      <c r="Q323" t="s">
        <v>1629</v>
      </c>
      <c r="R323" t="s">
        <v>47</v>
      </c>
      <c r="S323" t="s">
        <v>1754</v>
      </c>
      <c r="T323">
        <v>4</v>
      </c>
      <c r="U323">
        <v>7.9</v>
      </c>
      <c r="V323">
        <v>0</v>
      </c>
      <c r="W323">
        <v>0</v>
      </c>
      <c r="X323">
        <v>0</v>
      </c>
      <c r="Y323">
        <v>4.2</v>
      </c>
      <c r="Z323">
        <v>8</v>
      </c>
      <c r="AA323">
        <v>9</v>
      </c>
      <c r="AB323">
        <v>0</v>
      </c>
      <c r="AC323">
        <v>1750</v>
      </c>
      <c r="AD323" s="8">
        <v>37326.925000000003</v>
      </c>
    </row>
    <row r="324" spans="1:30">
      <c r="A324" t="s">
        <v>1528</v>
      </c>
      <c r="B324">
        <v>6.7</v>
      </c>
      <c r="C324" s="8">
        <v>38028.418055555558</v>
      </c>
      <c r="D324">
        <v>7</v>
      </c>
      <c r="E324">
        <v>4</v>
      </c>
      <c r="G324">
        <v>0</v>
      </c>
      <c r="H324">
        <v>703</v>
      </c>
      <c r="I324" t="s">
        <v>22</v>
      </c>
      <c r="J324">
        <v>459</v>
      </c>
      <c r="K324">
        <v>0</v>
      </c>
      <c r="L324">
        <v>37.299999999999997</v>
      </c>
      <c r="M324" t="s">
        <v>36</v>
      </c>
      <c r="N324">
        <v>10</v>
      </c>
      <c r="O324">
        <v>49.277000000000001</v>
      </c>
      <c r="P324">
        <v>-128.77199999999999</v>
      </c>
      <c r="Q324" t="s">
        <v>406</v>
      </c>
      <c r="R324" t="s">
        <v>47</v>
      </c>
      <c r="S324" t="s">
        <v>998</v>
      </c>
      <c r="T324">
        <v>4</v>
      </c>
      <c r="U324">
        <v>6.7</v>
      </c>
      <c r="V324">
        <v>459</v>
      </c>
      <c r="W324">
        <v>0</v>
      </c>
      <c r="X324">
        <v>37.299999999999997</v>
      </c>
      <c r="Y324">
        <v>10</v>
      </c>
      <c r="Z324">
        <v>7</v>
      </c>
      <c r="AA324">
        <v>4</v>
      </c>
      <c r="AB324">
        <v>0</v>
      </c>
      <c r="AC324">
        <v>703</v>
      </c>
      <c r="AD324" s="8">
        <v>38028.418055555558</v>
      </c>
    </row>
    <row r="325" spans="1:30">
      <c r="A325" t="s">
        <v>1535</v>
      </c>
      <c r="B325">
        <v>7</v>
      </c>
      <c r="C325" s="8">
        <v>38240.893055555556</v>
      </c>
      <c r="D325">
        <v>0</v>
      </c>
      <c r="E325">
        <v>6</v>
      </c>
      <c r="G325">
        <v>0</v>
      </c>
      <c r="H325">
        <v>754</v>
      </c>
      <c r="I325" t="s">
        <v>22</v>
      </c>
      <c r="J325">
        <v>441</v>
      </c>
      <c r="K325">
        <v>0</v>
      </c>
      <c r="L325">
        <v>32.200000000000003</v>
      </c>
      <c r="M325" t="s">
        <v>829</v>
      </c>
      <c r="N325">
        <v>35</v>
      </c>
      <c r="O325">
        <v>11.422000000000001</v>
      </c>
      <c r="P325">
        <v>-86.665000000000006</v>
      </c>
      <c r="Q325" t="s">
        <v>91</v>
      </c>
      <c r="R325" t="s">
        <v>47</v>
      </c>
      <c r="S325" t="s">
        <v>856</v>
      </c>
      <c r="T325">
        <v>4</v>
      </c>
      <c r="U325">
        <v>7</v>
      </c>
      <c r="V325">
        <v>441</v>
      </c>
      <c r="W325">
        <v>0</v>
      </c>
      <c r="X325">
        <v>32.200000000000003</v>
      </c>
      <c r="Y325">
        <v>35</v>
      </c>
      <c r="Z325">
        <v>0</v>
      </c>
      <c r="AA325">
        <v>6</v>
      </c>
      <c r="AB325">
        <v>0</v>
      </c>
      <c r="AC325">
        <v>754</v>
      </c>
      <c r="AD325" s="8">
        <v>38240.893055555556</v>
      </c>
    </row>
    <row r="326" spans="1:30">
      <c r="A326" t="s">
        <v>1468</v>
      </c>
      <c r="B326">
        <v>6.6</v>
      </c>
      <c r="C326" s="8">
        <v>38390.094444444447</v>
      </c>
      <c r="D326">
        <v>6</v>
      </c>
      <c r="E326">
        <v>5</v>
      </c>
      <c r="G326">
        <v>0</v>
      </c>
      <c r="H326">
        <v>719</v>
      </c>
      <c r="I326" t="s">
        <v>22</v>
      </c>
      <c r="J326">
        <v>446</v>
      </c>
      <c r="K326">
        <v>0</v>
      </c>
      <c r="L326">
        <v>21.1</v>
      </c>
      <c r="M326" t="s">
        <v>829</v>
      </c>
      <c r="N326">
        <v>27</v>
      </c>
      <c r="O326">
        <v>11.244999999999999</v>
      </c>
      <c r="P326">
        <v>-86.171999999999997</v>
      </c>
      <c r="Q326" t="s">
        <v>1469</v>
      </c>
      <c r="R326" t="s">
        <v>47</v>
      </c>
      <c r="S326" t="s">
        <v>856</v>
      </c>
      <c r="T326">
        <v>4</v>
      </c>
      <c r="U326">
        <v>6.6</v>
      </c>
      <c r="V326">
        <v>446</v>
      </c>
      <c r="W326">
        <v>0</v>
      </c>
      <c r="X326">
        <v>21.1</v>
      </c>
      <c r="Y326">
        <v>27</v>
      </c>
      <c r="Z326">
        <v>6</v>
      </c>
      <c r="AA326">
        <v>5</v>
      </c>
      <c r="AB326">
        <v>0</v>
      </c>
      <c r="AC326">
        <v>719</v>
      </c>
      <c r="AD326" s="8">
        <v>38390.094444444447</v>
      </c>
    </row>
    <row r="327" spans="1:30">
      <c r="A327" t="s">
        <v>1445</v>
      </c>
      <c r="B327">
        <v>6.6</v>
      </c>
      <c r="C327" s="8">
        <v>38808.355555555558</v>
      </c>
      <c r="D327">
        <v>7</v>
      </c>
      <c r="E327">
        <v>6</v>
      </c>
      <c r="G327">
        <v>0</v>
      </c>
      <c r="H327">
        <v>703</v>
      </c>
      <c r="I327" t="s">
        <v>22</v>
      </c>
      <c r="J327">
        <v>323</v>
      </c>
      <c r="K327">
        <v>0</v>
      </c>
      <c r="L327">
        <v>48.2</v>
      </c>
      <c r="M327" t="s">
        <v>829</v>
      </c>
      <c r="N327">
        <v>14</v>
      </c>
      <c r="O327">
        <v>28.164000000000001</v>
      </c>
      <c r="P327">
        <v>-112.117</v>
      </c>
      <c r="Q327" t="s">
        <v>1238</v>
      </c>
      <c r="R327" t="s">
        <v>47</v>
      </c>
      <c r="S327" t="s">
        <v>48</v>
      </c>
      <c r="T327">
        <v>4</v>
      </c>
      <c r="U327">
        <v>6.6</v>
      </c>
      <c r="V327">
        <v>323</v>
      </c>
      <c r="W327">
        <v>0</v>
      </c>
      <c r="X327">
        <v>48.2</v>
      </c>
      <c r="Y327">
        <v>14</v>
      </c>
      <c r="Z327">
        <v>7</v>
      </c>
      <c r="AA327">
        <v>6</v>
      </c>
      <c r="AB327">
        <v>0</v>
      </c>
      <c r="AC327">
        <v>703</v>
      </c>
      <c r="AD327" s="8">
        <v>38808.355555555558</v>
      </c>
    </row>
    <row r="328" spans="1:30">
      <c r="A328" t="s">
        <v>1306</v>
      </c>
      <c r="B328">
        <v>6.5</v>
      </c>
      <c r="C328" s="8">
        <v>39784.534722222219</v>
      </c>
      <c r="D328">
        <v>7</v>
      </c>
      <c r="E328">
        <v>6</v>
      </c>
      <c r="G328">
        <v>0</v>
      </c>
      <c r="H328">
        <v>723</v>
      </c>
      <c r="I328" t="s">
        <v>22</v>
      </c>
      <c r="J328">
        <v>521</v>
      </c>
      <c r="K328">
        <v>0</v>
      </c>
      <c r="L328">
        <v>27.6</v>
      </c>
      <c r="M328" t="s">
        <v>829</v>
      </c>
      <c r="N328">
        <v>83</v>
      </c>
      <c r="O328">
        <v>16.356999999999999</v>
      </c>
      <c r="P328">
        <v>-94.304000000000002</v>
      </c>
      <c r="Q328" t="s">
        <v>1307</v>
      </c>
      <c r="R328" t="s">
        <v>47</v>
      </c>
      <c r="S328" t="s">
        <v>48</v>
      </c>
      <c r="T328">
        <v>4</v>
      </c>
      <c r="U328">
        <v>6.5</v>
      </c>
      <c r="V328">
        <v>521</v>
      </c>
      <c r="W328">
        <v>0</v>
      </c>
      <c r="X328">
        <v>27.6</v>
      </c>
      <c r="Y328">
        <v>83</v>
      </c>
      <c r="Z328">
        <v>7</v>
      </c>
      <c r="AA328">
        <v>6</v>
      </c>
      <c r="AB328">
        <v>0</v>
      </c>
      <c r="AC328">
        <v>723</v>
      </c>
      <c r="AD328" s="8">
        <v>39784.534722222219</v>
      </c>
    </row>
    <row r="329" spans="1:30">
      <c r="A329" t="s">
        <v>1237</v>
      </c>
      <c r="B329">
        <v>6.9</v>
      </c>
      <c r="C329" s="8">
        <v>39880.749305555553</v>
      </c>
      <c r="D329">
        <v>5</v>
      </c>
      <c r="E329">
        <v>7</v>
      </c>
      <c r="G329">
        <v>0</v>
      </c>
      <c r="H329">
        <v>1202</v>
      </c>
      <c r="I329" t="s">
        <v>22</v>
      </c>
      <c r="J329">
        <v>243</v>
      </c>
      <c r="K329">
        <v>0</v>
      </c>
      <c r="L329">
        <v>35</v>
      </c>
      <c r="M329" t="s">
        <v>829</v>
      </c>
      <c r="N329">
        <v>10</v>
      </c>
      <c r="O329">
        <v>29.039000000000001</v>
      </c>
      <c r="P329">
        <v>-112.90300000000001</v>
      </c>
      <c r="Q329" t="s">
        <v>1238</v>
      </c>
      <c r="R329" t="s">
        <v>47</v>
      </c>
      <c r="S329" t="s">
        <v>48</v>
      </c>
      <c r="T329">
        <v>4</v>
      </c>
      <c r="U329">
        <v>6.9</v>
      </c>
      <c r="V329">
        <v>243</v>
      </c>
      <c r="W329">
        <v>0</v>
      </c>
      <c r="X329">
        <v>35</v>
      </c>
      <c r="Y329">
        <v>10</v>
      </c>
      <c r="Z329">
        <v>5</v>
      </c>
      <c r="AA329">
        <v>7</v>
      </c>
      <c r="AB329">
        <v>0</v>
      </c>
      <c r="AC329">
        <v>1202</v>
      </c>
      <c r="AD329" s="8">
        <v>39880.749305555553</v>
      </c>
    </row>
    <row r="330" spans="1:30">
      <c r="A330" t="s">
        <v>1176</v>
      </c>
      <c r="B330">
        <v>7.2</v>
      </c>
      <c r="C330" s="8">
        <v>40272.944444444445</v>
      </c>
      <c r="D330">
        <v>9</v>
      </c>
      <c r="E330">
        <v>9</v>
      </c>
      <c r="F330" t="s">
        <v>103</v>
      </c>
      <c r="G330">
        <v>0</v>
      </c>
      <c r="H330">
        <v>2910</v>
      </c>
      <c r="I330" t="s">
        <v>344</v>
      </c>
      <c r="J330">
        <v>10</v>
      </c>
      <c r="K330">
        <v>0.51370000000000005</v>
      </c>
      <c r="L330">
        <v>239</v>
      </c>
      <c r="M330" t="s">
        <v>345</v>
      </c>
      <c r="N330">
        <v>9.9870000000000001</v>
      </c>
      <c r="O330">
        <v>32.286200000000001</v>
      </c>
      <c r="P330">
        <v>-115.295</v>
      </c>
      <c r="Q330" t="s">
        <v>1177</v>
      </c>
      <c r="R330" t="s">
        <v>47</v>
      </c>
      <c r="S330" t="s">
        <v>48</v>
      </c>
      <c r="T330">
        <v>4</v>
      </c>
      <c r="U330">
        <v>7.2</v>
      </c>
      <c r="V330">
        <v>10</v>
      </c>
      <c r="W330">
        <v>0.51370000000000005</v>
      </c>
      <c r="X330">
        <v>239</v>
      </c>
      <c r="Y330">
        <v>9.9870000000000001</v>
      </c>
      <c r="Z330">
        <v>9</v>
      </c>
      <c r="AA330">
        <v>9</v>
      </c>
      <c r="AB330">
        <v>0</v>
      </c>
      <c r="AC330">
        <v>2910</v>
      </c>
      <c r="AD330" s="8">
        <v>40272.944444444445</v>
      </c>
    </row>
    <row r="331" spans="1:30">
      <c r="A331" t="s">
        <v>1203</v>
      </c>
      <c r="B331">
        <v>6.5</v>
      </c>
      <c r="C331" s="8">
        <v>40452.018750000003</v>
      </c>
      <c r="D331">
        <v>7</v>
      </c>
      <c r="E331">
        <v>7</v>
      </c>
      <c r="G331">
        <v>0</v>
      </c>
      <c r="H331">
        <v>1360</v>
      </c>
      <c r="I331" t="s">
        <v>867</v>
      </c>
      <c r="J331">
        <v>51</v>
      </c>
      <c r="K331">
        <v>0.32250000000000001</v>
      </c>
      <c r="L331">
        <v>220</v>
      </c>
      <c r="M331" t="s">
        <v>345</v>
      </c>
      <c r="N331">
        <v>28.736999999999998</v>
      </c>
      <c r="O331">
        <v>40.652000000000001</v>
      </c>
      <c r="P331">
        <v>-124.69199999999999</v>
      </c>
      <c r="Q331" t="s">
        <v>580</v>
      </c>
      <c r="R331" t="s">
        <v>47</v>
      </c>
      <c r="S331" t="s">
        <v>1754</v>
      </c>
      <c r="T331">
        <v>4</v>
      </c>
      <c r="U331">
        <v>6.5</v>
      </c>
      <c r="V331">
        <v>51</v>
      </c>
      <c r="W331">
        <v>0.32250000000000001</v>
      </c>
      <c r="X331">
        <v>220</v>
      </c>
      <c r="Y331">
        <v>28.736999999999998</v>
      </c>
      <c r="Z331">
        <v>7</v>
      </c>
      <c r="AA331">
        <v>7</v>
      </c>
      <c r="AB331">
        <v>0</v>
      </c>
      <c r="AC331">
        <v>1360</v>
      </c>
      <c r="AD331" s="8">
        <v>40452.018750000003</v>
      </c>
    </row>
    <row r="332" spans="1:30">
      <c r="A332" t="s">
        <v>1201</v>
      </c>
      <c r="B332">
        <v>7</v>
      </c>
      <c r="C332" s="8">
        <v>40513.911805555559</v>
      </c>
      <c r="D332">
        <v>9</v>
      </c>
      <c r="E332">
        <v>9</v>
      </c>
      <c r="G332">
        <v>0</v>
      </c>
      <c r="H332">
        <v>1623</v>
      </c>
      <c r="I332" t="s">
        <v>22</v>
      </c>
      <c r="J332">
        <v>500</v>
      </c>
      <c r="K332">
        <v>0</v>
      </c>
      <c r="L332">
        <v>22.7</v>
      </c>
      <c r="M332" t="s">
        <v>829</v>
      </c>
      <c r="N332">
        <v>13</v>
      </c>
      <c r="O332">
        <v>18.443000000000001</v>
      </c>
      <c r="P332">
        <v>-72.570999999999998</v>
      </c>
      <c r="Q332" t="s">
        <v>1202</v>
      </c>
      <c r="R332" t="s">
        <v>47</v>
      </c>
      <c r="S332" t="s">
        <v>169</v>
      </c>
      <c r="T332">
        <v>4</v>
      </c>
      <c r="U332">
        <v>7</v>
      </c>
      <c r="V332">
        <v>500</v>
      </c>
      <c r="W332">
        <v>0</v>
      </c>
      <c r="X332">
        <v>22.7</v>
      </c>
      <c r="Y332">
        <v>13</v>
      </c>
      <c r="Z332">
        <v>9</v>
      </c>
      <c r="AA332">
        <v>9</v>
      </c>
      <c r="AB332">
        <v>0</v>
      </c>
      <c r="AC332">
        <v>1623</v>
      </c>
      <c r="AD332" s="8">
        <v>40513.911805555559</v>
      </c>
    </row>
    <row r="333" spans="1:30">
      <c r="A333" t="s">
        <v>1098</v>
      </c>
      <c r="B333">
        <v>6.6</v>
      </c>
      <c r="C333" s="8">
        <v>40728.549305555556</v>
      </c>
      <c r="D333">
        <v>7</v>
      </c>
      <c r="E333">
        <v>6</v>
      </c>
      <c r="G333">
        <v>0</v>
      </c>
      <c r="H333">
        <v>897</v>
      </c>
      <c r="I333" t="s">
        <v>22</v>
      </c>
      <c r="J333">
        <v>518</v>
      </c>
      <c r="K333">
        <v>0</v>
      </c>
      <c r="L333">
        <v>37.200000000000003</v>
      </c>
      <c r="M333" t="s">
        <v>23</v>
      </c>
      <c r="N333">
        <v>166.2</v>
      </c>
      <c r="O333">
        <v>17.207999999999998</v>
      </c>
      <c r="P333">
        <v>-94.337999999999994</v>
      </c>
      <c r="Q333" t="s">
        <v>1099</v>
      </c>
      <c r="R333" t="s">
        <v>47</v>
      </c>
      <c r="S333" t="s">
        <v>48</v>
      </c>
      <c r="T333">
        <v>4</v>
      </c>
      <c r="U333">
        <v>6.6</v>
      </c>
      <c r="V333">
        <v>518</v>
      </c>
      <c r="W333">
        <v>0</v>
      </c>
      <c r="X333">
        <v>37.200000000000003</v>
      </c>
      <c r="Y333">
        <v>166.2</v>
      </c>
      <c r="Z333">
        <v>7</v>
      </c>
      <c r="AA333">
        <v>6</v>
      </c>
      <c r="AB333">
        <v>0</v>
      </c>
      <c r="AC333">
        <v>897</v>
      </c>
      <c r="AD333" s="8">
        <v>40728.549305555556</v>
      </c>
    </row>
    <row r="334" spans="1:30">
      <c r="A334" t="s">
        <v>1059</v>
      </c>
      <c r="B334">
        <v>6.5</v>
      </c>
      <c r="C334" s="8">
        <v>40859.074305555558</v>
      </c>
      <c r="D334">
        <v>8</v>
      </c>
      <c r="E334">
        <v>7</v>
      </c>
      <c r="G334">
        <v>0</v>
      </c>
      <c r="H334">
        <v>1400</v>
      </c>
      <c r="I334" t="s">
        <v>22</v>
      </c>
      <c r="J334">
        <v>578</v>
      </c>
      <c r="K334">
        <v>0</v>
      </c>
      <c r="L334">
        <v>38.6</v>
      </c>
      <c r="M334" t="s">
        <v>23</v>
      </c>
      <c r="N334">
        <v>59</v>
      </c>
      <c r="O334">
        <v>17.986000000000001</v>
      </c>
      <c r="P334">
        <v>-99.789000000000001</v>
      </c>
      <c r="Q334" t="s">
        <v>1060</v>
      </c>
      <c r="R334" t="s">
        <v>47</v>
      </c>
      <c r="S334" t="s">
        <v>48</v>
      </c>
      <c r="T334">
        <v>4</v>
      </c>
      <c r="U334">
        <v>6.5</v>
      </c>
      <c r="V334">
        <v>578</v>
      </c>
      <c r="W334">
        <v>0</v>
      </c>
      <c r="X334">
        <v>38.6</v>
      </c>
      <c r="Y334">
        <v>59</v>
      </c>
      <c r="Z334">
        <v>8</v>
      </c>
      <c r="AA334">
        <v>7</v>
      </c>
      <c r="AB334">
        <v>0</v>
      </c>
      <c r="AC334">
        <v>1400</v>
      </c>
      <c r="AD334" s="8">
        <v>40859.074305555558</v>
      </c>
    </row>
    <row r="335" spans="1:30">
      <c r="A335" t="s">
        <v>1006</v>
      </c>
      <c r="B335">
        <v>7.6</v>
      </c>
      <c r="C335" s="8">
        <v>41038.612500000003</v>
      </c>
      <c r="D335">
        <v>8</v>
      </c>
      <c r="E335">
        <v>7</v>
      </c>
      <c r="G335">
        <v>0</v>
      </c>
      <c r="H335">
        <v>1555</v>
      </c>
      <c r="I335" t="s">
        <v>22</v>
      </c>
      <c r="J335">
        <v>703</v>
      </c>
      <c r="K335">
        <v>0</v>
      </c>
      <c r="L335">
        <v>34.299999999999997</v>
      </c>
      <c r="M335" t="s">
        <v>23</v>
      </c>
      <c r="N335">
        <v>35</v>
      </c>
      <c r="O335">
        <v>10.085000000000001</v>
      </c>
      <c r="P335">
        <v>-85.314999999999998</v>
      </c>
      <c r="Q335" t="s">
        <v>1007</v>
      </c>
      <c r="R335" t="s">
        <v>47</v>
      </c>
      <c r="S335" t="s">
        <v>495</v>
      </c>
      <c r="T335">
        <v>4</v>
      </c>
      <c r="U335">
        <v>7.6</v>
      </c>
      <c r="V335">
        <v>703</v>
      </c>
      <c r="W335">
        <v>0</v>
      </c>
      <c r="X335">
        <v>34.299999999999997</v>
      </c>
      <c r="Y335">
        <v>35</v>
      </c>
      <c r="Z335">
        <v>8</v>
      </c>
      <c r="AA335">
        <v>7</v>
      </c>
      <c r="AB335">
        <v>0</v>
      </c>
      <c r="AC335">
        <v>1555</v>
      </c>
      <c r="AD335" s="8">
        <v>41038.612500000003</v>
      </c>
    </row>
    <row r="336" spans="1:30">
      <c r="A336" t="s">
        <v>994</v>
      </c>
      <c r="B336">
        <v>7.4</v>
      </c>
      <c r="C336" s="8">
        <v>41101.690972222219</v>
      </c>
      <c r="D336">
        <v>8</v>
      </c>
      <c r="E336">
        <v>7</v>
      </c>
      <c r="F336" t="s">
        <v>45</v>
      </c>
      <c r="G336">
        <v>0</v>
      </c>
      <c r="H336">
        <v>1455</v>
      </c>
      <c r="I336" t="s">
        <v>22</v>
      </c>
      <c r="J336">
        <v>751</v>
      </c>
      <c r="K336">
        <v>0</v>
      </c>
      <c r="L336">
        <v>25.5</v>
      </c>
      <c r="M336" t="s">
        <v>23</v>
      </c>
      <c r="N336">
        <v>24</v>
      </c>
      <c r="O336">
        <v>13.988</v>
      </c>
      <c r="P336">
        <v>-91.894999999999996</v>
      </c>
      <c r="Q336" t="s">
        <v>991</v>
      </c>
      <c r="R336" t="s">
        <v>47</v>
      </c>
      <c r="S336" t="s">
        <v>534</v>
      </c>
      <c r="T336">
        <v>4</v>
      </c>
      <c r="U336">
        <v>7.4</v>
      </c>
      <c r="V336">
        <v>751</v>
      </c>
      <c r="W336">
        <v>0</v>
      </c>
      <c r="X336">
        <v>25.5</v>
      </c>
      <c r="Y336">
        <v>24</v>
      </c>
      <c r="Z336">
        <v>8</v>
      </c>
      <c r="AA336">
        <v>7</v>
      </c>
      <c r="AB336">
        <v>0</v>
      </c>
      <c r="AC336">
        <v>1455</v>
      </c>
      <c r="AD336" s="8">
        <v>41101.690972222219</v>
      </c>
    </row>
    <row r="337" spans="1:30">
      <c r="A337" t="s">
        <v>1034</v>
      </c>
      <c r="B337">
        <v>6.5</v>
      </c>
      <c r="C337" s="8">
        <v>41217.954861111109</v>
      </c>
      <c r="D337">
        <v>7</v>
      </c>
      <c r="E337">
        <v>6</v>
      </c>
      <c r="G337">
        <v>0</v>
      </c>
      <c r="H337">
        <v>1171</v>
      </c>
      <c r="I337" t="s">
        <v>22</v>
      </c>
      <c r="J337">
        <v>599</v>
      </c>
      <c r="K337">
        <v>0</v>
      </c>
      <c r="L337">
        <v>54.1</v>
      </c>
      <c r="M337" t="s">
        <v>36</v>
      </c>
      <c r="N337">
        <v>20</v>
      </c>
      <c r="O337">
        <v>18.228999999999999</v>
      </c>
      <c r="P337">
        <v>-102.68899999999999</v>
      </c>
      <c r="Q337" t="s">
        <v>1035</v>
      </c>
      <c r="R337" t="s">
        <v>47</v>
      </c>
      <c r="S337" t="s">
        <v>48</v>
      </c>
      <c r="T337">
        <v>4</v>
      </c>
      <c r="U337">
        <v>6.5</v>
      </c>
      <c r="V337">
        <v>599</v>
      </c>
      <c r="W337">
        <v>0</v>
      </c>
      <c r="X337">
        <v>54.1</v>
      </c>
      <c r="Y337">
        <v>20</v>
      </c>
      <c r="Z337">
        <v>7</v>
      </c>
      <c r="AA337">
        <v>6</v>
      </c>
      <c r="AB337">
        <v>0</v>
      </c>
      <c r="AC337">
        <v>1171</v>
      </c>
      <c r="AD337" s="8">
        <v>41217.954861111109</v>
      </c>
    </row>
    <row r="338" spans="1:30">
      <c r="A338" t="s">
        <v>990</v>
      </c>
      <c r="B338">
        <v>6.5</v>
      </c>
      <c r="C338" s="8">
        <v>41224.926388888889</v>
      </c>
      <c r="D338">
        <v>4</v>
      </c>
      <c r="E338">
        <v>5</v>
      </c>
      <c r="G338">
        <v>0</v>
      </c>
      <c r="H338">
        <v>708</v>
      </c>
      <c r="I338" t="s">
        <v>22</v>
      </c>
      <c r="J338">
        <v>598</v>
      </c>
      <c r="K338">
        <v>0</v>
      </c>
      <c r="L338">
        <v>57.3</v>
      </c>
      <c r="M338" t="s">
        <v>23</v>
      </c>
      <c r="N338">
        <v>20</v>
      </c>
      <c r="O338">
        <v>14.129</v>
      </c>
      <c r="P338">
        <v>-92.164000000000001</v>
      </c>
      <c r="Q338" t="s">
        <v>991</v>
      </c>
      <c r="R338" t="s">
        <v>47</v>
      </c>
      <c r="S338" t="s">
        <v>534</v>
      </c>
      <c r="T338">
        <v>4</v>
      </c>
      <c r="U338">
        <v>6.5</v>
      </c>
      <c r="V338">
        <v>598</v>
      </c>
      <c r="W338">
        <v>0</v>
      </c>
      <c r="X338">
        <v>57.3</v>
      </c>
      <c r="Y338">
        <v>20</v>
      </c>
      <c r="Z338">
        <v>4</v>
      </c>
      <c r="AA338">
        <v>5</v>
      </c>
      <c r="AB338">
        <v>0</v>
      </c>
      <c r="AC338">
        <v>708</v>
      </c>
      <c r="AD338" s="8">
        <v>41224.926388888889</v>
      </c>
    </row>
    <row r="339" spans="1:30">
      <c r="A339" t="s">
        <v>1032</v>
      </c>
      <c r="B339">
        <v>7</v>
      </c>
      <c r="C339" s="8">
        <v>41247.302083333336</v>
      </c>
      <c r="D339">
        <v>7</v>
      </c>
      <c r="E339">
        <v>7</v>
      </c>
      <c r="G339">
        <v>0</v>
      </c>
      <c r="H339">
        <v>1000</v>
      </c>
      <c r="I339" t="s">
        <v>22</v>
      </c>
      <c r="J339">
        <v>474</v>
      </c>
      <c r="K339">
        <v>0</v>
      </c>
      <c r="L339">
        <v>95.9</v>
      </c>
      <c r="M339" t="s">
        <v>23</v>
      </c>
      <c r="N339">
        <v>13</v>
      </c>
      <c r="O339">
        <v>28.696000000000002</v>
      </c>
      <c r="P339">
        <v>-113.104</v>
      </c>
      <c r="Q339" t="s">
        <v>1033</v>
      </c>
      <c r="R339" t="s">
        <v>47</v>
      </c>
      <c r="S339" t="s">
        <v>48</v>
      </c>
      <c r="T339">
        <v>4</v>
      </c>
      <c r="U339">
        <v>7</v>
      </c>
      <c r="V339">
        <v>474</v>
      </c>
      <c r="W339">
        <v>0</v>
      </c>
      <c r="X339">
        <v>95.9</v>
      </c>
      <c r="Y339">
        <v>13</v>
      </c>
      <c r="Z339">
        <v>7</v>
      </c>
      <c r="AA339">
        <v>7</v>
      </c>
      <c r="AB339">
        <v>0</v>
      </c>
      <c r="AC339">
        <v>1000</v>
      </c>
      <c r="AD339" s="8">
        <v>41247.302083333336</v>
      </c>
    </row>
    <row r="340" spans="1:30">
      <c r="A340" t="s">
        <v>913</v>
      </c>
      <c r="B340">
        <v>6.5</v>
      </c>
      <c r="C340" s="8">
        <v>41373.105555555558</v>
      </c>
      <c r="D340">
        <v>0</v>
      </c>
      <c r="E340">
        <v>6</v>
      </c>
      <c r="F340" t="s">
        <v>21</v>
      </c>
      <c r="G340">
        <v>1</v>
      </c>
      <c r="H340">
        <v>650</v>
      </c>
      <c r="I340" t="s">
        <v>22</v>
      </c>
      <c r="J340">
        <v>0</v>
      </c>
      <c r="K340">
        <v>0.73499999999999999</v>
      </c>
      <c r="L340">
        <v>24</v>
      </c>
      <c r="M340" t="s">
        <v>23</v>
      </c>
      <c r="N340">
        <v>20</v>
      </c>
      <c r="O340">
        <v>51.557299999999998</v>
      </c>
      <c r="P340">
        <v>-174.767</v>
      </c>
      <c r="Q340" t="s">
        <v>914</v>
      </c>
      <c r="R340" t="s">
        <v>47</v>
      </c>
      <c r="S340" t="s">
        <v>1754</v>
      </c>
      <c r="T340">
        <v>4</v>
      </c>
      <c r="U340">
        <v>6.5</v>
      </c>
      <c r="V340">
        <v>0</v>
      </c>
      <c r="W340">
        <v>0.73499999999999999</v>
      </c>
      <c r="X340">
        <v>24</v>
      </c>
      <c r="Y340">
        <v>20</v>
      </c>
      <c r="Z340">
        <v>0</v>
      </c>
      <c r="AA340">
        <v>6</v>
      </c>
      <c r="AB340">
        <v>1</v>
      </c>
      <c r="AC340">
        <v>650</v>
      </c>
      <c r="AD340" s="8">
        <v>41373.105555555558</v>
      </c>
    </row>
    <row r="341" spans="1:30">
      <c r="A341" t="s">
        <v>984</v>
      </c>
      <c r="B341">
        <v>7.5</v>
      </c>
      <c r="C341" s="8">
        <v>41395.373611111114</v>
      </c>
      <c r="D341">
        <v>6</v>
      </c>
      <c r="E341">
        <v>6</v>
      </c>
      <c r="G341">
        <v>0</v>
      </c>
      <c r="H341">
        <v>1425</v>
      </c>
      <c r="I341" t="s">
        <v>143</v>
      </c>
      <c r="J341">
        <v>0</v>
      </c>
      <c r="K341">
        <v>0</v>
      </c>
      <c r="L341">
        <v>0</v>
      </c>
      <c r="M341" t="s">
        <v>345</v>
      </c>
      <c r="N341">
        <v>8.6999999999999993</v>
      </c>
      <c r="O341">
        <v>55.228000000000002</v>
      </c>
      <c r="P341">
        <v>-134.85900000000001</v>
      </c>
      <c r="Q341" t="s">
        <v>985</v>
      </c>
      <c r="R341" t="s">
        <v>47</v>
      </c>
      <c r="S341" t="s">
        <v>1754</v>
      </c>
      <c r="T341">
        <v>4</v>
      </c>
      <c r="U341">
        <v>7.5</v>
      </c>
      <c r="V341">
        <v>0</v>
      </c>
      <c r="W341">
        <v>0</v>
      </c>
      <c r="X341">
        <v>0</v>
      </c>
      <c r="Y341">
        <v>8.6999999999999993</v>
      </c>
      <c r="Z341">
        <v>6</v>
      </c>
      <c r="AA341">
        <v>6</v>
      </c>
      <c r="AB341">
        <v>0</v>
      </c>
      <c r="AC341">
        <v>1425</v>
      </c>
      <c r="AD341" s="8">
        <v>41395.373611111114</v>
      </c>
    </row>
    <row r="342" spans="1:30">
      <c r="A342" t="s">
        <v>818</v>
      </c>
      <c r="B342">
        <v>6.9</v>
      </c>
      <c r="C342" s="8">
        <v>41827.474305555559</v>
      </c>
      <c r="D342">
        <v>8</v>
      </c>
      <c r="E342">
        <v>7</v>
      </c>
      <c r="F342" t="s">
        <v>66</v>
      </c>
      <c r="G342">
        <v>1</v>
      </c>
      <c r="H342">
        <v>1079</v>
      </c>
      <c r="I342" t="s">
        <v>22</v>
      </c>
      <c r="J342">
        <v>0</v>
      </c>
      <c r="K342">
        <v>0.26300000000000001</v>
      </c>
      <c r="L342">
        <v>51</v>
      </c>
      <c r="M342" t="s">
        <v>23</v>
      </c>
      <c r="N342">
        <v>53</v>
      </c>
      <c r="O342">
        <v>14.724</v>
      </c>
      <c r="P342">
        <v>-92.461399999999998</v>
      </c>
      <c r="Q342" t="s">
        <v>373</v>
      </c>
      <c r="R342" t="s">
        <v>47</v>
      </c>
      <c r="S342" t="s">
        <v>48</v>
      </c>
      <c r="T342">
        <v>4</v>
      </c>
      <c r="U342">
        <v>6.9</v>
      </c>
      <c r="V342">
        <v>0</v>
      </c>
      <c r="W342">
        <v>0.26300000000000001</v>
      </c>
      <c r="X342">
        <v>51</v>
      </c>
      <c r="Y342">
        <v>53</v>
      </c>
      <c r="Z342">
        <v>8</v>
      </c>
      <c r="AA342">
        <v>7</v>
      </c>
      <c r="AB342">
        <v>1</v>
      </c>
      <c r="AC342">
        <v>1079</v>
      </c>
      <c r="AD342" s="8">
        <v>41827.474305555559</v>
      </c>
    </row>
    <row r="343" spans="1:30">
      <c r="A343" t="s">
        <v>788</v>
      </c>
      <c r="B343">
        <v>6.6</v>
      </c>
      <c r="C343" s="8">
        <v>41863.370833333334</v>
      </c>
      <c r="D343">
        <v>7</v>
      </c>
      <c r="E343">
        <v>6</v>
      </c>
      <c r="F343" t="s">
        <v>21</v>
      </c>
      <c r="G343">
        <v>1</v>
      </c>
      <c r="H343">
        <v>709</v>
      </c>
      <c r="I343" t="s">
        <v>22</v>
      </c>
      <c r="J343">
        <v>0</v>
      </c>
      <c r="K343">
        <v>2.4849999999999999</v>
      </c>
      <c r="L343">
        <v>43</v>
      </c>
      <c r="M343" t="s">
        <v>23</v>
      </c>
      <c r="N343">
        <v>20</v>
      </c>
      <c r="O343">
        <v>7.9401000000000002</v>
      </c>
      <c r="P343">
        <v>-82.686499999999995</v>
      </c>
      <c r="Q343" t="s">
        <v>787</v>
      </c>
      <c r="R343" t="s">
        <v>47</v>
      </c>
      <c r="S343" t="s">
        <v>42</v>
      </c>
      <c r="T343">
        <v>4</v>
      </c>
      <c r="U343">
        <v>6.6</v>
      </c>
      <c r="V343">
        <v>0</v>
      </c>
      <c r="W343">
        <v>2.4849999999999999</v>
      </c>
      <c r="X343">
        <v>43</v>
      </c>
      <c r="Y343">
        <v>20</v>
      </c>
      <c r="Z343">
        <v>7</v>
      </c>
      <c r="AA343">
        <v>6</v>
      </c>
      <c r="AB343">
        <v>1</v>
      </c>
      <c r="AC343">
        <v>709</v>
      </c>
      <c r="AD343" s="8">
        <v>41863.370833333334</v>
      </c>
    </row>
    <row r="344" spans="1:30">
      <c r="A344" t="s">
        <v>866</v>
      </c>
      <c r="B344">
        <v>6.8</v>
      </c>
      <c r="C344" s="8">
        <v>41915.220833333333</v>
      </c>
      <c r="D344">
        <v>5</v>
      </c>
      <c r="E344">
        <v>5</v>
      </c>
      <c r="F344" t="s">
        <v>21</v>
      </c>
      <c r="G344">
        <v>1</v>
      </c>
      <c r="H344">
        <v>1211</v>
      </c>
      <c r="I344" t="s">
        <v>867</v>
      </c>
      <c r="J344">
        <v>112</v>
      </c>
      <c r="K344">
        <v>0.65680000000000005</v>
      </c>
      <c r="L344">
        <v>229</v>
      </c>
      <c r="M344" t="s">
        <v>345</v>
      </c>
      <c r="N344">
        <v>16.440999999999999</v>
      </c>
      <c r="O344">
        <v>40.828699999999998</v>
      </c>
      <c r="P344">
        <v>-125.134</v>
      </c>
      <c r="Q344" t="s">
        <v>868</v>
      </c>
      <c r="R344" t="s">
        <v>47</v>
      </c>
      <c r="S344" t="s">
        <v>1754</v>
      </c>
      <c r="T344">
        <v>4</v>
      </c>
      <c r="U344">
        <v>6.8</v>
      </c>
      <c r="V344">
        <v>112</v>
      </c>
      <c r="W344">
        <v>0.65680000000000005</v>
      </c>
      <c r="X344">
        <v>229</v>
      </c>
      <c r="Y344">
        <v>16.440999999999999</v>
      </c>
      <c r="Z344">
        <v>5</v>
      </c>
      <c r="AA344">
        <v>5</v>
      </c>
      <c r="AB344">
        <v>1</v>
      </c>
      <c r="AC344">
        <v>1211</v>
      </c>
      <c r="AD344" s="8">
        <v>41915.220833333333</v>
      </c>
    </row>
    <row r="345" spans="1:30">
      <c r="A345" t="s">
        <v>854</v>
      </c>
      <c r="B345">
        <v>6.6</v>
      </c>
      <c r="C345" s="8">
        <v>41947.853472222225</v>
      </c>
      <c r="D345">
        <v>6</v>
      </c>
      <c r="E345">
        <v>5</v>
      </c>
      <c r="F345" t="s">
        <v>21</v>
      </c>
      <c r="G345">
        <v>1</v>
      </c>
      <c r="H345">
        <v>677</v>
      </c>
      <c r="I345" t="s">
        <v>22</v>
      </c>
      <c r="J345">
        <v>0</v>
      </c>
      <c r="K345">
        <v>0.76100000000000001</v>
      </c>
      <c r="L345">
        <v>20</v>
      </c>
      <c r="M345" t="s">
        <v>23</v>
      </c>
      <c r="N345">
        <v>135</v>
      </c>
      <c r="O345">
        <v>11.641999999999999</v>
      </c>
      <c r="P345">
        <v>-85.877899999999997</v>
      </c>
      <c r="Q345" t="s">
        <v>855</v>
      </c>
      <c r="R345" t="s">
        <v>47</v>
      </c>
      <c r="S345" t="s">
        <v>856</v>
      </c>
      <c r="T345">
        <v>4</v>
      </c>
      <c r="U345">
        <v>6.6</v>
      </c>
      <c r="V345">
        <v>0</v>
      </c>
      <c r="W345">
        <v>0.76100000000000001</v>
      </c>
      <c r="X345">
        <v>20</v>
      </c>
      <c r="Y345">
        <v>135</v>
      </c>
      <c r="Z345">
        <v>6</v>
      </c>
      <c r="AA345">
        <v>5</v>
      </c>
      <c r="AB345">
        <v>1</v>
      </c>
      <c r="AC345">
        <v>677</v>
      </c>
      <c r="AD345" s="8">
        <v>41947.853472222225</v>
      </c>
    </row>
    <row r="346" spans="1:30">
      <c r="A346" t="s">
        <v>786</v>
      </c>
      <c r="B346">
        <v>6.5</v>
      </c>
      <c r="C346" s="8">
        <v>42186.213194444441</v>
      </c>
      <c r="D346">
        <v>1</v>
      </c>
      <c r="E346">
        <v>4</v>
      </c>
      <c r="F346" t="s">
        <v>21</v>
      </c>
      <c r="G346">
        <v>1</v>
      </c>
      <c r="H346">
        <v>650</v>
      </c>
      <c r="I346" t="s">
        <v>22</v>
      </c>
      <c r="J346">
        <v>0</v>
      </c>
      <c r="K346">
        <v>4.3179999999999996</v>
      </c>
      <c r="L346">
        <v>61</v>
      </c>
      <c r="M346" t="s">
        <v>23</v>
      </c>
      <c r="N346">
        <v>8</v>
      </c>
      <c r="O346">
        <v>5.9044999999999996</v>
      </c>
      <c r="P346">
        <v>-82.657600000000002</v>
      </c>
      <c r="Q346" t="s">
        <v>787</v>
      </c>
      <c r="R346" t="s">
        <v>47</v>
      </c>
      <c r="S346" t="s">
        <v>42</v>
      </c>
      <c r="T346">
        <v>4</v>
      </c>
      <c r="U346">
        <v>6.5</v>
      </c>
      <c r="V346">
        <v>0</v>
      </c>
      <c r="W346">
        <v>4.3179999999999996</v>
      </c>
      <c r="X346">
        <v>61</v>
      </c>
      <c r="Y346">
        <v>8</v>
      </c>
      <c r="Z346">
        <v>1</v>
      </c>
      <c r="AA346">
        <v>4</v>
      </c>
      <c r="AB346">
        <v>1</v>
      </c>
      <c r="AC346">
        <v>650</v>
      </c>
      <c r="AD346" s="8">
        <v>42186.213194444441</v>
      </c>
    </row>
    <row r="347" spans="1:30">
      <c r="A347" t="s">
        <v>579</v>
      </c>
      <c r="B347">
        <v>6.6</v>
      </c>
      <c r="C347" s="8">
        <v>42594.617361111108</v>
      </c>
      <c r="D347">
        <v>5</v>
      </c>
      <c r="E347">
        <v>4</v>
      </c>
      <c r="F347" t="s">
        <v>21</v>
      </c>
      <c r="G347">
        <v>1</v>
      </c>
      <c r="H347">
        <v>1120</v>
      </c>
      <c r="I347" t="s">
        <v>22</v>
      </c>
      <c r="J347">
        <v>0</v>
      </c>
      <c r="K347">
        <v>1.405</v>
      </c>
      <c r="L347">
        <v>55</v>
      </c>
      <c r="M347" t="s">
        <v>23</v>
      </c>
      <c r="N347">
        <v>8.4499999999999993</v>
      </c>
      <c r="O347">
        <v>40.453499999999998</v>
      </c>
      <c r="P347">
        <v>-126.194</v>
      </c>
      <c r="Q347" t="s">
        <v>580</v>
      </c>
      <c r="R347" t="s">
        <v>47</v>
      </c>
      <c r="S347" t="s">
        <v>1754</v>
      </c>
      <c r="T347">
        <v>4</v>
      </c>
      <c r="U347">
        <v>6.6</v>
      </c>
      <c r="V347">
        <v>0</v>
      </c>
      <c r="W347">
        <v>1.405</v>
      </c>
      <c r="X347">
        <v>55</v>
      </c>
      <c r="Y347">
        <v>8.4499999999999993</v>
      </c>
      <c r="Z347">
        <v>5</v>
      </c>
      <c r="AA347">
        <v>4</v>
      </c>
      <c r="AB347">
        <v>1</v>
      </c>
      <c r="AC347">
        <v>1120</v>
      </c>
      <c r="AD347" s="8">
        <v>42594.617361111108</v>
      </c>
    </row>
    <row r="348" spans="1:30">
      <c r="A348" t="s">
        <v>535</v>
      </c>
      <c r="B348">
        <v>6.8</v>
      </c>
      <c r="C348" s="8">
        <v>42772.933333333334</v>
      </c>
      <c r="D348">
        <v>0</v>
      </c>
      <c r="E348">
        <v>4</v>
      </c>
      <c r="F348" t="s">
        <v>21</v>
      </c>
      <c r="G348">
        <v>1</v>
      </c>
      <c r="H348">
        <v>711</v>
      </c>
      <c r="I348" t="s">
        <v>22</v>
      </c>
      <c r="J348">
        <v>0</v>
      </c>
      <c r="K348">
        <v>2.3079999999999998</v>
      </c>
      <c r="L348">
        <v>12</v>
      </c>
      <c r="M348" t="s">
        <v>23</v>
      </c>
      <c r="N348">
        <v>5</v>
      </c>
      <c r="O348">
        <v>54.031199999999998</v>
      </c>
      <c r="P348">
        <v>170.92</v>
      </c>
      <c r="Q348" t="s">
        <v>510</v>
      </c>
      <c r="R348" t="s">
        <v>47</v>
      </c>
      <c r="S348" t="s">
        <v>1754</v>
      </c>
      <c r="T348">
        <v>4</v>
      </c>
      <c r="U348">
        <v>6.8</v>
      </c>
      <c r="V348">
        <v>0</v>
      </c>
      <c r="W348">
        <v>2.3079999999999998</v>
      </c>
      <c r="X348">
        <v>12</v>
      </c>
      <c r="Y348">
        <v>5</v>
      </c>
      <c r="Z348">
        <v>0</v>
      </c>
      <c r="AA348">
        <v>4</v>
      </c>
      <c r="AB348">
        <v>1</v>
      </c>
      <c r="AC348">
        <v>711</v>
      </c>
      <c r="AD348" s="8">
        <v>42772.933333333334</v>
      </c>
    </row>
    <row r="349" spans="1:30">
      <c r="A349" t="s">
        <v>514</v>
      </c>
      <c r="B349">
        <v>8.1999999999999993</v>
      </c>
      <c r="C349" s="8">
        <v>42956.200694444444</v>
      </c>
      <c r="D349">
        <v>9</v>
      </c>
      <c r="E349">
        <v>7</v>
      </c>
      <c r="F349" t="s">
        <v>103</v>
      </c>
      <c r="G349">
        <v>1</v>
      </c>
      <c r="H349">
        <v>2910</v>
      </c>
      <c r="I349" t="s">
        <v>22</v>
      </c>
      <c r="J349">
        <v>0</v>
      </c>
      <c r="K349">
        <v>0.94399999999999995</v>
      </c>
      <c r="L349">
        <v>22</v>
      </c>
      <c r="M349" t="s">
        <v>23</v>
      </c>
      <c r="N349">
        <v>47.39</v>
      </c>
      <c r="O349">
        <v>15.0222</v>
      </c>
      <c r="P349">
        <v>-93.899299999999997</v>
      </c>
      <c r="Q349" t="s">
        <v>515</v>
      </c>
      <c r="R349" t="s">
        <v>47</v>
      </c>
      <c r="S349" t="s">
        <v>48</v>
      </c>
      <c r="T349">
        <v>4</v>
      </c>
      <c r="U349">
        <v>8.1999999999999993</v>
      </c>
      <c r="V349">
        <v>0</v>
      </c>
      <c r="W349">
        <v>0.94399999999999995</v>
      </c>
      <c r="X349">
        <v>22</v>
      </c>
      <c r="Y349">
        <v>47.39</v>
      </c>
      <c r="Z349">
        <v>9</v>
      </c>
      <c r="AA349">
        <v>7</v>
      </c>
      <c r="AB349">
        <v>1</v>
      </c>
      <c r="AC349">
        <v>2910</v>
      </c>
      <c r="AD349" s="8">
        <v>42956.200694444444</v>
      </c>
    </row>
    <row r="350" spans="1:30">
      <c r="A350" t="s">
        <v>509</v>
      </c>
      <c r="B350">
        <v>6.5</v>
      </c>
      <c r="C350" s="8">
        <v>42957.94027777778</v>
      </c>
      <c r="D350">
        <v>3</v>
      </c>
      <c r="E350">
        <v>5</v>
      </c>
      <c r="F350" t="s">
        <v>21</v>
      </c>
      <c r="G350">
        <v>1</v>
      </c>
      <c r="H350">
        <v>651</v>
      </c>
      <c r="I350" t="s">
        <v>22</v>
      </c>
      <c r="J350">
        <v>0</v>
      </c>
      <c r="K350">
        <v>1.1539999999999999</v>
      </c>
      <c r="L350">
        <v>11</v>
      </c>
      <c r="M350" t="s">
        <v>23</v>
      </c>
      <c r="N350">
        <v>119</v>
      </c>
      <c r="O350">
        <v>52.390900000000002</v>
      </c>
      <c r="P350">
        <v>176.76900000000001</v>
      </c>
      <c r="Q350" t="s">
        <v>510</v>
      </c>
      <c r="R350" t="s">
        <v>47</v>
      </c>
      <c r="S350" t="s">
        <v>1754</v>
      </c>
      <c r="T350">
        <v>4</v>
      </c>
      <c r="U350">
        <v>6.5</v>
      </c>
      <c r="V350">
        <v>0</v>
      </c>
      <c r="W350">
        <v>1.1539999999999999</v>
      </c>
      <c r="X350">
        <v>11</v>
      </c>
      <c r="Y350">
        <v>119</v>
      </c>
      <c r="Z350">
        <v>3</v>
      </c>
      <c r="AA350">
        <v>5</v>
      </c>
      <c r="AB350">
        <v>1</v>
      </c>
      <c r="AC350">
        <v>651</v>
      </c>
      <c r="AD350" s="8">
        <v>42957.94027777778</v>
      </c>
    </row>
    <row r="351" spans="1:30">
      <c r="A351" t="s">
        <v>455</v>
      </c>
      <c r="B351">
        <v>6.9</v>
      </c>
      <c r="C351" s="8">
        <v>43195.938888888886</v>
      </c>
      <c r="D351">
        <v>7</v>
      </c>
      <c r="E351">
        <v>8</v>
      </c>
      <c r="F351" t="s">
        <v>45</v>
      </c>
      <c r="G351">
        <v>1</v>
      </c>
      <c r="H351">
        <v>1392</v>
      </c>
      <c r="I351" t="s">
        <v>456</v>
      </c>
      <c r="J351">
        <v>63</v>
      </c>
      <c r="K351">
        <v>0.11</v>
      </c>
      <c r="L351">
        <v>210</v>
      </c>
      <c r="M351" t="s">
        <v>345</v>
      </c>
      <c r="N351">
        <v>5.81</v>
      </c>
      <c r="O351">
        <v>19.318200000000001</v>
      </c>
      <c r="P351">
        <v>-155</v>
      </c>
      <c r="Q351" t="s">
        <v>457</v>
      </c>
      <c r="R351" t="s">
        <v>47</v>
      </c>
      <c r="S351" t="s">
        <v>1754</v>
      </c>
      <c r="T351">
        <v>4</v>
      </c>
      <c r="U351">
        <v>6.9</v>
      </c>
      <c r="V351">
        <v>63</v>
      </c>
      <c r="W351">
        <v>0.11</v>
      </c>
      <c r="X351">
        <v>210</v>
      </c>
      <c r="Y351">
        <v>5.81</v>
      </c>
      <c r="Z351">
        <v>7</v>
      </c>
      <c r="AA351">
        <v>8</v>
      </c>
      <c r="AB351">
        <v>1</v>
      </c>
      <c r="AC351">
        <v>1392</v>
      </c>
      <c r="AD351" s="8">
        <v>43195.938888888886</v>
      </c>
    </row>
    <row r="352" spans="1:30">
      <c r="A352" t="s">
        <v>480</v>
      </c>
      <c r="B352">
        <v>7.5</v>
      </c>
      <c r="C352" s="8">
        <v>43374.118750000001</v>
      </c>
      <c r="D352">
        <v>8</v>
      </c>
      <c r="E352">
        <v>5</v>
      </c>
      <c r="F352" t="s">
        <v>21</v>
      </c>
      <c r="G352">
        <v>1</v>
      </c>
      <c r="H352">
        <v>1623</v>
      </c>
      <c r="I352" t="s">
        <v>22</v>
      </c>
      <c r="J352">
        <v>0</v>
      </c>
      <c r="K352">
        <v>4.5810000000000004</v>
      </c>
      <c r="L352">
        <v>12</v>
      </c>
      <c r="M352" t="s">
        <v>23</v>
      </c>
      <c r="N352">
        <v>19</v>
      </c>
      <c r="O352">
        <v>17.482500000000002</v>
      </c>
      <c r="P352">
        <v>-83.52</v>
      </c>
      <c r="Q352" t="s">
        <v>481</v>
      </c>
      <c r="R352" t="s">
        <v>47</v>
      </c>
      <c r="S352" t="s">
        <v>1738</v>
      </c>
      <c r="T352">
        <v>4</v>
      </c>
      <c r="U352">
        <v>7.5</v>
      </c>
      <c r="V352">
        <v>0</v>
      </c>
      <c r="W352">
        <v>4.5810000000000004</v>
      </c>
      <c r="X352">
        <v>12</v>
      </c>
      <c r="Y352">
        <v>19</v>
      </c>
      <c r="Z352">
        <v>8</v>
      </c>
      <c r="AA352">
        <v>5</v>
      </c>
      <c r="AB352">
        <v>1</v>
      </c>
      <c r="AC352">
        <v>1623</v>
      </c>
      <c r="AD352" s="8">
        <v>43374.118750000001</v>
      </c>
    </row>
    <row r="353" spans="1:30">
      <c r="A353" t="s">
        <v>372</v>
      </c>
      <c r="B353">
        <v>6.7</v>
      </c>
      <c r="C353" s="8">
        <v>43467.676388888889</v>
      </c>
      <c r="D353">
        <v>6</v>
      </c>
      <c r="E353">
        <v>6</v>
      </c>
      <c r="F353" t="s">
        <v>45</v>
      </c>
      <c r="G353">
        <v>1</v>
      </c>
      <c r="H353">
        <v>909</v>
      </c>
      <c r="I353" t="s">
        <v>22</v>
      </c>
      <c r="J353">
        <v>0</v>
      </c>
      <c r="K353">
        <v>0.28899999999999998</v>
      </c>
      <c r="L353">
        <v>43</v>
      </c>
      <c r="M353" t="s">
        <v>23</v>
      </c>
      <c r="N353">
        <v>66</v>
      </c>
      <c r="O353">
        <v>14.680199999999999</v>
      </c>
      <c r="P353">
        <v>-92.452699999999993</v>
      </c>
      <c r="Q353" t="s">
        <v>373</v>
      </c>
      <c r="R353" t="s">
        <v>47</v>
      </c>
      <c r="S353" t="s">
        <v>48</v>
      </c>
      <c r="T353">
        <v>4</v>
      </c>
      <c r="U353">
        <v>6.7</v>
      </c>
      <c r="V353">
        <v>0</v>
      </c>
      <c r="W353">
        <v>0.28899999999999998</v>
      </c>
      <c r="X353">
        <v>43</v>
      </c>
      <c r="Y353">
        <v>66</v>
      </c>
      <c r="Z353">
        <v>6</v>
      </c>
      <c r="AA353">
        <v>6</v>
      </c>
      <c r="AB353">
        <v>1</v>
      </c>
      <c r="AC353">
        <v>909</v>
      </c>
      <c r="AD353" s="8">
        <v>43467.676388888889</v>
      </c>
    </row>
    <row r="354" spans="1:30">
      <c r="A354" t="s">
        <v>343</v>
      </c>
      <c r="B354">
        <v>7.1</v>
      </c>
      <c r="C354" s="8">
        <v>43623.138194444444</v>
      </c>
      <c r="D354">
        <v>9</v>
      </c>
      <c r="E354">
        <v>9</v>
      </c>
      <c r="F354" t="s">
        <v>45</v>
      </c>
      <c r="G354">
        <v>0</v>
      </c>
      <c r="H354">
        <v>1646</v>
      </c>
      <c r="I354" t="s">
        <v>344</v>
      </c>
      <c r="J354">
        <v>77</v>
      </c>
      <c r="K354">
        <v>4.616E-2</v>
      </c>
      <c r="L354">
        <v>43</v>
      </c>
      <c r="M354" t="s">
        <v>345</v>
      </c>
      <c r="N354">
        <v>8</v>
      </c>
      <c r="O354">
        <v>35.769500000000001</v>
      </c>
      <c r="P354">
        <v>-117.599</v>
      </c>
      <c r="Q354" t="s">
        <v>346</v>
      </c>
      <c r="R354" t="s">
        <v>47</v>
      </c>
      <c r="S354" t="s">
        <v>1754</v>
      </c>
      <c r="T354">
        <v>4</v>
      </c>
      <c r="U354">
        <v>7.1</v>
      </c>
      <c r="V354">
        <v>77</v>
      </c>
      <c r="W354">
        <v>4.616E-2</v>
      </c>
      <c r="X354">
        <v>43</v>
      </c>
      <c r="Y354">
        <v>8</v>
      </c>
      <c r="Z354">
        <v>9</v>
      </c>
      <c r="AA354">
        <v>9</v>
      </c>
      <c r="AB354">
        <v>0</v>
      </c>
      <c r="AC354">
        <v>1646</v>
      </c>
      <c r="AD354" s="8">
        <v>43623.138194444444</v>
      </c>
    </row>
    <row r="355" spans="1:30">
      <c r="A355" t="s">
        <v>152</v>
      </c>
      <c r="B355">
        <v>7</v>
      </c>
      <c r="C355" s="8">
        <v>44417.074305555558</v>
      </c>
      <c r="D355">
        <v>8</v>
      </c>
      <c r="E355">
        <v>8</v>
      </c>
      <c r="F355" t="s">
        <v>103</v>
      </c>
      <c r="G355">
        <v>1</v>
      </c>
      <c r="H355">
        <v>2504</v>
      </c>
      <c r="I355" t="s">
        <v>22</v>
      </c>
      <c r="J355">
        <v>0</v>
      </c>
      <c r="K355">
        <v>7.0000000000000007E-2</v>
      </c>
      <c r="L355">
        <v>43</v>
      </c>
      <c r="M355" t="s">
        <v>23</v>
      </c>
      <c r="N355">
        <v>20</v>
      </c>
      <c r="O355">
        <v>16.950199999999999</v>
      </c>
      <c r="P355">
        <v>-99.787700000000001</v>
      </c>
      <c r="Q355" t="s">
        <v>153</v>
      </c>
      <c r="R355" t="s">
        <v>47</v>
      </c>
      <c r="S355" t="s">
        <v>48</v>
      </c>
      <c r="T355">
        <v>4</v>
      </c>
      <c r="U355">
        <v>7</v>
      </c>
      <c r="V355">
        <v>0</v>
      </c>
      <c r="W355">
        <v>7.0000000000000007E-2</v>
      </c>
      <c r="X355">
        <v>43</v>
      </c>
      <c r="Y355">
        <v>20</v>
      </c>
      <c r="Z355">
        <v>8</v>
      </c>
      <c r="AA355">
        <v>8</v>
      </c>
      <c r="AB355">
        <v>1</v>
      </c>
      <c r="AC355">
        <v>2504</v>
      </c>
      <c r="AD355" s="8">
        <v>44417.074305555558</v>
      </c>
    </row>
    <row r="356" spans="1:30">
      <c r="A356" t="s">
        <v>142</v>
      </c>
      <c r="B356">
        <v>6.9</v>
      </c>
      <c r="C356" s="8">
        <v>44510.381944444445</v>
      </c>
      <c r="D356">
        <v>8</v>
      </c>
      <c r="E356">
        <v>6</v>
      </c>
      <c r="F356" t="s">
        <v>21</v>
      </c>
      <c r="G356">
        <v>1</v>
      </c>
      <c r="H356">
        <v>995</v>
      </c>
      <c r="I356" t="s">
        <v>143</v>
      </c>
      <c r="J356">
        <v>0</v>
      </c>
      <c r="K356">
        <v>0</v>
      </c>
      <c r="L356">
        <v>0</v>
      </c>
      <c r="M356" t="s">
        <v>23</v>
      </c>
      <c r="N356">
        <v>51.6</v>
      </c>
      <c r="O356">
        <v>56.258099999999999</v>
      </c>
      <c r="P356">
        <v>-156.49199999999999</v>
      </c>
      <c r="Q356" t="s">
        <v>144</v>
      </c>
      <c r="R356" t="s">
        <v>47</v>
      </c>
      <c r="S356" t="s">
        <v>1754</v>
      </c>
      <c r="T356">
        <v>4</v>
      </c>
      <c r="U356">
        <v>6.9</v>
      </c>
      <c r="V356">
        <v>0</v>
      </c>
      <c r="W356">
        <v>0</v>
      </c>
      <c r="X356">
        <v>0</v>
      </c>
      <c r="Y356">
        <v>51.6</v>
      </c>
      <c r="Z356">
        <v>8</v>
      </c>
      <c r="AA356">
        <v>6</v>
      </c>
      <c r="AB356">
        <v>1</v>
      </c>
      <c r="AC356">
        <v>995</v>
      </c>
      <c r="AD356" s="8">
        <v>44510.381944444445</v>
      </c>
    </row>
    <row r="357" spans="1:30">
      <c r="A357" t="s">
        <v>127</v>
      </c>
      <c r="B357">
        <v>6.8</v>
      </c>
      <c r="C357" s="8">
        <v>44866.482638888891</v>
      </c>
      <c r="D357">
        <v>7</v>
      </c>
      <c r="E357">
        <v>6</v>
      </c>
      <c r="F357" t="s">
        <v>21</v>
      </c>
      <c r="G357">
        <v>1</v>
      </c>
      <c r="H357">
        <v>730</v>
      </c>
      <c r="I357" t="s">
        <v>22</v>
      </c>
      <c r="J357">
        <v>0</v>
      </c>
      <c r="K357">
        <v>0.92</v>
      </c>
      <c r="L357">
        <v>61</v>
      </c>
      <c r="M357" t="s">
        <v>23</v>
      </c>
      <c r="N357">
        <v>20</v>
      </c>
      <c r="O357">
        <v>52.656300000000002</v>
      </c>
      <c r="P357">
        <v>-167.917</v>
      </c>
      <c r="Q357" t="s">
        <v>123</v>
      </c>
      <c r="R357" t="s">
        <v>47</v>
      </c>
      <c r="S357" t="s">
        <v>1754</v>
      </c>
      <c r="T357">
        <v>4</v>
      </c>
      <c r="U357">
        <v>6.8</v>
      </c>
      <c r="V357">
        <v>0</v>
      </c>
      <c r="W357">
        <v>0.92</v>
      </c>
      <c r="X357">
        <v>61</v>
      </c>
      <c r="Y357">
        <v>20</v>
      </c>
      <c r="Z357">
        <v>7</v>
      </c>
      <c r="AA357">
        <v>6</v>
      </c>
      <c r="AB357">
        <v>1</v>
      </c>
      <c r="AC357">
        <v>730</v>
      </c>
      <c r="AD357" s="8">
        <v>44866.482638888891</v>
      </c>
    </row>
    <row r="358" spans="1:30">
      <c r="A358" t="s">
        <v>126</v>
      </c>
      <c r="B358">
        <v>6.7</v>
      </c>
      <c r="C358" s="8">
        <v>44866.482638888891</v>
      </c>
      <c r="D358">
        <v>0</v>
      </c>
      <c r="E358">
        <v>4</v>
      </c>
      <c r="G358">
        <v>1</v>
      </c>
      <c r="H358">
        <v>691</v>
      </c>
      <c r="I358" t="s">
        <v>121</v>
      </c>
      <c r="J358">
        <v>50</v>
      </c>
      <c r="K358">
        <v>0.93694299999999997</v>
      </c>
      <c r="L358">
        <v>126</v>
      </c>
      <c r="M358" t="s">
        <v>122</v>
      </c>
      <c r="N358">
        <v>33</v>
      </c>
      <c r="O358">
        <v>52.48</v>
      </c>
      <c r="P358">
        <v>-167.73599999999999</v>
      </c>
      <c r="Q358" t="s">
        <v>123</v>
      </c>
      <c r="R358" t="s">
        <v>47</v>
      </c>
      <c r="S358" t="s">
        <v>1754</v>
      </c>
      <c r="T358">
        <v>4</v>
      </c>
      <c r="U358">
        <v>6.7</v>
      </c>
      <c r="V358">
        <v>50</v>
      </c>
      <c r="W358">
        <v>0.93694299999999997</v>
      </c>
      <c r="X358">
        <v>126</v>
      </c>
      <c r="Y358">
        <v>33</v>
      </c>
      <c r="Z358">
        <v>0</v>
      </c>
      <c r="AA358">
        <v>4</v>
      </c>
      <c r="AB358">
        <v>1</v>
      </c>
      <c r="AC358">
        <v>691</v>
      </c>
      <c r="AD358" s="8">
        <v>44866.482638888891</v>
      </c>
    </row>
    <row r="359" spans="1:30">
      <c r="A359" t="s">
        <v>126</v>
      </c>
      <c r="B359">
        <v>6.7</v>
      </c>
      <c r="C359" s="8">
        <v>44866.482638888891</v>
      </c>
      <c r="D359">
        <v>0</v>
      </c>
      <c r="E359">
        <v>4</v>
      </c>
      <c r="G359">
        <v>1</v>
      </c>
      <c r="H359">
        <v>691</v>
      </c>
      <c r="I359" t="s">
        <v>124</v>
      </c>
      <c r="J359">
        <v>20</v>
      </c>
      <c r="K359">
        <v>0</v>
      </c>
      <c r="L359">
        <v>205.2</v>
      </c>
      <c r="M359" t="s">
        <v>122</v>
      </c>
      <c r="N359">
        <v>33</v>
      </c>
      <c r="O359">
        <v>52.48</v>
      </c>
      <c r="P359">
        <v>-167.73599999999999</v>
      </c>
      <c r="Q359" t="s">
        <v>123</v>
      </c>
      <c r="R359" t="s">
        <v>47</v>
      </c>
      <c r="S359" t="s">
        <v>1754</v>
      </c>
      <c r="T359">
        <v>4</v>
      </c>
      <c r="U359">
        <v>6.7</v>
      </c>
      <c r="V359">
        <v>20</v>
      </c>
      <c r="W359">
        <v>0</v>
      </c>
      <c r="X359">
        <v>205.2</v>
      </c>
      <c r="Y359">
        <v>33</v>
      </c>
      <c r="Z359">
        <v>0</v>
      </c>
      <c r="AA359">
        <v>4</v>
      </c>
      <c r="AB359">
        <v>1</v>
      </c>
      <c r="AC359">
        <v>691</v>
      </c>
      <c r="AD359" s="8">
        <v>44866.482638888891</v>
      </c>
    </row>
    <row r="360" spans="1:30">
      <c r="A360" t="s">
        <v>125</v>
      </c>
      <c r="B360">
        <v>6.6</v>
      </c>
      <c r="C360" s="8">
        <v>44866.527083333334</v>
      </c>
      <c r="D360">
        <v>8</v>
      </c>
      <c r="E360">
        <v>5</v>
      </c>
      <c r="F360" t="s">
        <v>21</v>
      </c>
      <c r="G360">
        <v>1</v>
      </c>
      <c r="H360">
        <v>674</v>
      </c>
      <c r="I360" t="s">
        <v>22</v>
      </c>
      <c r="J360">
        <v>0</v>
      </c>
      <c r="K360">
        <v>0.50700000000000001</v>
      </c>
      <c r="L360">
        <v>49</v>
      </c>
      <c r="M360" t="s">
        <v>23</v>
      </c>
      <c r="N360">
        <v>19</v>
      </c>
      <c r="O360">
        <v>52.6252</v>
      </c>
      <c r="P360">
        <v>-168.15</v>
      </c>
      <c r="Q360" t="s">
        <v>123</v>
      </c>
      <c r="R360" t="s">
        <v>47</v>
      </c>
      <c r="S360" t="s">
        <v>1754</v>
      </c>
      <c r="T360">
        <v>4</v>
      </c>
      <c r="U360">
        <v>6.6</v>
      </c>
      <c r="V360">
        <v>0</v>
      </c>
      <c r="W360">
        <v>0.50700000000000001</v>
      </c>
      <c r="X360">
        <v>49</v>
      </c>
      <c r="Y360">
        <v>19</v>
      </c>
      <c r="Z360">
        <v>8</v>
      </c>
      <c r="AA360">
        <v>5</v>
      </c>
      <c r="AB360">
        <v>1</v>
      </c>
      <c r="AC360">
        <v>674</v>
      </c>
      <c r="AD360" s="8">
        <v>44866.527083333334</v>
      </c>
    </row>
    <row r="361" spans="1:30">
      <c r="A361" t="s">
        <v>120</v>
      </c>
      <c r="B361">
        <v>6.5</v>
      </c>
      <c r="C361" s="8">
        <v>44866.527083333334</v>
      </c>
      <c r="D361">
        <v>0</v>
      </c>
      <c r="E361">
        <v>3</v>
      </c>
      <c r="G361">
        <v>1</v>
      </c>
      <c r="H361">
        <v>650</v>
      </c>
      <c r="I361" t="s">
        <v>121</v>
      </c>
      <c r="J361">
        <v>97</v>
      </c>
      <c r="K361">
        <v>1.6160699999999999</v>
      </c>
      <c r="L361">
        <v>108</v>
      </c>
      <c r="M361" t="s">
        <v>122</v>
      </c>
      <c r="N361">
        <v>37</v>
      </c>
      <c r="O361">
        <v>52.502000000000002</v>
      </c>
      <c r="P361">
        <v>-168.08</v>
      </c>
      <c r="Q361" t="s">
        <v>123</v>
      </c>
      <c r="R361" t="s">
        <v>47</v>
      </c>
      <c r="S361" t="s">
        <v>1754</v>
      </c>
      <c r="T361">
        <v>4</v>
      </c>
      <c r="U361">
        <v>6.5</v>
      </c>
      <c r="V361">
        <v>97</v>
      </c>
      <c r="W361">
        <v>1.6160699999999999</v>
      </c>
      <c r="X361">
        <v>108</v>
      </c>
      <c r="Y361">
        <v>37</v>
      </c>
      <c r="Z361">
        <v>0</v>
      </c>
      <c r="AA361">
        <v>3</v>
      </c>
      <c r="AB361">
        <v>1</v>
      </c>
      <c r="AC361">
        <v>650</v>
      </c>
      <c r="AD361" s="8">
        <v>44866.527083333334</v>
      </c>
    </row>
    <row r="362" spans="1:30">
      <c r="A362" t="s">
        <v>120</v>
      </c>
      <c r="B362">
        <v>6.5</v>
      </c>
      <c r="C362" s="8">
        <v>44866.527083333334</v>
      </c>
      <c r="D362">
        <v>0</v>
      </c>
      <c r="E362">
        <v>3</v>
      </c>
      <c r="G362">
        <v>1</v>
      </c>
      <c r="H362">
        <v>650</v>
      </c>
      <c r="I362" t="s">
        <v>124</v>
      </c>
      <c r="J362">
        <v>23</v>
      </c>
      <c r="K362">
        <v>0</v>
      </c>
      <c r="L362">
        <v>208.8</v>
      </c>
      <c r="M362" t="s">
        <v>122</v>
      </c>
      <c r="N362">
        <v>37</v>
      </c>
      <c r="O362">
        <v>52.502000000000002</v>
      </c>
      <c r="P362">
        <v>-168.08</v>
      </c>
      <c r="Q362" t="s">
        <v>123</v>
      </c>
      <c r="R362" t="s">
        <v>47</v>
      </c>
      <c r="S362" t="s">
        <v>1754</v>
      </c>
      <c r="T362">
        <v>4</v>
      </c>
      <c r="U362">
        <v>6.5</v>
      </c>
      <c r="V362">
        <v>23</v>
      </c>
      <c r="W362">
        <v>0</v>
      </c>
      <c r="X362">
        <v>208.8</v>
      </c>
      <c r="Y362">
        <v>37</v>
      </c>
      <c r="Z362">
        <v>0</v>
      </c>
      <c r="AA362">
        <v>3</v>
      </c>
      <c r="AB362">
        <v>1</v>
      </c>
      <c r="AC362">
        <v>650</v>
      </c>
      <c r="AD362" s="8">
        <v>44866.527083333334</v>
      </c>
    </row>
    <row r="363" spans="1:30">
      <c r="A363" t="s">
        <v>1729</v>
      </c>
      <c r="B363">
        <v>7.7</v>
      </c>
      <c r="C363" s="8" t="s">
        <v>1730</v>
      </c>
      <c r="D363">
        <v>0</v>
      </c>
      <c r="E363">
        <v>8</v>
      </c>
      <c r="G363">
        <v>0</v>
      </c>
      <c r="H363">
        <v>912</v>
      </c>
      <c r="I363" t="s">
        <v>22</v>
      </c>
      <c r="J363">
        <v>427</v>
      </c>
      <c r="K363">
        <v>0</v>
      </c>
      <c r="L363">
        <v>0</v>
      </c>
      <c r="M363" t="s">
        <v>829</v>
      </c>
      <c r="N363">
        <v>60</v>
      </c>
      <c r="O363">
        <v>13.048999999999999</v>
      </c>
      <c r="P363">
        <v>-88.66</v>
      </c>
      <c r="Q363" t="s">
        <v>588</v>
      </c>
      <c r="R363" t="s">
        <v>47</v>
      </c>
      <c r="S363" t="s">
        <v>1723</v>
      </c>
      <c r="T363">
        <v>4</v>
      </c>
      <c r="U363">
        <v>7.7</v>
      </c>
      <c r="V363">
        <v>427</v>
      </c>
      <c r="W363">
        <v>0</v>
      </c>
      <c r="X363">
        <v>0</v>
      </c>
      <c r="Y363">
        <v>60</v>
      </c>
      <c r="Z363">
        <v>0</v>
      </c>
      <c r="AA363">
        <v>8</v>
      </c>
      <c r="AB363">
        <v>0</v>
      </c>
      <c r="AC363">
        <v>912</v>
      </c>
      <c r="AD363" s="8">
        <v>36904</v>
      </c>
    </row>
    <row r="364" spans="1:30">
      <c r="A364" t="s">
        <v>1720</v>
      </c>
      <c r="B364">
        <v>6.6</v>
      </c>
      <c r="C364" s="8" t="s">
        <v>1721</v>
      </c>
      <c r="D364">
        <v>0</v>
      </c>
      <c r="E364">
        <v>8</v>
      </c>
      <c r="G364">
        <v>0</v>
      </c>
      <c r="H364">
        <v>670</v>
      </c>
      <c r="I364" t="s">
        <v>22</v>
      </c>
      <c r="J364">
        <v>273</v>
      </c>
      <c r="K364">
        <v>0</v>
      </c>
      <c r="L364">
        <v>0</v>
      </c>
      <c r="M364" t="s">
        <v>829</v>
      </c>
      <c r="N364">
        <v>10</v>
      </c>
      <c r="O364">
        <v>13.670999999999999</v>
      </c>
      <c r="P364">
        <v>-88.938000000000002</v>
      </c>
      <c r="Q364" t="s">
        <v>1722</v>
      </c>
      <c r="R364" t="s">
        <v>47</v>
      </c>
      <c r="S364" t="s">
        <v>1723</v>
      </c>
      <c r="T364">
        <v>4</v>
      </c>
      <c r="U364">
        <v>6.6</v>
      </c>
      <c r="V364">
        <v>273</v>
      </c>
      <c r="W364">
        <v>0</v>
      </c>
      <c r="X364">
        <v>0</v>
      </c>
      <c r="Y364">
        <v>10</v>
      </c>
      <c r="Z364">
        <v>0</v>
      </c>
      <c r="AA364">
        <v>8</v>
      </c>
      <c r="AB364">
        <v>0</v>
      </c>
      <c r="AC364">
        <v>670</v>
      </c>
      <c r="AD364" s="8">
        <v>36935</v>
      </c>
    </row>
    <row r="365" spans="1:30">
      <c r="A365" t="s">
        <v>836</v>
      </c>
      <c r="B365">
        <v>6.5</v>
      </c>
      <c r="C365" s="8" t="s">
        <v>837</v>
      </c>
      <c r="D365">
        <v>7</v>
      </c>
      <c r="E365">
        <v>5</v>
      </c>
      <c r="F365" t="s">
        <v>21</v>
      </c>
      <c r="G365">
        <v>1</v>
      </c>
      <c r="H365">
        <v>694</v>
      </c>
      <c r="I365" t="s">
        <v>22</v>
      </c>
      <c r="J365">
        <v>0</v>
      </c>
      <c r="K365">
        <v>3.121</v>
      </c>
      <c r="L365">
        <v>33</v>
      </c>
      <c r="M365" t="s">
        <v>23</v>
      </c>
      <c r="N365">
        <v>10</v>
      </c>
      <c r="O365">
        <v>7.2096</v>
      </c>
      <c r="P365">
        <v>-82.304500000000004</v>
      </c>
      <c r="Q365" t="s">
        <v>787</v>
      </c>
      <c r="R365" t="s">
        <v>47</v>
      </c>
      <c r="S365" t="s">
        <v>42</v>
      </c>
      <c r="T365">
        <v>4</v>
      </c>
      <c r="U365">
        <v>6.5</v>
      </c>
      <c r="V365">
        <v>0</v>
      </c>
      <c r="W365">
        <v>3.121</v>
      </c>
      <c r="X365">
        <v>33</v>
      </c>
      <c r="Y365">
        <v>10</v>
      </c>
      <c r="Z365">
        <v>7</v>
      </c>
      <c r="AA365">
        <v>5</v>
      </c>
      <c r="AB365">
        <v>1</v>
      </c>
      <c r="AC365">
        <v>694</v>
      </c>
      <c r="AD365" s="8">
        <v>41772</v>
      </c>
    </row>
    <row r="366" spans="1:30">
      <c r="A366" t="s">
        <v>721</v>
      </c>
      <c r="B366">
        <v>6.7</v>
      </c>
      <c r="C366" s="8" t="s">
        <v>722</v>
      </c>
      <c r="D366">
        <v>5</v>
      </c>
      <c r="E366">
        <v>5</v>
      </c>
      <c r="F366" t="s">
        <v>21</v>
      </c>
      <c r="G366">
        <v>1</v>
      </c>
      <c r="H366">
        <v>708</v>
      </c>
      <c r="I366" t="s">
        <v>22</v>
      </c>
      <c r="J366">
        <v>0</v>
      </c>
      <c r="K366">
        <v>1.256</v>
      </c>
      <c r="L366">
        <v>123</v>
      </c>
      <c r="M366" t="s">
        <v>23</v>
      </c>
      <c r="N366">
        <v>10</v>
      </c>
      <c r="O366">
        <v>24.913</v>
      </c>
      <c r="P366">
        <v>-109.623</v>
      </c>
      <c r="Q366" t="s">
        <v>723</v>
      </c>
      <c r="R366" t="s">
        <v>47</v>
      </c>
      <c r="S366" t="s">
        <v>48</v>
      </c>
      <c r="T366">
        <v>4</v>
      </c>
      <c r="U366">
        <v>6.7</v>
      </c>
      <c r="V366">
        <v>0</v>
      </c>
      <c r="W366">
        <v>1.256</v>
      </c>
      <c r="X366">
        <v>123</v>
      </c>
      <c r="Y366">
        <v>10</v>
      </c>
      <c r="Z366">
        <v>5</v>
      </c>
      <c r="AA366">
        <v>5</v>
      </c>
      <c r="AB366">
        <v>1</v>
      </c>
      <c r="AC366">
        <v>708</v>
      </c>
      <c r="AD366" s="8">
        <v>42260</v>
      </c>
    </row>
    <row r="367" spans="1:30">
      <c r="A367" t="s">
        <v>492</v>
      </c>
      <c r="B367">
        <v>6.5</v>
      </c>
      <c r="C367" s="8" t="s">
        <v>493</v>
      </c>
      <c r="D367">
        <v>8</v>
      </c>
      <c r="E367">
        <v>8</v>
      </c>
      <c r="F367" t="s">
        <v>45</v>
      </c>
      <c r="G367">
        <v>1</v>
      </c>
      <c r="H367">
        <v>1153</v>
      </c>
      <c r="I367" t="s">
        <v>22</v>
      </c>
      <c r="J367">
        <v>0</v>
      </c>
      <c r="K367">
        <v>0.22500000000000001</v>
      </c>
      <c r="L367">
        <v>37</v>
      </c>
      <c r="M367" t="s">
        <v>23</v>
      </c>
      <c r="N367">
        <v>19.36</v>
      </c>
      <c r="O367">
        <v>9.5146999999999995</v>
      </c>
      <c r="P367">
        <v>-84.486500000000007</v>
      </c>
      <c r="Q367" t="s">
        <v>494</v>
      </c>
      <c r="R367" t="s">
        <v>47</v>
      </c>
      <c r="S367" t="s">
        <v>495</v>
      </c>
      <c r="T367">
        <v>4</v>
      </c>
      <c r="U367">
        <v>6.5</v>
      </c>
      <c r="V367">
        <v>0</v>
      </c>
      <c r="W367">
        <v>0.22500000000000001</v>
      </c>
      <c r="X367">
        <v>37</v>
      </c>
      <c r="Y367">
        <v>19.36</v>
      </c>
      <c r="Z367">
        <v>8</v>
      </c>
      <c r="AA367">
        <v>8</v>
      </c>
      <c r="AB367">
        <v>1</v>
      </c>
      <c r="AC367">
        <v>1153</v>
      </c>
      <c r="AD367" s="8">
        <v>43052</v>
      </c>
    </row>
    <row r="368" spans="1:30">
      <c r="A368" t="s">
        <v>531</v>
      </c>
      <c r="B368">
        <v>6.9</v>
      </c>
      <c r="C368" s="8" t="s">
        <v>532</v>
      </c>
      <c r="D368">
        <v>8</v>
      </c>
      <c r="E368">
        <v>6</v>
      </c>
      <c r="F368" t="s">
        <v>45</v>
      </c>
      <c r="G368">
        <v>1</v>
      </c>
      <c r="H368">
        <v>1188</v>
      </c>
      <c r="I368" t="s">
        <v>22</v>
      </c>
      <c r="J368">
        <v>0</v>
      </c>
      <c r="K368">
        <v>0.247</v>
      </c>
      <c r="L368">
        <v>35</v>
      </c>
      <c r="M368" t="s">
        <v>23</v>
      </c>
      <c r="N368">
        <v>93</v>
      </c>
      <c r="O368">
        <v>14.9091</v>
      </c>
      <c r="P368">
        <v>-92.009200000000007</v>
      </c>
      <c r="Q368" t="s">
        <v>533</v>
      </c>
      <c r="R368" t="s">
        <v>47</v>
      </c>
      <c r="S368" t="s">
        <v>534</v>
      </c>
      <c r="T368">
        <v>4</v>
      </c>
      <c r="U368">
        <v>6.9</v>
      </c>
      <c r="V368">
        <v>0</v>
      </c>
      <c r="W368">
        <v>0.247</v>
      </c>
      <c r="X368">
        <v>35</v>
      </c>
      <c r="Y368">
        <v>93</v>
      </c>
      <c r="Z368">
        <v>8</v>
      </c>
      <c r="AA368">
        <v>6</v>
      </c>
      <c r="AB368">
        <v>1</v>
      </c>
      <c r="AC368">
        <v>1188</v>
      </c>
      <c r="AD368" s="8">
        <v>42900</v>
      </c>
    </row>
    <row r="369" spans="1:30">
      <c r="A369" t="s">
        <v>170</v>
      </c>
      <c r="B369">
        <v>6.9</v>
      </c>
      <c r="C369" s="8" t="s">
        <v>171</v>
      </c>
      <c r="D369">
        <v>5</v>
      </c>
      <c r="E369">
        <v>4</v>
      </c>
      <c r="F369" t="s">
        <v>21</v>
      </c>
      <c r="G369">
        <v>1</v>
      </c>
      <c r="H369">
        <v>738</v>
      </c>
      <c r="I369" t="s">
        <v>143</v>
      </c>
      <c r="J369">
        <v>0</v>
      </c>
      <c r="K369">
        <v>0</v>
      </c>
      <c r="L369">
        <v>0</v>
      </c>
      <c r="M369" t="s">
        <v>23</v>
      </c>
      <c r="N369">
        <v>33.299999999999997</v>
      </c>
      <c r="O369">
        <v>55.236400000000003</v>
      </c>
      <c r="P369">
        <v>-157.70699999999999</v>
      </c>
      <c r="Q369" t="s">
        <v>172</v>
      </c>
      <c r="R369" t="s">
        <v>47</v>
      </c>
      <c r="S369" t="s">
        <v>1754</v>
      </c>
      <c r="T369">
        <v>4</v>
      </c>
      <c r="U369">
        <v>6.9</v>
      </c>
      <c r="V369">
        <v>0</v>
      </c>
      <c r="W369">
        <v>0</v>
      </c>
      <c r="X369">
        <v>0</v>
      </c>
      <c r="Y369">
        <v>33.299999999999997</v>
      </c>
      <c r="Z369">
        <v>5</v>
      </c>
      <c r="AA369">
        <v>4</v>
      </c>
      <c r="AB369">
        <v>1</v>
      </c>
      <c r="AC369">
        <v>738</v>
      </c>
      <c r="AD369" s="8">
        <v>44422</v>
      </c>
    </row>
    <row r="370" spans="1:30">
      <c r="A370" t="s">
        <v>173</v>
      </c>
      <c r="B370">
        <v>6.9</v>
      </c>
      <c r="C370" s="8" t="s">
        <v>171</v>
      </c>
      <c r="D370">
        <v>5</v>
      </c>
      <c r="E370">
        <v>4</v>
      </c>
      <c r="F370" t="s">
        <v>21</v>
      </c>
      <c r="G370">
        <v>1</v>
      </c>
      <c r="H370">
        <v>738</v>
      </c>
      <c r="I370" t="s">
        <v>22</v>
      </c>
      <c r="J370">
        <v>0</v>
      </c>
      <c r="K370">
        <v>1.173</v>
      </c>
      <c r="L370">
        <v>36</v>
      </c>
      <c r="M370" t="s">
        <v>23</v>
      </c>
      <c r="N370">
        <v>20.74</v>
      </c>
      <c r="O370">
        <v>55.265700000000002</v>
      </c>
      <c r="P370">
        <v>-157.68</v>
      </c>
      <c r="Q370" t="s">
        <v>172</v>
      </c>
      <c r="R370" t="s">
        <v>47</v>
      </c>
      <c r="S370" t="s">
        <v>1754</v>
      </c>
      <c r="T370">
        <v>4</v>
      </c>
      <c r="U370">
        <v>6.9</v>
      </c>
      <c r="V370">
        <v>0</v>
      </c>
      <c r="W370">
        <v>1.173</v>
      </c>
      <c r="X370">
        <v>36</v>
      </c>
      <c r="Y370">
        <v>20.74</v>
      </c>
      <c r="Z370">
        <v>5</v>
      </c>
      <c r="AA370">
        <v>4</v>
      </c>
      <c r="AB370">
        <v>1</v>
      </c>
      <c r="AC370">
        <v>738</v>
      </c>
      <c r="AD370" s="8">
        <v>44422</v>
      </c>
    </row>
    <row r="371" spans="1:30">
      <c r="A371" t="s">
        <v>166</v>
      </c>
      <c r="B371">
        <v>7.2</v>
      </c>
      <c r="C371" s="8" t="s">
        <v>167</v>
      </c>
      <c r="D371">
        <v>9</v>
      </c>
      <c r="E371">
        <v>8</v>
      </c>
      <c r="F371" t="s">
        <v>103</v>
      </c>
      <c r="G371">
        <v>1</v>
      </c>
      <c r="H371">
        <v>2331</v>
      </c>
      <c r="I371" t="s">
        <v>22</v>
      </c>
      <c r="J371">
        <v>0</v>
      </c>
      <c r="K371">
        <v>1.1779999999999999</v>
      </c>
      <c r="L371">
        <v>23</v>
      </c>
      <c r="M371" t="s">
        <v>23</v>
      </c>
      <c r="N371">
        <v>10</v>
      </c>
      <c r="O371">
        <v>18.3521</v>
      </c>
      <c r="P371">
        <v>-73.480400000000003</v>
      </c>
      <c r="Q371" t="s">
        <v>168</v>
      </c>
      <c r="R371" t="s">
        <v>47</v>
      </c>
      <c r="S371" t="s">
        <v>169</v>
      </c>
      <c r="T371">
        <v>4</v>
      </c>
      <c r="U371">
        <v>7.2</v>
      </c>
      <c r="V371">
        <v>0</v>
      </c>
      <c r="W371">
        <v>1.1779999999999999</v>
      </c>
      <c r="X371">
        <v>23</v>
      </c>
      <c r="Y371">
        <v>10</v>
      </c>
      <c r="Z371">
        <v>9</v>
      </c>
      <c r="AA371">
        <v>8</v>
      </c>
      <c r="AB371">
        <v>1</v>
      </c>
      <c r="AC371">
        <v>2331</v>
      </c>
      <c r="AD371" s="8">
        <v>44422</v>
      </c>
    </row>
    <row r="372" spans="1:30">
      <c r="A372" t="s">
        <v>805</v>
      </c>
      <c r="B372">
        <v>7.3</v>
      </c>
      <c r="C372" s="8" t="s">
        <v>806</v>
      </c>
      <c r="D372">
        <v>8</v>
      </c>
      <c r="E372">
        <v>6</v>
      </c>
      <c r="F372" t="s">
        <v>45</v>
      </c>
      <c r="G372">
        <v>1</v>
      </c>
      <c r="H372">
        <v>982</v>
      </c>
      <c r="I372" t="s">
        <v>22</v>
      </c>
      <c r="J372">
        <v>0</v>
      </c>
      <c r="K372">
        <v>1.0780000000000001</v>
      </c>
      <c r="L372">
        <v>18</v>
      </c>
      <c r="M372" t="s">
        <v>23</v>
      </c>
      <c r="N372">
        <v>40</v>
      </c>
      <c r="O372">
        <v>12.526199999999999</v>
      </c>
      <c r="P372">
        <v>-88.122500000000002</v>
      </c>
      <c r="Q372" t="s">
        <v>807</v>
      </c>
      <c r="R372" t="s">
        <v>47</v>
      </c>
      <c r="S372" t="s">
        <v>1723</v>
      </c>
      <c r="T372">
        <v>4</v>
      </c>
      <c r="U372">
        <v>7.3</v>
      </c>
      <c r="V372">
        <v>0</v>
      </c>
      <c r="W372">
        <v>1.0780000000000001</v>
      </c>
      <c r="X372">
        <v>18</v>
      </c>
      <c r="Y372">
        <v>40</v>
      </c>
      <c r="Z372">
        <v>8</v>
      </c>
      <c r="AA372">
        <v>6</v>
      </c>
      <c r="AB372">
        <v>1</v>
      </c>
      <c r="AC372">
        <v>982</v>
      </c>
      <c r="AD372" s="8">
        <v>41926</v>
      </c>
    </row>
    <row r="373" spans="1:30">
      <c r="A373" t="s">
        <v>1510</v>
      </c>
      <c r="B373">
        <v>6.8</v>
      </c>
      <c r="C373" s="8" t="s">
        <v>1511</v>
      </c>
      <c r="D373">
        <v>5</v>
      </c>
      <c r="E373">
        <v>6</v>
      </c>
      <c r="G373">
        <v>0</v>
      </c>
      <c r="H373">
        <v>858</v>
      </c>
      <c r="I373" t="s">
        <v>22</v>
      </c>
      <c r="J373">
        <v>639</v>
      </c>
      <c r="K373">
        <v>0</v>
      </c>
      <c r="L373">
        <v>21.8</v>
      </c>
      <c r="M373" t="s">
        <v>36</v>
      </c>
      <c r="N373">
        <v>10</v>
      </c>
      <c r="O373">
        <v>18.957999999999998</v>
      </c>
      <c r="P373">
        <v>-81.409000000000006</v>
      </c>
      <c r="Q373" t="s">
        <v>1512</v>
      </c>
      <c r="R373" t="s">
        <v>47</v>
      </c>
      <c r="S373" t="s">
        <v>1750</v>
      </c>
      <c r="T373">
        <v>4</v>
      </c>
      <c r="U373">
        <v>6.8</v>
      </c>
      <c r="V373">
        <v>639</v>
      </c>
      <c r="W373">
        <v>0</v>
      </c>
      <c r="X373">
        <v>21.8</v>
      </c>
      <c r="Y373">
        <v>10</v>
      </c>
      <c r="Z373">
        <v>5</v>
      </c>
      <c r="AA373">
        <v>6</v>
      </c>
      <c r="AB373">
        <v>0</v>
      </c>
      <c r="AC373">
        <v>858</v>
      </c>
      <c r="AD373" s="8">
        <v>38335</v>
      </c>
    </row>
    <row r="374" spans="1:30">
      <c r="A374" t="s">
        <v>275</v>
      </c>
      <c r="B374">
        <v>6.5</v>
      </c>
      <c r="C374" s="8" t="s">
        <v>276</v>
      </c>
      <c r="D374">
        <v>7</v>
      </c>
      <c r="E374">
        <v>8</v>
      </c>
      <c r="F374" t="s">
        <v>21</v>
      </c>
      <c r="G374">
        <v>0</v>
      </c>
      <c r="H374">
        <v>1320</v>
      </c>
      <c r="I374" t="s">
        <v>277</v>
      </c>
      <c r="J374">
        <v>27</v>
      </c>
      <c r="K374">
        <v>0.35699999999999998</v>
      </c>
      <c r="L374">
        <v>55.79</v>
      </c>
      <c r="M374" t="s">
        <v>278</v>
      </c>
      <c r="N374">
        <v>2.7</v>
      </c>
      <c r="O374">
        <v>38.168900000000001</v>
      </c>
      <c r="P374">
        <v>-117.85</v>
      </c>
      <c r="Q374" t="s">
        <v>279</v>
      </c>
      <c r="R374" t="s">
        <v>47</v>
      </c>
      <c r="S374" t="s">
        <v>1754</v>
      </c>
      <c r="T374">
        <v>4</v>
      </c>
      <c r="U374">
        <v>6.5</v>
      </c>
      <c r="V374">
        <v>27</v>
      </c>
      <c r="W374">
        <v>0.35699999999999998</v>
      </c>
      <c r="X374">
        <v>55.79</v>
      </c>
      <c r="Y374">
        <v>2.7</v>
      </c>
      <c r="Z374">
        <v>7</v>
      </c>
      <c r="AA374">
        <v>8</v>
      </c>
      <c r="AB374">
        <v>0</v>
      </c>
      <c r="AC374">
        <v>1320</v>
      </c>
      <c r="AD374" s="8">
        <v>43966</v>
      </c>
    </row>
    <row r="375" spans="1:30">
      <c r="A375" t="s">
        <v>1470</v>
      </c>
      <c r="B375">
        <v>7.2</v>
      </c>
      <c r="C375" s="8" t="s">
        <v>1471</v>
      </c>
      <c r="D375">
        <v>5</v>
      </c>
      <c r="E375">
        <v>4</v>
      </c>
      <c r="G375">
        <v>0</v>
      </c>
      <c r="H375">
        <v>1318</v>
      </c>
      <c r="I375" t="s">
        <v>22</v>
      </c>
      <c r="J375">
        <v>420</v>
      </c>
      <c r="K375">
        <v>0</v>
      </c>
      <c r="L375">
        <v>31.4</v>
      </c>
      <c r="M375" t="s">
        <v>829</v>
      </c>
      <c r="N375">
        <v>16</v>
      </c>
      <c r="O375">
        <v>41.292000000000002</v>
      </c>
      <c r="P375">
        <v>-125.953</v>
      </c>
      <c r="Q375" t="s">
        <v>1472</v>
      </c>
      <c r="R375" t="s">
        <v>47</v>
      </c>
      <c r="S375" t="s">
        <v>1754</v>
      </c>
      <c r="T375">
        <v>4</v>
      </c>
      <c r="U375">
        <v>7.2</v>
      </c>
      <c r="V375">
        <v>420</v>
      </c>
      <c r="W375">
        <v>0</v>
      </c>
      <c r="X375">
        <v>31.4</v>
      </c>
      <c r="Y375">
        <v>16</v>
      </c>
      <c r="Z375">
        <v>5</v>
      </c>
      <c r="AA375">
        <v>4</v>
      </c>
      <c r="AB375">
        <v>0</v>
      </c>
      <c r="AC375">
        <v>1318</v>
      </c>
      <c r="AD375" s="8">
        <v>38518</v>
      </c>
    </row>
    <row r="376" spans="1:30">
      <c r="A376" t="s">
        <v>934</v>
      </c>
      <c r="B376">
        <v>6.5</v>
      </c>
      <c r="C376" s="8" t="s">
        <v>935</v>
      </c>
      <c r="D376">
        <v>5</v>
      </c>
      <c r="E376">
        <v>6</v>
      </c>
      <c r="F376" t="s">
        <v>21</v>
      </c>
      <c r="G376">
        <v>1</v>
      </c>
      <c r="H376">
        <v>679</v>
      </c>
      <c r="I376" t="s">
        <v>22</v>
      </c>
      <c r="J376">
        <v>698</v>
      </c>
      <c r="K376">
        <v>0</v>
      </c>
      <c r="L376">
        <v>27</v>
      </c>
      <c r="M376" t="s">
        <v>23</v>
      </c>
      <c r="N376">
        <v>30</v>
      </c>
      <c r="O376">
        <v>11.763</v>
      </c>
      <c r="P376">
        <v>-86.926000000000002</v>
      </c>
      <c r="Q376" t="s">
        <v>91</v>
      </c>
      <c r="R376" t="s">
        <v>47</v>
      </c>
      <c r="S376" t="s">
        <v>856</v>
      </c>
      <c r="T376">
        <v>4</v>
      </c>
      <c r="U376">
        <v>6.5</v>
      </c>
      <c r="V376">
        <v>698</v>
      </c>
      <c r="W376">
        <v>0</v>
      </c>
      <c r="X376">
        <v>27</v>
      </c>
      <c r="Y376">
        <v>30</v>
      </c>
      <c r="Z376">
        <v>5</v>
      </c>
      <c r="AA376">
        <v>6</v>
      </c>
      <c r="AB376">
        <v>1</v>
      </c>
      <c r="AC376">
        <v>679</v>
      </c>
      <c r="AD376" s="8">
        <v>41440</v>
      </c>
    </row>
    <row r="377" spans="1:30">
      <c r="A377" t="s">
        <v>451</v>
      </c>
      <c r="B377">
        <v>6.5</v>
      </c>
      <c r="C377" s="8" t="s">
        <v>452</v>
      </c>
      <c r="D377">
        <v>6</v>
      </c>
      <c r="E377">
        <v>6</v>
      </c>
      <c r="F377" t="s">
        <v>21</v>
      </c>
      <c r="G377">
        <v>1</v>
      </c>
      <c r="H377">
        <v>655</v>
      </c>
      <c r="I377" t="s">
        <v>22</v>
      </c>
      <c r="J377">
        <v>0</v>
      </c>
      <c r="K377">
        <v>0.57599999999999996</v>
      </c>
      <c r="L377">
        <v>22</v>
      </c>
      <c r="M377" t="s">
        <v>23</v>
      </c>
      <c r="N377">
        <v>33.93</v>
      </c>
      <c r="O377">
        <v>51.423400000000001</v>
      </c>
      <c r="P377">
        <v>-178.02600000000001</v>
      </c>
      <c r="Q377" t="s">
        <v>453</v>
      </c>
      <c r="R377" t="s">
        <v>47</v>
      </c>
      <c r="S377" t="s">
        <v>1754</v>
      </c>
      <c r="T377">
        <v>4</v>
      </c>
      <c r="U377">
        <v>6.5</v>
      </c>
      <c r="V377">
        <v>0</v>
      </c>
      <c r="W377">
        <v>0.57599999999999996</v>
      </c>
      <c r="X377">
        <v>22</v>
      </c>
      <c r="Y377">
        <v>33.93</v>
      </c>
      <c r="Z377">
        <v>6</v>
      </c>
      <c r="AA377">
        <v>6</v>
      </c>
      <c r="AB377">
        <v>1</v>
      </c>
      <c r="AC377">
        <v>655</v>
      </c>
      <c r="AD377" s="8">
        <v>43327</v>
      </c>
    </row>
    <row r="378" spans="1:30">
      <c r="A378" t="s">
        <v>1402</v>
      </c>
      <c r="B378">
        <v>6.7</v>
      </c>
      <c r="C378" s="8" t="s">
        <v>1403</v>
      </c>
      <c r="D378">
        <v>8</v>
      </c>
      <c r="E378">
        <v>9</v>
      </c>
      <c r="G378">
        <v>0</v>
      </c>
      <c r="H378">
        <v>1481</v>
      </c>
      <c r="I378" t="s">
        <v>456</v>
      </c>
      <c r="J378">
        <v>43</v>
      </c>
      <c r="K378">
        <v>0</v>
      </c>
      <c r="L378">
        <v>124</v>
      </c>
      <c r="M378" t="s">
        <v>1404</v>
      </c>
      <c r="N378">
        <v>38.182000000000002</v>
      </c>
      <c r="O378">
        <v>19.876999999999999</v>
      </c>
      <c r="P378">
        <v>-155.935</v>
      </c>
      <c r="Q378" t="s">
        <v>1405</v>
      </c>
      <c r="R378" t="s">
        <v>47</v>
      </c>
      <c r="S378" t="s">
        <v>1754</v>
      </c>
      <c r="T378">
        <v>4</v>
      </c>
      <c r="U378">
        <v>6.7</v>
      </c>
      <c r="V378">
        <v>43</v>
      </c>
      <c r="W378">
        <v>0</v>
      </c>
      <c r="X378">
        <v>124</v>
      </c>
      <c r="Y378">
        <v>38.182000000000002</v>
      </c>
      <c r="Z378">
        <v>8</v>
      </c>
      <c r="AA378">
        <v>9</v>
      </c>
      <c r="AB378">
        <v>0</v>
      </c>
      <c r="AC378">
        <v>1481</v>
      </c>
      <c r="AD378" s="8">
        <v>39005</v>
      </c>
    </row>
    <row r="379" spans="1:30">
      <c r="A379" t="s">
        <v>471</v>
      </c>
      <c r="B379">
        <v>7.2</v>
      </c>
      <c r="C379" s="8" t="s">
        <v>472</v>
      </c>
      <c r="D379">
        <v>7</v>
      </c>
      <c r="E379">
        <v>7</v>
      </c>
      <c r="F379" t="s">
        <v>45</v>
      </c>
      <c r="G379">
        <v>1</v>
      </c>
      <c r="H379">
        <v>1384</v>
      </c>
      <c r="I379" t="s">
        <v>22</v>
      </c>
      <c r="J379">
        <v>0</v>
      </c>
      <c r="K379">
        <v>0.14199999999999999</v>
      </c>
      <c r="L379">
        <v>82</v>
      </c>
      <c r="M379" t="s">
        <v>23</v>
      </c>
      <c r="N379">
        <v>22</v>
      </c>
      <c r="O379">
        <v>16.3855</v>
      </c>
      <c r="P379">
        <v>-97.978700000000003</v>
      </c>
      <c r="Q379" t="s">
        <v>473</v>
      </c>
      <c r="R379" t="s">
        <v>47</v>
      </c>
      <c r="S379" t="s">
        <v>48</v>
      </c>
      <c r="T379">
        <v>4</v>
      </c>
      <c r="U379">
        <v>7.2</v>
      </c>
      <c r="V379">
        <v>0</v>
      </c>
      <c r="W379">
        <v>0.14199999999999999</v>
      </c>
      <c r="X379">
        <v>82</v>
      </c>
      <c r="Y379">
        <v>22</v>
      </c>
      <c r="Z379">
        <v>7</v>
      </c>
      <c r="AA379">
        <v>7</v>
      </c>
      <c r="AB379">
        <v>1</v>
      </c>
      <c r="AC379">
        <v>1384</v>
      </c>
      <c r="AD379" s="8">
        <v>43147</v>
      </c>
    </row>
    <row r="380" spans="1:30">
      <c r="A380" t="s">
        <v>735</v>
      </c>
      <c r="B380">
        <v>6.5</v>
      </c>
      <c r="C380" s="8" t="s">
        <v>736</v>
      </c>
      <c r="D380">
        <v>4</v>
      </c>
      <c r="E380">
        <v>4</v>
      </c>
      <c r="F380" t="s">
        <v>21</v>
      </c>
      <c r="G380">
        <v>1</v>
      </c>
      <c r="H380">
        <v>686</v>
      </c>
      <c r="I380" t="s">
        <v>22</v>
      </c>
      <c r="J380">
        <v>0</v>
      </c>
      <c r="K380">
        <v>1.218</v>
      </c>
      <c r="L380">
        <v>20</v>
      </c>
      <c r="M380" t="s">
        <v>23</v>
      </c>
      <c r="N380">
        <v>20</v>
      </c>
      <c r="O380">
        <v>13.8672</v>
      </c>
      <c r="P380">
        <v>-58.547899999999998</v>
      </c>
      <c r="Q380" t="s">
        <v>737</v>
      </c>
      <c r="R380" t="s">
        <v>47</v>
      </c>
      <c r="S380" t="s">
        <v>1743</v>
      </c>
      <c r="T380">
        <v>4</v>
      </c>
      <c r="U380">
        <v>6.5</v>
      </c>
      <c r="V380">
        <v>0</v>
      </c>
      <c r="W380">
        <v>1.218</v>
      </c>
      <c r="X380">
        <v>20</v>
      </c>
      <c r="Y380">
        <v>20</v>
      </c>
      <c r="Z380">
        <v>4</v>
      </c>
      <c r="AA380">
        <v>4</v>
      </c>
      <c r="AB380">
        <v>1</v>
      </c>
      <c r="AC380">
        <v>686</v>
      </c>
      <c r="AD380" s="8">
        <v>42201</v>
      </c>
    </row>
    <row r="381" spans="1:30">
      <c r="A381" t="s">
        <v>1258</v>
      </c>
      <c r="B381">
        <v>6.7</v>
      </c>
      <c r="C381" s="8" t="s">
        <v>1259</v>
      </c>
      <c r="D381">
        <v>5</v>
      </c>
      <c r="E381">
        <v>6</v>
      </c>
      <c r="G381">
        <v>0</v>
      </c>
      <c r="H381">
        <v>731</v>
      </c>
      <c r="I381" t="s">
        <v>22</v>
      </c>
      <c r="J381">
        <v>481</v>
      </c>
      <c r="K381">
        <v>0</v>
      </c>
      <c r="L381">
        <v>28.6</v>
      </c>
      <c r="M381" t="s">
        <v>829</v>
      </c>
      <c r="N381">
        <v>24</v>
      </c>
      <c r="O381">
        <v>14.423</v>
      </c>
      <c r="P381">
        <v>-92.364000000000004</v>
      </c>
      <c r="Q381" t="s">
        <v>1260</v>
      </c>
      <c r="R381" t="s">
        <v>47</v>
      </c>
      <c r="S381" t="s">
        <v>48</v>
      </c>
      <c r="T381">
        <v>4</v>
      </c>
      <c r="U381">
        <v>6.7</v>
      </c>
      <c r="V381">
        <v>481</v>
      </c>
      <c r="W381">
        <v>0</v>
      </c>
      <c r="X381">
        <v>28.6</v>
      </c>
      <c r="Y381">
        <v>24</v>
      </c>
      <c r="Z381">
        <v>5</v>
      </c>
      <c r="AA381">
        <v>6</v>
      </c>
      <c r="AB381">
        <v>0</v>
      </c>
      <c r="AC381">
        <v>731</v>
      </c>
      <c r="AD381" s="8">
        <v>39737</v>
      </c>
    </row>
    <row r="382" spans="1:30">
      <c r="A382" t="s">
        <v>672</v>
      </c>
      <c r="B382">
        <v>6.6</v>
      </c>
      <c r="C382" s="8" t="s">
        <v>673</v>
      </c>
      <c r="D382">
        <v>8</v>
      </c>
      <c r="E382">
        <v>6</v>
      </c>
      <c r="F382" t="s">
        <v>21</v>
      </c>
      <c r="G382">
        <v>1</v>
      </c>
      <c r="H382">
        <v>765</v>
      </c>
      <c r="I382" t="s">
        <v>22</v>
      </c>
      <c r="J382">
        <v>0</v>
      </c>
      <c r="K382">
        <v>0.41</v>
      </c>
      <c r="L382">
        <v>35</v>
      </c>
      <c r="M382" t="s">
        <v>23</v>
      </c>
      <c r="N382">
        <v>85</v>
      </c>
      <c r="O382">
        <v>15.801500000000001</v>
      </c>
      <c r="P382">
        <v>-93.632999999999996</v>
      </c>
      <c r="Q382" t="s">
        <v>674</v>
      </c>
      <c r="R382" t="s">
        <v>47</v>
      </c>
      <c r="S382" t="s">
        <v>48</v>
      </c>
      <c r="T382">
        <v>4</v>
      </c>
      <c r="U382">
        <v>6.6</v>
      </c>
      <c r="V382">
        <v>0</v>
      </c>
      <c r="W382">
        <v>0.41</v>
      </c>
      <c r="X382">
        <v>35</v>
      </c>
      <c r="Y382">
        <v>85</v>
      </c>
      <c r="Z382">
        <v>8</v>
      </c>
      <c r="AA382">
        <v>6</v>
      </c>
      <c r="AB382">
        <v>1</v>
      </c>
      <c r="AC382">
        <v>765</v>
      </c>
      <c r="AD382" s="8">
        <v>42355</v>
      </c>
    </row>
    <row r="383" spans="1:30">
      <c r="A383" t="s">
        <v>871</v>
      </c>
      <c r="B383">
        <v>6.5</v>
      </c>
      <c r="C383" s="8" t="s">
        <v>872</v>
      </c>
      <c r="D383">
        <v>5</v>
      </c>
      <c r="E383">
        <v>4</v>
      </c>
      <c r="F383" t="s">
        <v>21</v>
      </c>
      <c r="G383">
        <v>1</v>
      </c>
      <c r="H383">
        <v>681</v>
      </c>
      <c r="I383" t="s">
        <v>22</v>
      </c>
      <c r="J383">
        <v>0</v>
      </c>
      <c r="K383">
        <v>1.635</v>
      </c>
      <c r="L383">
        <v>30</v>
      </c>
      <c r="M383" t="s">
        <v>23</v>
      </c>
      <c r="N383">
        <v>14.83</v>
      </c>
      <c r="O383">
        <v>14.668200000000001</v>
      </c>
      <c r="P383">
        <v>-58.927199999999999</v>
      </c>
      <c r="Q383" t="s">
        <v>873</v>
      </c>
      <c r="R383" t="s">
        <v>47</v>
      </c>
      <c r="S383" t="s">
        <v>1743</v>
      </c>
      <c r="T383">
        <v>4</v>
      </c>
      <c r="U383">
        <v>6.5</v>
      </c>
      <c r="V383">
        <v>0</v>
      </c>
      <c r="W383">
        <v>1.635</v>
      </c>
      <c r="X383">
        <v>30</v>
      </c>
      <c r="Y383">
        <v>14.83</v>
      </c>
      <c r="Z383">
        <v>5</v>
      </c>
      <c r="AA383">
        <v>4</v>
      </c>
      <c r="AB383">
        <v>1</v>
      </c>
      <c r="AC383">
        <v>681</v>
      </c>
      <c r="AD383" s="8">
        <v>41688</v>
      </c>
    </row>
    <row r="384" spans="1:30">
      <c r="A384" t="s">
        <v>1656</v>
      </c>
      <c r="B384">
        <v>6.8</v>
      </c>
      <c r="C384" s="8" t="s">
        <v>1657</v>
      </c>
      <c r="D384">
        <v>0</v>
      </c>
      <c r="E384">
        <v>6</v>
      </c>
      <c r="G384">
        <v>0</v>
      </c>
      <c r="H384">
        <v>711</v>
      </c>
      <c r="I384" t="s">
        <v>22</v>
      </c>
      <c r="J384">
        <v>292</v>
      </c>
      <c r="K384">
        <v>0</v>
      </c>
      <c r="L384">
        <v>0</v>
      </c>
      <c r="M384" t="s">
        <v>829</v>
      </c>
      <c r="N384">
        <v>24.9</v>
      </c>
      <c r="O384">
        <v>16.984999999999999</v>
      </c>
      <c r="P384">
        <v>-100.86499999999999</v>
      </c>
      <c r="Q384" t="s">
        <v>1658</v>
      </c>
      <c r="R384" t="s">
        <v>47</v>
      </c>
      <c r="S384" t="s">
        <v>48</v>
      </c>
      <c r="T384">
        <v>4</v>
      </c>
      <c r="U384">
        <v>6.8</v>
      </c>
      <c r="V384">
        <v>292</v>
      </c>
      <c r="W384">
        <v>0</v>
      </c>
      <c r="X384">
        <v>0</v>
      </c>
      <c r="Y384">
        <v>24.9</v>
      </c>
      <c r="Z384">
        <v>0</v>
      </c>
      <c r="AA384">
        <v>6</v>
      </c>
      <c r="AB384">
        <v>0</v>
      </c>
      <c r="AC384">
        <v>711</v>
      </c>
      <c r="AD384" s="8">
        <v>37364</v>
      </c>
    </row>
    <row r="385" spans="1:30">
      <c r="A385" t="s">
        <v>846</v>
      </c>
      <c r="B385">
        <v>7.2</v>
      </c>
      <c r="C385" s="8" t="s">
        <v>847</v>
      </c>
      <c r="D385">
        <v>8</v>
      </c>
      <c r="E385">
        <v>7</v>
      </c>
      <c r="F385" t="s">
        <v>45</v>
      </c>
      <c r="G385">
        <v>1</v>
      </c>
      <c r="H385">
        <v>1017</v>
      </c>
      <c r="I385" t="s">
        <v>22</v>
      </c>
      <c r="J385">
        <v>0</v>
      </c>
      <c r="K385">
        <v>2.25</v>
      </c>
      <c r="L385">
        <v>46</v>
      </c>
      <c r="M385" t="s">
        <v>23</v>
      </c>
      <c r="N385">
        <v>24</v>
      </c>
      <c r="O385">
        <v>17.396999999999998</v>
      </c>
      <c r="P385">
        <v>-100.97199999999999</v>
      </c>
      <c r="Q385" t="s">
        <v>848</v>
      </c>
      <c r="R385" t="s">
        <v>47</v>
      </c>
      <c r="S385" t="s">
        <v>48</v>
      </c>
      <c r="T385">
        <v>4</v>
      </c>
      <c r="U385">
        <v>7.2</v>
      </c>
      <c r="V385">
        <v>0</v>
      </c>
      <c r="W385">
        <v>2.25</v>
      </c>
      <c r="X385">
        <v>46</v>
      </c>
      <c r="Y385">
        <v>24</v>
      </c>
      <c r="Z385">
        <v>8</v>
      </c>
      <c r="AA385">
        <v>7</v>
      </c>
      <c r="AB385">
        <v>1</v>
      </c>
      <c r="AC385">
        <v>1017</v>
      </c>
      <c r="AD385" s="8">
        <v>41747</v>
      </c>
    </row>
    <row r="386" spans="1:30">
      <c r="A386" t="s">
        <v>511</v>
      </c>
      <c r="B386">
        <v>7.1</v>
      </c>
      <c r="C386" s="8" t="s">
        <v>512</v>
      </c>
      <c r="D386">
        <v>9</v>
      </c>
      <c r="E386">
        <v>8</v>
      </c>
      <c r="G386">
        <v>0</v>
      </c>
      <c r="H386">
        <v>1686</v>
      </c>
      <c r="I386" t="s">
        <v>22</v>
      </c>
      <c r="J386">
        <v>0</v>
      </c>
      <c r="K386">
        <v>0.98399999999999999</v>
      </c>
      <c r="L386">
        <v>23</v>
      </c>
      <c r="M386" t="s">
        <v>23</v>
      </c>
      <c r="N386">
        <v>48</v>
      </c>
      <c r="O386">
        <v>18.549900000000001</v>
      </c>
      <c r="P386">
        <v>-98.488699999999994</v>
      </c>
      <c r="Q386" t="s">
        <v>513</v>
      </c>
      <c r="R386" t="s">
        <v>47</v>
      </c>
      <c r="S386" t="s">
        <v>48</v>
      </c>
      <c r="T386">
        <v>4</v>
      </c>
      <c r="U386">
        <v>7.1</v>
      </c>
      <c r="V386">
        <v>0</v>
      </c>
      <c r="W386">
        <v>0.98399999999999999</v>
      </c>
      <c r="X386">
        <v>23</v>
      </c>
      <c r="Y386">
        <v>48</v>
      </c>
      <c r="Z386">
        <v>9</v>
      </c>
      <c r="AA386">
        <v>8</v>
      </c>
      <c r="AB386">
        <v>0</v>
      </c>
      <c r="AC386">
        <v>1686</v>
      </c>
      <c r="AD386" s="8">
        <v>42997</v>
      </c>
    </row>
    <row r="387" spans="1:30">
      <c r="A387" t="s">
        <v>49</v>
      </c>
      <c r="B387">
        <v>7.6</v>
      </c>
      <c r="C387" s="8" t="s">
        <v>50</v>
      </c>
      <c r="D387">
        <v>9</v>
      </c>
      <c r="E387">
        <v>8</v>
      </c>
      <c r="F387" t="s">
        <v>45</v>
      </c>
      <c r="G387">
        <v>1</v>
      </c>
      <c r="H387">
        <v>1799</v>
      </c>
      <c r="I387" t="s">
        <v>22</v>
      </c>
      <c r="J387">
        <v>271</v>
      </c>
      <c r="K387">
        <v>1.153</v>
      </c>
      <c r="L387">
        <v>69</v>
      </c>
      <c r="M387" t="s">
        <v>23</v>
      </c>
      <c r="N387">
        <v>26.943000000000001</v>
      </c>
      <c r="O387">
        <v>18.366700000000002</v>
      </c>
      <c r="P387">
        <v>-103.252</v>
      </c>
      <c r="Q387" t="s">
        <v>46</v>
      </c>
      <c r="R387" t="s">
        <v>47</v>
      </c>
      <c r="S387" t="s">
        <v>48</v>
      </c>
      <c r="T387">
        <v>4</v>
      </c>
      <c r="U387">
        <v>7.6</v>
      </c>
      <c r="V387">
        <v>271</v>
      </c>
      <c r="W387">
        <v>1.153</v>
      </c>
      <c r="X387">
        <v>69</v>
      </c>
      <c r="Y387">
        <v>26.943000000000001</v>
      </c>
      <c r="Z387">
        <v>9</v>
      </c>
      <c r="AA387">
        <v>8</v>
      </c>
      <c r="AB387">
        <v>1</v>
      </c>
      <c r="AC387">
        <v>1799</v>
      </c>
      <c r="AD387" s="8">
        <v>44823</v>
      </c>
    </row>
    <row r="388" spans="1:30">
      <c r="A388" t="s">
        <v>891</v>
      </c>
      <c r="B388">
        <v>6.6</v>
      </c>
      <c r="C388" s="8" t="s">
        <v>892</v>
      </c>
      <c r="D388">
        <v>8</v>
      </c>
      <c r="E388">
        <v>5</v>
      </c>
      <c r="F388" t="s">
        <v>21</v>
      </c>
      <c r="G388">
        <v>1</v>
      </c>
      <c r="H388">
        <v>692</v>
      </c>
      <c r="I388" t="s">
        <v>22</v>
      </c>
      <c r="J388">
        <v>0</v>
      </c>
      <c r="K388">
        <v>1.98</v>
      </c>
      <c r="L388">
        <v>44</v>
      </c>
      <c r="M388" t="s">
        <v>23</v>
      </c>
      <c r="N388">
        <v>9.4499999999999993</v>
      </c>
      <c r="O388">
        <v>26.0913</v>
      </c>
      <c r="P388">
        <v>-110.321</v>
      </c>
      <c r="Q388" t="s">
        <v>893</v>
      </c>
      <c r="R388" t="s">
        <v>47</v>
      </c>
      <c r="S388" t="s">
        <v>48</v>
      </c>
      <c r="T388">
        <v>4</v>
      </c>
      <c r="U388">
        <v>6.6</v>
      </c>
      <c r="V388">
        <v>0</v>
      </c>
      <c r="W388">
        <v>1.98</v>
      </c>
      <c r="X388">
        <v>44</v>
      </c>
      <c r="Y388">
        <v>9.4499999999999993</v>
      </c>
      <c r="Z388">
        <v>8</v>
      </c>
      <c r="AA388">
        <v>5</v>
      </c>
      <c r="AB388">
        <v>1</v>
      </c>
      <c r="AC388">
        <v>692</v>
      </c>
      <c r="AD388" s="8">
        <v>41566</v>
      </c>
    </row>
    <row r="389" spans="1:30">
      <c r="A389" t="s">
        <v>236</v>
      </c>
      <c r="B389">
        <v>7.6</v>
      </c>
      <c r="C389" s="8" t="s">
        <v>237</v>
      </c>
      <c r="D389">
        <v>9</v>
      </c>
      <c r="E389">
        <v>7</v>
      </c>
      <c r="F389" t="s">
        <v>45</v>
      </c>
      <c r="G389">
        <v>1</v>
      </c>
      <c r="H389">
        <v>1165</v>
      </c>
      <c r="I389" t="s">
        <v>22</v>
      </c>
      <c r="J389">
        <v>0</v>
      </c>
      <c r="K389">
        <v>0.23</v>
      </c>
      <c r="L389">
        <v>36</v>
      </c>
      <c r="M389" t="s">
        <v>23</v>
      </c>
      <c r="N389">
        <v>28.37</v>
      </c>
      <c r="O389">
        <v>54.661999999999999</v>
      </c>
      <c r="P389">
        <v>-159.67500000000001</v>
      </c>
      <c r="Q389" t="s">
        <v>238</v>
      </c>
      <c r="R389" t="s">
        <v>47</v>
      </c>
      <c r="S389" t="s">
        <v>1754</v>
      </c>
      <c r="T389">
        <v>4</v>
      </c>
      <c r="U389">
        <v>7.6</v>
      </c>
      <c r="V389">
        <v>0</v>
      </c>
      <c r="W389">
        <v>0.23</v>
      </c>
      <c r="X389">
        <v>36</v>
      </c>
      <c r="Y389">
        <v>28.37</v>
      </c>
      <c r="Z389">
        <v>9</v>
      </c>
      <c r="AA389">
        <v>7</v>
      </c>
      <c r="AB389">
        <v>1</v>
      </c>
      <c r="AC389">
        <v>1165</v>
      </c>
      <c r="AD389" s="8">
        <v>44123</v>
      </c>
    </row>
    <row r="390" spans="1:30">
      <c r="A390" t="s">
        <v>1044</v>
      </c>
      <c r="B390">
        <v>7.4</v>
      </c>
      <c r="C390" s="8" t="s">
        <v>1045</v>
      </c>
      <c r="D390">
        <v>9</v>
      </c>
      <c r="E390">
        <v>8</v>
      </c>
      <c r="G390">
        <v>0</v>
      </c>
      <c r="H390">
        <v>1752</v>
      </c>
      <c r="I390" t="s">
        <v>22</v>
      </c>
      <c r="J390">
        <v>672</v>
      </c>
      <c r="K390">
        <v>0</v>
      </c>
      <c r="L390">
        <v>37.9</v>
      </c>
      <c r="M390" t="s">
        <v>23</v>
      </c>
      <c r="N390">
        <v>20</v>
      </c>
      <c r="O390">
        <v>16.492999999999999</v>
      </c>
      <c r="P390">
        <v>-98.230999999999995</v>
      </c>
      <c r="Q390" t="s">
        <v>1046</v>
      </c>
      <c r="R390" t="s">
        <v>47</v>
      </c>
      <c r="S390" t="s">
        <v>48</v>
      </c>
      <c r="T390">
        <v>4</v>
      </c>
      <c r="U390">
        <v>7.4</v>
      </c>
      <c r="V390">
        <v>672</v>
      </c>
      <c r="W390">
        <v>0</v>
      </c>
      <c r="X390">
        <v>37.9</v>
      </c>
      <c r="Y390">
        <v>20</v>
      </c>
      <c r="Z390">
        <v>9</v>
      </c>
      <c r="AA390">
        <v>8</v>
      </c>
      <c r="AB390">
        <v>0</v>
      </c>
      <c r="AC390">
        <v>1752</v>
      </c>
      <c r="AD390" s="8">
        <v>40988</v>
      </c>
    </row>
    <row r="391" spans="1:30">
      <c r="A391" t="s">
        <v>39</v>
      </c>
      <c r="B391">
        <v>6.7</v>
      </c>
      <c r="C391" s="8" t="s">
        <v>40</v>
      </c>
      <c r="D391">
        <v>7</v>
      </c>
      <c r="E391">
        <v>6</v>
      </c>
      <c r="F391" t="s">
        <v>21</v>
      </c>
      <c r="G391">
        <v>1</v>
      </c>
      <c r="H391">
        <v>797</v>
      </c>
      <c r="I391" t="s">
        <v>22</v>
      </c>
      <c r="J391">
        <v>145</v>
      </c>
      <c r="K391">
        <v>1.151</v>
      </c>
      <c r="L391">
        <v>37</v>
      </c>
      <c r="M391" t="s">
        <v>23</v>
      </c>
      <c r="N391">
        <v>20</v>
      </c>
      <c r="O391">
        <v>7.6711999999999998</v>
      </c>
      <c r="P391">
        <v>-82.339600000000004</v>
      </c>
      <c r="Q391" t="s">
        <v>41</v>
      </c>
      <c r="R391" t="s">
        <v>47</v>
      </c>
      <c r="S391" t="s">
        <v>42</v>
      </c>
      <c r="T391">
        <v>4</v>
      </c>
      <c r="U391">
        <v>6.7</v>
      </c>
      <c r="V391">
        <v>145</v>
      </c>
      <c r="W391">
        <v>1.151</v>
      </c>
      <c r="X391">
        <v>37</v>
      </c>
      <c r="Y391">
        <v>20</v>
      </c>
      <c r="Z391">
        <v>7</v>
      </c>
      <c r="AA391">
        <v>6</v>
      </c>
      <c r="AB391">
        <v>1</v>
      </c>
      <c r="AC391">
        <v>797</v>
      </c>
      <c r="AD391" s="8">
        <v>44854</v>
      </c>
    </row>
    <row r="392" spans="1:30">
      <c r="A392" t="s">
        <v>1621</v>
      </c>
      <c r="B392">
        <v>6.5</v>
      </c>
      <c r="C392" s="8" t="s">
        <v>1622</v>
      </c>
      <c r="D392">
        <v>0</v>
      </c>
      <c r="E392">
        <v>6</v>
      </c>
      <c r="G392">
        <v>0</v>
      </c>
      <c r="H392">
        <v>650</v>
      </c>
      <c r="I392" t="s">
        <v>22</v>
      </c>
      <c r="J392">
        <v>316</v>
      </c>
      <c r="K392">
        <v>0</v>
      </c>
      <c r="L392">
        <v>0</v>
      </c>
      <c r="M392" t="s">
        <v>829</v>
      </c>
      <c r="N392">
        <v>24</v>
      </c>
      <c r="O392">
        <v>13.625999999999999</v>
      </c>
      <c r="P392">
        <v>-90.774000000000001</v>
      </c>
      <c r="Q392" t="s">
        <v>530</v>
      </c>
      <c r="R392" t="s">
        <v>47</v>
      </c>
      <c r="S392" t="s">
        <v>534</v>
      </c>
      <c r="T392">
        <v>4</v>
      </c>
      <c r="U392">
        <v>6.5</v>
      </c>
      <c r="V392">
        <v>316</v>
      </c>
      <c r="W392">
        <v>0</v>
      </c>
      <c r="X392">
        <v>0</v>
      </c>
      <c r="Y392">
        <v>24</v>
      </c>
      <c r="Z392">
        <v>0</v>
      </c>
      <c r="AA392">
        <v>6</v>
      </c>
      <c r="AB392">
        <v>0</v>
      </c>
      <c r="AC392">
        <v>650</v>
      </c>
      <c r="AD392" s="8">
        <v>37642</v>
      </c>
    </row>
    <row r="393" spans="1:30">
      <c r="A393" t="s">
        <v>661</v>
      </c>
      <c r="B393">
        <v>6.6</v>
      </c>
      <c r="C393" s="8" t="s">
        <v>662</v>
      </c>
      <c r="D393">
        <v>3</v>
      </c>
      <c r="E393">
        <v>4</v>
      </c>
      <c r="F393" t="s">
        <v>21</v>
      </c>
      <c r="G393">
        <v>1</v>
      </c>
      <c r="H393">
        <v>673</v>
      </c>
      <c r="I393" t="s">
        <v>22</v>
      </c>
      <c r="J393">
        <v>0</v>
      </c>
      <c r="K393">
        <v>2.4129999999999998</v>
      </c>
      <c r="L393">
        <v>74</v>
      </c>
      <c r="M393" t="s">
        <v>23</v>
      </c>
      <c r="N393">
        <v>10</v>
      </c>
      <c r="O393">
        <v>18.823899999999998</v>
      </c>
      <c r="P393">
        <v>-106.934</v>
      </c>
      <c r="Q393" t="s">
        <v>663</v>
      </c>
      <c r="R393" t="s">
        <v>47</v>
      </c>
      <c r="S393" t="s">
        <v>48</v>
      </c>
      <c r="T393">
        <v>4</v>
      </c>
      <c r="U393">
        <v>6.6</v>
      </c>
      <c r="V393">
        <v>0</v>
      </c>
      <c r="W393">
        <v>2.4129999999999998</v>
      </c>
      <c r="X393">
        <v>74</v>
      </c>
      <c r="Y393">
        <v>10</v>
      </c>
      <c r="Z393">
        <v>3</v>
      </c>
      <c r="AA393">
        <v>4</v>
      </c>
      <c r="AB393">
        <v>1</v>
      </c>
      <c r="AC393">
        <v>673</v>
      </c>
      <c r="AD393" s="8">
        <v>42390</v>
      </c>
    </row>
    <row r="394" spans="1:30">
      <c r="A394" t="s">
        <v>89</v>
      </c>
      <c r="B394">
        <v>6.6</v>
      </c>
      <c r="C394" s="8" t="s">
        <v>90</v>
      </c>
      <c r="D394">
        <v>6</v>
      </c>
      <c r="E394">
        <v>5</v>
      </c>
      <c r="F394" t="s">
        <v>21</v>
      </c>
      <c r="G394">
        <v>1</v>
      </c>
      <c r="H394">
        <v>762</v>
      </c>
      <c r="I394" t="s">
        <v>22</v>
      </c>
      <c r="J394">
        <v>0</v>
      </c>
      <c r="K394">
        <v>0.91400000000000003</v>
      </c>
      <c r="L394">
        <v>94</v>
      </c>
      <c r="M394" t="s">
        <v>23</v>
      </c>
      <c r="N394">
        <v>27</v>
      </c>
      <c r="O394">
        <v>11.553800000000001</v>
      </c>
      <c r="P394">
        <v>-86.991900000000001</v>
      </c>
      <c r="Q394" t="s">
        <v>91</v>
      </c>
      <c r="R394" t="s">
        <v>47</v>
      </c>
      <c r="S394" t="s">
        <v>856</v>
      </c>
      <c r="T394">
        <v>4</v>
      </c>
      <c r="U394">
        <v>6.6</v>
      </c>
      <c r="V394">
        <v>0</v>
      </c>
      <c r="W394">
        <v>0.91400000000000003</v>
      </c>
      <c r="X394">
        <v>94</v>
      </c>
      <c r="Y394">
        <v>27</v>
      </c>
      <c r="Z394">
        <v>6</v>
      </c>
      <c r="AA394">
        <v>5</v>
      </c>
      <c r="AB394">
        <v>1</v>
      </c>
      <c r="AC394">
        <v>762</v>
      </c>
      <c r="AD394" s="8">
        <v>44672</v>
      </c>
    </row>
    <row r="395" spans="1:30">
      <c r="A395" t="s">
        <v>1135</v>
      </c>
      <c r="B395">
        <v>6.7</v>
      </c>
      <c r="C395" s="8" t="s">
        <v>1136</v>
      </c>
      <c r="D395">
        <v>5</v>
      </c>
      <c r="E395">
        <v>5</v>
      </c>
      <c r="G395">
        <v>0</v>
      </c>
      <c r="H395">
        <v>776</v>
      </c>
      <c r="I395" t="s">
        <v>22</v>
      </c>
      <c r="J395">
        <v>352</v>
      </c>
      <c r="K395">
        <v>0</v>
      </c>
      <c r="L395">
        <v>50.3</v>
      </c>
      <c r="M395" t="s">
        <v>829</v>
      </c>
      <c r="N395">
        <v>13</v>
      </c>
      <c r="O395">
        <v>24.696000000000002</v>
      </c>
      <c r="P395">
        <v>-109.15600000000001</v>
      </c>
      <c r="Q395" t="s">
        <v>1137</v>
      </c>
      <c r="R395" t="s">
        <v>47</v>
      </c>
      <c r="S395" t="s">
        <v>48</v>
      </c>
      <c r="T395">
        <v>4</v>
      </c>
      <c r="U395">
        <v>6.7</v>
      </c>
      <c r="V395">
        <v>352</v>
      </c>
      <c r="W395">
        <v>0</v>
      </c>
      <c r="X395">
        <v>50.3</v>
      </c>
      <c r="Y395">
        <v>13</v>
      </c>
      <c r="Z395">
        <v>5</v>
      </c>
      <c r="AA395">
        <v>5</v>
      </c>
      <c r="AB395">
        <v>0</v>
      </c>
      <c r="AC395">
        <v>776</v>
      </c>
      <c r="AD395" s="8">
        <v>40472</v>
      </c>
    </row>
    <row r="396" spans="1:30">
      <c r="A396" t="s">
        <v>1618</v>
      </c>
      <c r="B396">
        <v>7.6</v>
      </c>
      <c r="C396" s="8" t="s">
        <v>1619</v>
      </c>
      <c r="D396">
        <v>0</v>
      </c>
      <c r="E396">
        <v>7</v>
      </c>
      <c r="G396">
        <v>0</v>
      </c>
      <c r="H396">
        <v>889</v>
      </c>
      <c r="I396" t="s">
        <v>22</v>
      </c>
      <c r="J396">
        <v>551</v>
      </c>
      <c r="K396">
        <v>0</v>
      </c>
      <c r="L396">
        <v>0</v>
      </c>
      <c r="M396" t="s">
        <v>36</v>
      </c>
      <c r="N396">
        <v>24</v>
      </c>
      <c r="O396">
        <v>18.77</v>
      </c>
      <c r="P396">
        <v>-104.104</v>
      </c>
      <c r="Q396" t="s">
        <v>1620</v>
      </c>
      <c r="R396" t="s">
        <v>47</v>
      </c>
      <c r="S396" t="s">
        <v>48</v>
      </c>
      <c r="T396">
        <v>4</v>
      </c>
      <c r="U396">
        <v>7.6</v>
      </c>
      <c r="V396">
        <v>551</v>
      </c>
      <c r="W396">
        <v>0</v>
      </c>
      <c r="X396">
        <v>0</v>
      </c>
      <c r="Y396">
        <v>24</v>
      </c>
      <c r="Z396">
        <v>0</v>
      </c>
      <c r="AA396">
        <v>7</v>
      </c>
      <c r="AB396">
        <v>0</v>
      </c>
      <c r="AC396">
        <v>889</v>
      </c>
      <c r="AD396" s="8">
        <v>37643</v>
      </c>
    </row>
    <row r="397" spans="1:30">
      <c r="A397" t="s">
        <v>374</v>
      </c>
      <c r="B397">
        <v>6.7</v>
      </c>
      <c r="C397" s="8" t="s">
        <v>375</v>
      </c>
      <c r="D397">
        <v>0</v>
      </c>
      <c r="E397">
        <v>3</v>
      </c>
      <c r="F397" t="s">
        <v>21</v>
      </c>
      <c r="G397">
        <v>0</v>
      </c>
      <c r="H397">
        <v>691</v>
      </c>
      <c r="I397" t="s">
        <v>22</v>
      </c>
      <c r="J397">
        <v>0</v>
      </c>
      <c r="K397">
        <v>7.5270000000000001</v>
      </c>
      <c r="L397">
        <v>17</v>
      </c>
      <c r="M397" t="s">
        <v>23</v>
      </c>
      <c r="N397">
        <v>13</v>
      </c>
      <c r="O397">
        <v>-43.121899999999997</v>
      </c>
      <c r="P397">
        <v>42.3568</v>
      </c>
      <c r="Q397" t="s">
        <v>376</v>
      </c>
      <c r="R397" t="s">
        <v>47</v>
      </c>
      <c r="S397" t="s">
        <v>1750</v>
      </c>
      <c r="T397">
        <v>4</v>
      </c>
      <c r="U397">
        <v>6.7</v>
      </c>
      <c r="V397">
        <v>0</v>
      </c>
      <c r="W397">
        <v>7.5270000000000001</v>
      </c>
      <c r="X397">
        <v>17</v>
      </c>
      <c r="Y397">
        <v>13</v>
      </c>
      <c r="Z397">
        <v>0</v>
      </c>
      <c r="AA397">
        <v>3</v>
      </c>
      <c r="AB397">
        <v>0</v>
      </c>
      <c r="AC397">
        <v>691</v>
      </c>
      <c r="AD397" s="8">
        <v>43487</v>
      </c>
    </row>
    <row r="398" spans="1:30">
      <c r="A398" t="s">
        <v>258</v>
      </c>
      <c r="B398">
        <v>7.8</v>
      </c>
      <c r="C398" s="8" t="s">
        <v>259</v>
      </c>
      <c r="D398">
        <v>9</v>
      </c>
      <c r="E398">
        <v>7</v>
      </c>
      <c r="F398" t="s">
        <v>21</v>
      </c>
      <c r="G398">
        <v>1</v>
      </c>
      <c r="H398">
        <v>1111</v>
      </c>
      <c r="I398" t="s">
        <v>22</v>
      </c>
      <c r="J398">
        <v>0</v>
      </c>
      <c r="K398">
        <v>0.621</v>
      </c>
      <c r="L398">
        <v>60</v>
      </c>
      <c r="M398" t="s">
        <v>23</v>
      </c>
      <c r="N398">
        <v>28</v>
      </c>
      <c r="O398">
        <v>55.107900000000001</v>
      </c>
      <c r="P398">
        <v>-158.477</v>
      </c>
      <c r="Q398" t="s">
        <v>172</v>
      </c>
      <c r="R398" t="s">
        <v>47</v>
      </c>
      <c r="S398" t="s">
        <v>1754</v>
      </c>
      <c r="T398">
        <v>4</v>
      </c>
      <c r="U398">
        <v>7.8</v>
      </c>
      <c r="V398">
        <v>0</v>
      </c>
      <c r="W398">
        <v>0.621</v>
      </c>
      <c r="X398">
        <v>60</v>
      </c>
      <c r="Y398">
        <v>28</v>
      </c>
      <c r="Z398">
        <v>9</v>
      </c>
      <c r="AA398">
        <v>7</v>
      </c>
      <c r="AB398">
        <v>1</v>
      </c>
      <c r="AC398">
        <v>1111</v>
      </c>
      <c r="AD398" s="8">
        <v>44034</v>
      </c>
    </row>
    <row r="399" spans="1:30">
      <c r="A399" t="s">
        <v>149</v>
      </c>
      <c r="B399">
        <v>6.5</v>
      </c>
      <c r="C399" s="8" t="s">
        <v>150</v>
      </c>
      <c r="D399">
        <v>7</v>
      </c>
      <c r="E399">
        <v>5</v>
      </c>
      <c r="F399" t="s">
        <v>21</v>
      </c>
      <c r="G399">
        <v>1</v>
      </c>
      <c r="H399">
        <v>684</v>
      </c>
      <c r="I399" t="s">
        <v>22</v>
      </c>
      <c r="J399">
        <v>0</v>
      </c>
      <c r="K399">
        <v>0.99299999999999999</v>
      </c>
      <c r="L399">
        <v>114</v>
      </c>
      <c r="M399" t="s">
        <v>23</v>
      </c>
      <c r="N399">
        <v>21</v>
      </c>
      <c r="O399">
        <v>12.159800000000001</v>
      </c>
      <c r="P399">
        <v>-87.854200000000006</v>
      </c>
      <c r="Q399" t="s">
        <v>151</v>
      </c>
      <c r="R399" t="s">
        <v>47</v>
      </c>
      <c r="S399" t="s">
        <v>856</v>
      </c>
      <c r="T399">
        <v>4</v>
      </c>
      <c r="U399">
        <v>6.5</v>
      </c>
      <c r="V399">
        <v>0</v>
      </c>
      <c r="W399">
        <v>0.99299999999999999</v>
      </c>
      <c r="X399">
        <v>114</v>
      </c>
      <c r="Y399">
        <v>21</v>
      </c>
      <c r="Z399">
        <v>7</v>
      </c>
      <c r="AA399">
        <v>5</v>
      </c>
      <c r="AB399">
        <v>1</v>
      </c>
      <c r="AC399">
        <v>684</v>
      </c>
      <c r="AD399" s="8">
        <v>44461</v>
      </c>
    </row>
    <row r="400" spans="1:30">
      <c r="A400" t="s">
        <v>43</v>
      </c>
      <c r="B400">
        <v>6.8</v>
      </c>
      <c r="C400" s="8" t="s">
        <v>44</v>
      </c>
      <c r="D400">
        <v>8</v>
      </c>
      <c r="E400">
        <v>7</v>
      </c>
      <c r="F400" t="s">
        <v>45</v>
      </c>
      <c r="G400">
        <v>1</v>
      </c>
      <c r="H400">
        <v>1179</v>
      </c>
      <c r="I400" t="s">
        <v>22</v>
      </c>
      <c r="J400">
        <v>175</v>
      </c>
      <c r="K400">
        <v>2.137</v>
      </c>
      <c r="L400">
        <v>92</v>
      </c>
      <c r="M400" t="s">
        <v>23</v>
      </c>
      <c r="N400">
        <v>20</v>
      </c>
      <c r="O400">
        <v>18.329999999999998</v>
      </c>
      <c r="P400">
        <v>-102.913</v>
      </c>
      <c r="Q400" t="s">
        <v>46</v>
      </c>
      <c r="R400" t="s">
        <v>47</v>
      </c>
      <c r="S400" t="s">
        <v>48</v>
      </c>
      <c r="T400">
        <v>4</v>
      </c>
      <c r="U400">
        <v>6.8</v>
      </c>
      <c r="V400">
        <v>175</v>
      </c>
      <c r="W400">
        <v>2.137</v>
      </c>
      <c r="X400">
        <v>92</v>
      </c>
      <c r="Y400">
        <v>20</v>
      </c>
      <c r="Z400">
        <v>8</v>
      </c>
      <c r="AA400">
        <v>7</v>
      </c>
      <c r="AB400">
        <v>1</v>
      </c>
      <c r="AC400">
        <v>1179</v>
      </c>
      <c r="AD400" s="8">
        <v>44826</v>
      </c>
    </row>
    <row r="401" spans="1:30">
      <c r="A401" t="s">
        <v>409</v>
      </c>
      <c r="B401">
        <v>6.5</v>
      </c>
      <c r="C401" s="8" t="s">
        <v>410</v>
      </c>
      <c r="D401">
        <v>3</v>
      </c>
      <c r="E401">
        <v>4</v>
      </c>
      <c r="F401" t="s">
        <v>21</v>
      </c>
      <c r="G401">
        <v>1</v>
      </c>
      <c r="H401">
        <v>669</v>
      </c>
      <c r="I401" t="s">
        <v>22</v>
      </c>
      <c r="J401">
        <v>0</v>
      </c>
      <c r="K401">
        <v>1.611</v>
      </c>
      <c r="L401">
        <v>63</v>
      </c>
      <c r="M401" t="s">
        <v>23</v>
      </c>
      <c r="N401">
        <v>10</v>
      </c>
      <c r="O401">
        <v>49.258600000000001</v>
      </c>
      <c r="P401">
        <v>-129.41200000000001</v>
      </c>
      <c r="Q401" t="s">
        <v>406</v>
      </c>
      <c r="R401" t="s">
        <v>47</v>
      </c>
      <c r="S401" t="s">
        <v>998</v>
      </c>
      <c r="T401">
        <v>4</v>
      </c>
      <c r="U401">
        <v>6.5</v>
      </c>
      <c r="V401">
        <v>0</v>
      </c>
      <c r="W401">
        <v>1.611</v>
      </c>
      <c r="X401">
        <v>63</v>
      </c>
      <c r="Y401">
        <v>10</v>
      </c>
      <c r="Z401">
        <v>3</v>
      </c>
      <c r="AA401">
        <v>4</v>
      </c>
      <c r="AB401">
        <v>1</v>
      </c>
      <c r="AC401">
        <v>669</v>
      </c>
      <c r="AD401" s="8">
        <v>43395</v>
      </c>
    </row>
    <row r="402" spans="1:30">
      <c r="A402" t="s">
        <v>407</v>
      </c>
      <c r="B402">
        <v>6.8</v>
      </c>
      <c r="C402" s="8" t="s">
        <v>408</v>
      </c>
      <c r="D402">
        <v>4</v>
      </c>
      <c r="E402">
        <v>4</v>
      </c>
      <c r="F402" t="s">
        <v>21</v>
      </c>
      <c r="G402">
        <v>1</v>
      </c>
      <c r="H402">
        <v>776</v>
      </c>
      <c r="I402" t="s">
        <v>22</v>
      </c>
      <c r="J402">
        <v>0</v>
      </c>
      <c r="K402">
        <v>1.5049999999999999</v>
      </c>
      <c r="L402">
        <v>36</v>
      </c>
      <c r="M402" t="s">
        <v>23</v>
      </c>
      <c r="N402">
        <v>10</v>
      </c>
      <c r="O402">
        <v>49.334600000000002</v>
      </c>
      <c r="P402">
        <v>-129.28899999999999</v>
      </c>
      <c r="Q402" t="s">
        <v>406</v>
      </c>
      <c r="R402" t="s">
        <v>47</v>
      </c>
      <c r="S402" t="s">
        <v>998</v>
      </c>
      <c r="T402">
        <v>4</v>
      </c>
      <c r="U402">
        <v>6.8</v>
      </c>
      <c r="V402">
        <v>0</v>
      </c>
      <c r="W402">
        <v>1.5049999999999999</v>
      </c>
      <c r="X402">
        <v>36</v>
      </c>
      <c r="Y402">
        <v>10</v>
      </c>
      <c r="Z402">
        <v>4</v>
      </c>
      <c r="AA402">
        <v>4</v>
      </c>
      <c r="AB402">
        <v>1</v>
      </c>
      <c r="AC402">
        <v>776</v>
      </c>
      <c r="AD402" s="8">
        <v>43395</v>
      </c>
    </row>
    <row r="403" spans="1:30">
      <c r="A403" t="s">
        <v>404</v>
      </c>
      <c r="B403">
        <v>6.5</v>
      </c>
      <c r="C403" s="8" t="s">
        <v>405</v>
      </c>
      <c r="D403">
        <v>2</v>
      </c>
      <c r="E403">
        <v>4</v>
      </c>
      <c r="F403" t="s">
        <v>21</v>
      </c>
      <c r="G403">
        <v>0</v>
      </c>
      <c r="H403">
        <v>655</v>
      </c>
      <c r="I403" t="s">
        <v>22</v>
      </c>
      <c r="J403">
        <v>0</v>
      </c>
      <c r="K403">
        <v>1.6919999999999999</v>
      </c>
      <c r="L403">
        <v>68</v>
      </c>
      <c r="M403" t="s">
        <v>23</v>
      </c>
      <c r="N403">
        <v>10</v>
      </c>
      <c r="O403">
        <v>49.296999999999997</v>
      </c>
      <c r="P403">
        <v>-129.72399999999999</v>
      </c>
      <c r="Q403" t="s">
        <v>406</v>
      </c>
      <c r="R403" t="s">
        <v>47</v>
      </c>
      <c r="S403" t="s">
        <v>998</v>
      </c>
      <c r="T403">
        <v>4</v>
      </c>
      <c r="U403">
        <v>6.5</v>
      </c>
      <c r="V403">
        <v>0</v>
      </c>
      <c r="W403">
        <v>1.6919999999999999</v>
      </c>
      <c r="X403">
        <v>68</v>
      </c>
      <c r="Y403">
        <v>10</v>
      </c>
      <c r="Z403">
        <v>2</v>
      </c>
      <c r="AA403">
        <v>4</v>
      </c>
      <c r="AB403">
        <v>0</v>
      </c>
      <c r="AC403">
        <v>655</v>
      </c>
      <c r="AD403" s="8">
        <v>43395</v>
      </c>
    </row>
    <row r="404" spans="1:30">
      <c r="A404" t="s">
        <v>1569</v>
      </c>
      <c r="B404">
        <v>6.5</v>
      </c>
      <c r="C404" s="8" t="s">
        <v>1570</v>
      </c>
      <c r="D404">
        <v>7</v>
      </c>
      <c r="E404">
        <v>9</v>
      </c>
      <c r="G404">
        <v>0</v>
      </c>
      <c r="H404">
        <v>1390</v>
      </c>
      <c r="I404" t="s">
        <v>867</v>
      </c>
      <c r="J404">
        <v>65</v>
      </c>
      <c r="K404">
        <v>4.6850000000000003E-2</v>
      </c>
      <c r="L404">
        <v>71</v>
      </c>
      <c r="M404" t="s">
        <v>345</v>
      </c>
      <c r="N404">
        <v>8.3819999999999997</v>
      </c>
      <c r="O404">
        <v>35.700499999999998</v>
      </c>
      <c r="P404">
        <v>-121.101</v>
      </c>
      <c r="Q404" t="s">
        <v>1571</v>
      </c>
      <c r="R404" t="s">
        <v>47</v>
      </c>
      <c r="S404" t="s">
        <v>1754</v>
      </c>
      <c r="T404">
        <v>4</v>
      </c>
      <c r="U404">
        <v>6.5</v>
      </c>
      <c r="V404">
        <v>65</v>
      </c>
      <c r="W404">
        <v>4.6850000000000003E-2</v>
      </c>
      <c r="X404">
        <v>71</v>
      </c>
      <c r="Y404">
        <v>8.3819999999999997</v>
      </c>
      <c r="Z404">
        <v>7</v>
      </c>
      <c r="AA404">
        <v>9</v>
      </c>
      <c r="AB404">
        <v>0</v>
      </c>
      <c r="AC404">
        <v>1390</v>
      </c>
      <c r="AD404" s="8">
        <v>37977</v>
      </c>
    </row>
    <row r="405" spans="1:30">
      <c r="A405" t="s">
        <v>474</v>
      </c>
      <c r="B405">
        <v>7.9</v>
      </c>
      <c r="C405" s="8" t="s">
        <v>475</v>
      </c>
      <c r="D405">
        <v>9</v>
      </c>
      <c r="E405">
        <v>4</v>
      </c>
      <c r="F405" t="s">
        <v>21</v>
      </c>
      <c r="G405">
        <v>1</v>
      </c>
      <c r="H405">
        <v>1870</v>
      </c>
      <c r="I405" t="s">
        <v>22</v>
      </c>
      <c r="J405">
        <v>0</v>
      </c>
      <c r="K405">
        <v>2.585</v>
      </c>
      <c r="L405">
        <v>30</v>
      </c>
      <c r="M405" t="s">
        <v>23</v>
      </c>
      <c r="N405">
        <v>14.06</v>
      </c>
      <c r="O405">
        <v>56.003900000000002</v>
      </c>
      <c r="P405">
        <v>-149.166</v>
      </c>
      <c r="Q405" t="s">
        <v>476</v>
      </c>
      <c r="R405" t="s">
        <v>47</v>
      </c>
      <c r="S405" t="s">
        <v>1754</v>
      </c>
      <c r="T405">
        <v>4</v>
      </c>
      <c r="U405">
        <v>7.9</v>
      </c>
      <c r="V405">
        <v>0</v>
      </c>
      <c r="W405">
        <v>2.585</v>
      </c>
      <c r="X405">
        <v>30</v>
      </c>
      <c r="Y405">
        <v>14.06</v>
      </c>
      <c r="Z405">
        <v>9</v>
      </c>
      <c r="AA405">
        <v>4</v>
      </c>
      <c r="AB405">
        <v>1</v>
      </c>
      <c r="AC405">
        <v>1870</v>
      </c>
      <c r="AD405" s="8">
        <v>43123</v>
      </c>
    </row>
    <row r="406" spans="1:30">
      <c r="A406" t="s">
        <v>824</v>
      </c>
      <c r="B406">
        <v>7.9</v>
      </c>
      <c r="C406" s="8" t="s">
        <v>825</v>
      </c>
      <c r="D406">
        <v>6</v>
      </c>
      <c r="E406">
        <v>8</v>
      </c>
      <c r="F406" t="s">
        <v>21</v>
      </c>
      <c r="G406">
        <v>1</v>
      </c>
      <c r="H406">
        <v>963</v>
      </c>
      <c r="I406" t="s">
        <v>22</v>
      </c>
      <c r="J406">
        <v>0</v>
      </c>
      <c r="K406">
        <v>0.13300000000000001</v>
      </c>
      <c r="L406">
        <v>22</v>
      </c>
      <c r="M406" t="s">
        <v>23</v>
      </c>
      <c r="N406">
        <v>109</v>
      </c>
      <c r="O406">
        <v>51.848599999999998</v>
      </c>
      <c r="P406">
        <v>178.73500000000001</v>
      </c>
      <c r="Q406" t="s">
        <v>826</v>
      </c>
      <c r="R406" t="s">
        <v>47</v>
      </c>
      <c r="S406" t="s">
        <v>1754</v>
      </c>
      <c r="T406">
        <v>4</v>
      </c>
      <c r="U406">
        <v>7.9</v>
      </c>
      <c r="V406">
        <v>0</v>
      </c>
      <c r="W406">
        <v>0.13300000000000001</v>
      </c>
      <c r="X406">
        <v>22</v>
      </c>
      <c r="Y406">
        <v>109</v>
      </c>
      <c r="Z406">
        <v>6</v>
      </c>
      <c r="AA406">
        <v>8</v>
      </c>
      <c r="AB406">
        <v>1</v>
      </c>
      <c r="AC406">
        <v>963</v>
      </c>
      <c r="AD406" s="8">
        <v>41813</v>
      </c>
    </row>
    <row r="407" spans="1:30">
      <c r="A407" t="s">
        <v>265</v>
      </c>
      <c r="B407">
        <v>7.4</v>
      </c>
      <c r="C407" s="8" t="s">
        <v>266</v>
      </c>
      <c r="D407">
        <v>8</v>
      </c>
      <c r="E407">
        <v>8</v>
      </c>
      <c r="F407" t="s">
        <v>66</v>
      </c>
      <c r="G407">
        <v>1</v>
      </c>
      <c r="H407">
        <v>1494</v>
      </c>
      <c r="I407" t="s">
        <v>22</v>
      </c>
      <c r="J407">
        <v>0</v>
      </c>
      <c r="K407">
        <v>0.151</v>
      </c>
      <c r="L407">
        <v>30</v>
      </c>
      <c r="M407" t="s">
        <v>23</v>
      </c>
      <c r="N407">
        <v>20</v>
      </c>
      <c r="O407">
        <v>15.9163</v>
      </c>
      <c r="P407">
        <v>-95.953299999999999</v>
      </c>
      <c r="Q407" t="s">
        <v>267</v>
      </c>
      <c r="R407" t="s">
        <v>47</v>
      </c>
      <c r="S407" t="s">
        <v>48</v>
      </c>
      <c r="T407">
        <v>4</v>
      </c>
      <c r="U407">
        <v>7.4</v>
      </c>
      <c r="V407">
        <v>0</v>
      </c>
      <c r="W407">
        <v>0.151</v>
      </c>
      <c r="X407">
        <v>30</v>
      </c>
      <c r="Y407">
        <v>20</v>
      </c>
      <c r="Z407">
        <v>8</v>
      </c>
      <c r="AA407">
        <v>8</v>
      </c>
      <c r="AB407">
        <v>1</v>
      </c>
      <c r="AC407">
        <v>1494</v>
      </c>
      <c r="AD407" s="8">
        <v>44005</v>
      </c>
    </row>
    <row r="408" spans="1:30">
      <c r="A408" t="s">
        <v>1631</v>
      </c>
      <c r="B408">
        <v>6.6</v>
      </c>
      <c r="C408" s="8" t="s">
        <v>1632</v>
      </c>
      <c r="D408">
        <v>0</v>
      </c>
      <c r="E408">
        <v>7</v>
      </c>
      <c r="G408">
        <v>0</v>
      </c>
      <c r="H408">
        <v>670</v>
      </c>
      <c r="I408" t="s">
        <v>143</v>
      </c>
      <c r="J408">
        <v>0</v>
      </c>
      <c r="K408">
        <v>0</v>
      </c>
      <c r="L408">
        <v>0</v>
      </c>
      <c r="M408" t="s">
        <v>345</v>
      </c>
      <c r="N408">
        <v>4.2</v>
      </c>
      <c r="O408">
        <v>63.514400000000002</v>
      </c>
      <c r="P408">
        <v>-147.91200000000001</v>
      </c>
      <c r="Q408" t="s">
        <v>1629</v>
      </c>
      <c r="R408" t="s">
        <v>47</v>
      </c>
      <c r="S408" t="s">
        <v>1754</v>
      </c>
      <c r="T408">
        <v>4</v>
      </c>
      <c r="U408">
        <v>6.6</v>
      </c>
      <c r="V408">
        <v>0</v>
      </c>
      <c r="W408">
        <v>0</v>
      </c>
      <c r="X408">
        <v>0</v>
      </c>
      <c r="Y408">
        <v>4.2</v>
      </c>
      <c r="Z408">
        <v>0</v>
      </c>
      <c r="AA408">
        <v>7</v>
      </c>
      <c r="AB408">
        <v>0</v>
      </c>
      <c r="AC408">
        <v>670</v>
      </c>
      <c r="AD408" s="8">
        <v>37552</v>
      </c>
    </row>
    <row r="409" spans="1:30">
      <c r="A409" t="s">
        <v>658</v>
      </c>
      <c r="B409">
        <v>7.1</v>
      </c>
      <c r="C409" s="8" t="s">
        <v>659</v>
      </c>
      <c r="D409">
        <v>7</v>
      </c>
      <c r="E409">
        <v>7</v>
      </c>
      <c r="F409" t="s">
        <v>21</v>
      </c>
      <c r="G409">
        <v>1</v>
      </c>
      <c r="H409">
        <v>1496</v>
      </c>
      <c r="I409" t="s">
        <v>143</v>
      </c>
      <c r="J409">
        <v>0</v>
      </c>
      <c r="K409">
        <v>0</v>
      </c>
      <c r="L409">
        <v>0</v>
      </c>
      <c r="M409" t="s">
        <v>345</v>
      </c>
      <c r="N409">
        <v>125.6</v>
      </c>
      <c r="O409">
        <v>59.620399999999997</v>
      </c>
      <c r="P409">
        <v>-153.339</v>
      </c>
      <c r="Q409" t="s">
        <v>660</v>
      </c>
      <c r="R409" t="s">
        <v>47</v>
      </c>
      <c r="S409" t="s">
        <v>1754</v>
      </c>
      <c r="T409">
        <v>4</v>
      </c>
      <c r="U409">
        <v>7.1</v>
      </c>
      <c r="V409">
        <v>0</v>
      </c>
      <c r="W409">
        <v>0</v>
      </c>
      <c r="X409">
        <v>0</v>
      </c>
      <c r="Y409">
        <v>125.6</v>
      </c>
      <c r="Z409">
        <v>7</v>
      </c>
      <c r="AA409">
        <v>7</v>
      </c>
      <c r="AB409">
        <v>1</v>
      </c>
      <c r="AC409">
        <v>1496</v>
      </c>
      <c r="AD409" s="8">
        <v>42393</v>
      </c>
    </row>
    <row r="410" spans="1:30">
      <c r="A410" t="s">
        <v>839</v>
      </c>
      <c r="B410">
        <v>6.5</v>
      </c>
      <c r="C410" s="8" t="s">
        <v>840</v>
      </c>
      <c r="D410">
        <v>4</v>
      </c>
      <c r="E410">
        <v>6</v>
      </c>
      <c r="F410" t="s">
        <v>21</v>
      </c>
      <c r="G410">
        <v>1</v>
      </c>
      <c r="H410">
        <v>838</v>
      </c>
      <c r="I410" t="s">
        <v>22</v>
      </c>
      <c r="J410">
        <v>0</v>
      </c>
      <c r="K410">
        <v>0</v>
      </c>
      <c r="L410">
        <v>0</v>
      </c>
      <c r="M410" t="s">
        <v>23</v>
      </c>
      <c r="N410">
        <v>10</v>
      </c>
      <c r="O410">
        <v>49.638800000000003</v>
      </c>
      <c r="P410">
        <v>-127.732</v>
      </c>
      <c r="Q410" t="s">
        <v>841</v>
      </c>
      <c r="R410" t="s">
        <v>47</v>
      </c>
      <c r="S410" t="s">
        <v>998</v>
      </c>
      <c r="T410">
        <v>4</v>
      </c>
      <c r="U410">
        <v>6.5</v>
      </c>
      <c r="V410">
        <v>0</v>
      </c>
      <c r="W410">
        <v>0</v>
      </c>
      <c r="X410">
        <v>0</v>
      </c>
      <c r="Y410">
        <v>10</v>
      </c>
      <c r="Z410">
        <v>4</v>
      </c>
      <c r="AA410">
        <v>6</v>
      </c>
      <c r="AB410">
        <v>1</v>
      </c>
      <c r="AC410">
        <v>838</v>
      </c>
      <c r="AD410" s="8">
        <v>41753</v>
      </c>
    </row>
    <row r="411" spans="1:30">
      <c r="A411" t="s">
        <v>999</v>
      </c>
      <c r="B411">
        <v>6.5</v>
      </c>
      <c r="C411" s="8" t="s">
        <v>1000</v>
      </c>
      <c r="D411">
        <v>6</v>
      </c>
      <c r="E411">
        <v>6</v>
      </c>
      <c r="G411">
        <v>0</v>
      </c>
      <c r="H411">
        <v>745</v>
      </c>
      <c r="I411" t="s">
        <v>22</v>
      </c>
      <c r="J411">
        <v>691</v>
      </c>
      <c r="K411">
        <v>0</v>
      </c>
      <c r="L411">
        <v>34.4</v>
      </c>
      <c r="M411" t="s">
        <v>23</v>
      </c>
      <c r="N411">
        <v>17</v>
      </c>
      <c r="O411">
        <v>10.086</v>
      </c>
      <c r="P411">
        <v>-85.298000000000002</v>
      </c>
      <c r="Q411" t="s">
        <v>495</v>
      </c>
      <c r="R411" t="s">
        <v>47</v>
      </c>
      <c r="S411" t="s">
        <v>495</v>
      </c>
      <c r="T411">
        <v>4</v>
      </c>
      <c r="U411">
        <v>6.5</v>
      </c>
      <c r="V411">
        <v>691</v>
      </c>
      <c r="W411">
        <v>0</v>
      </c>
      <c r="X411">
        <v>34.4</v>
      </c>
      <c r="Y411">
        <v>17</v>
      </c>
      <c r="Z411">
        <v>6</v>
      </c>
      <c r="AA411">
        <v>6</v>
      </c>
      <c r="AB411">
        <v>0</v>
      </c>
      <c r="AC411">
        <v>745</v>
      </c>
      <c r="AD411" s="8">
        <v>41206</v>
      </c>
    </row>
    <row r="412" spans="1:30">
      <c r="A412" t="s">
        <v>586</v>
      </c>
      <c r="B412">
        <v>6.9</v>
      </c>
      <c r="C412" s="8" t="s">
        <v>587</v>
      </c>
      <c r="D412">
        <v>5</v>
      </c>
      <c r="E412">
        <v>4</v>
      </c>
      <c r="F412" t="s">
        <v>21</v>
      </c>
      <c r="G412">
        <v>1</v>
      </c>
      <c r="H412">
        <v>855</v>
      </c>
      <c r="I412" t="s">
        <v>22</v>
      </c>
      <c r="J412">
        <v>0</v>
      </c>
      <c r="K412">
        <v>1.796</v>
      </c>
      <c r="L412">
        <v>20</v>
      </c>
      <c r="M412" t="s">
        <v>23</v>
      </c>
      <c r="N412">
        <v>10</v>
      </c>
      <c r="O412">
        <v>11.909700000000001</v>
      </c>
      <c r="P412">
        <v>-88.896799999999999</v>
      </c>
      <c r="Q412" t="s">
        <v>588</v>
      </c>
      <c r="R412" t="s">
        <v>47</v>
      </c>
      <c r="S412" t="s">
        <v>1723</v>
      </c>
      <c r="T412">
        <v>4</v>
      </c>
      <c r="U412">
        <v>6.9</v>
      </c>
      <c r="V412">
        <v>0</v>
      </c>
      <c r="W412">
        <v>1.796</v>
      </c>
      <c r="X412">
        <v>20</v>
      </c>
      <c r="Y412">
        <v>10</v>
      </c>
      <c r="Z412">
        <v>5</v>
      </c>
      <c r="AA412">
        <v>4</v>
      </c>
      <c r="AB412">
        <v>1</v>
      </c>
      <c r="AC412">
        <v>855</v>
      </c>
      <c r="AD412" s="8">
        <v>42698</v>
      </c>
    </row>
    <row r="413" spans="1:30">
      <c r="A413" t="s">
        <v>1566</v>
      </c>
      <c r="B413">
        <v>6.5</v>
      </c>
      <c r="C413" s="8" t="s">
        <v>1567</v>
      </c>
      <c r="D413">
        <v>0</v>
      </c>
      <c r="E413">
        <v>6</v>
      </c>
      <c r="G413">
        <v>0</v>
      </c>
      <c r="H413">
        <v>650</v>
      </c>
      <c r="I413" t="s">
        <v>22</v>
      </c>
      <c r="J413">
        <v>405</v>
      </c>
      <c r="K413">
        <v>0</v>
      </c>
      <c r="L413">
        <v>48.4</v>
      </c>
      <c r="M413" t="s">
        <v>36</v>
      </c>
      <c r="N413">
        <v>33</v>
      </c>
      <c r="O413">
        <v>8.4160000000000004</v>
      </c>
      <c r="P413">
        <v>-82.823999999999998</v>
      </c>
      <c r="Q413" t="s">
        <v>1568</v>
      </c>
      <c r="R413" t="s">
        <v>47</v>
      </c>
      <c r="S413" t="s">
        <v>42</v>
      </c>
      <c r="T413">
        <v>4</v>
      </c>
      <c r="U413">
        <v>6.5</v>
      </c>
      <c r="V413">
        <v>405</v>
      </c>
      <c r="W413">
        <v>0</v>
      </c>
      <c r="X413">
        <v>48.4</v>
      </c>
      <c r="Y413">
        <v>33</v>
      </c>
      <c r="Z413">
        <v>0</v>
      </c>
      <c r="AA413">
        <v>6</v>
      </c>
      <c r="AB413">
        <v>0</v>
      </c>
      <c r="AC413">
        <v>650</v>
      </c>
      <c r="AD413" s="8">
        <v>37980</v>
      </c>
    </row>
    <row r="414" spans="1:30">
      <c r="A414" t="s">
        <v>1651</v>
      </c>
      <c r="B414">
        <v>7.1</v>
      </c>
      <c r="C414" s="8" t="s">
        <v>1652</v>
      </c>
      <c r="D414">
        <v>0</v>
      </c>
      <c r="E414">
        <v>7</v>
      </c>
      <c r="G414">
        <v>0</v>
      </c>
      <c r="H414">
        <v>776</v>
      </c>
      <c r="I414" t="s">
        <v>22</v>
      </c>
      <c r="J414">
        <v>257</v>
      </c>
      <c r="K414">
        <v>0</v>
      </c>
      <c r="L414">
        <v>0</v>
      </c>
      <c r="M414" t="s">
        <v>829</v>
      </c>
      <c r="N414">
        <v>85.7</v>
      </c>
      <c r="O414">
        <v>13.087999999999999</v>
      </c>
      <c r="P414">
        <v>144.619</v>
      </c>
      <c r="Q414" t="s">
        <v>1653</v>
      </c>
      <c r="R414" t="s">
        <v>47</v>
      </c>
      <c r="S414" t="s">
        <v>1754</v>
      </c>
      <c r="T414">
        <v>4</v>
      </c>
      <c r="U414">
        <v>7.1</v>
      </c>
      <c r="V414">
        <v>257</v>
      </c>
      <c r="W414">
        <v>0</v>
      </c>
      <c r="X414">
        <v>0</v>
      </c>
      <c r="Y414">
        <v>85.7</v>
      </c>
      <c r="Z414">
        <v>0</v>
      </c>
      <c r="AA414">
        <v>7</v>
      </c>
      <c r="AB414">
        <v>0</v>
      </c>
      <c r="AC414">
        <v>776</v>
      </c>
      <c r="AD414" s="8">
        <v>37372</v>
      </c>
    </row>
    <row r="415" spans="1:30">
      <c r="A415" t="s">
        <v>730</v>
      </c>
      <c r="B415">
        <v>6.9</v>
      </c>
      <c r="C415" s="8" t="s">
        <v>731</v>
      </c>
      <c r="D415">
        <v>4</v>
      </c>
      <c r="E415">
        <v>7</v>
      </c>
      <c r="F415" t="s">
        <v>21</v>
      </c>
      <c r="G415">
        <v>1</v>
      </c>
      <c r="H415">
        <v>734</v>
      </c>
      <c r="I415" t="s">
        <v>22</v>
      </c>
      <c r="J415">
        <v>0</v>
      </c>
      <c r="K415">
        <v>0.44400000000000001</v>
      </c>
      <c r="L415">
        <v>39</v>
      </c>
      <c r="M415" t="s">
        <v>23</v>
      </c>
      <c r="N415">
        <v>29</v>
      </c>
      <c r="O415">
        <v>52.375999999999998</v>
      </c>
      <c r="P415">
        <v>-169.446</v>
      </c>
      <c r="Q415" t="s">
        <v>732</v>
      </c>
      <c r="R415" t="s">
        <v>47</v>
      </c>
      <c r="S415" t="s">
        <v>1754</v>
      </c>
      <c r="T415">
        <v>4</v>
      </c>
      <c r="U415">
        <v>6.9</v>
      </c>
      <c r="V415">
        <v>0</v>
      </c>
      <c r="W415">
        <v>0.44400000000000001</v>
      </c>
      <c r="X415">
        <v>39</v>
      </c>
      <c r="Y415">
        <v>29</v>
      </c>
      <c r="Z415">
        <v>4</v>
      </c>
      <c r="AA415">
        <v>7</v>
      </c>
      <c r="AB415">
        <v>1</v>
      </c>
      <c r="AC415">
        <v>734</v>
      </c>
      <c r="AD415" s="8">
        <v>42212</v>
      </c>
    </row>
    <row r="416" spans="1:30">
      <c r="A416" t="s">
        <v>1011</v>
      </c>
      <c r="B416">
        <v>7.3</v>
      </c>
      <c r="C416" s="8" t="s">
        <v>1012</v>
      </c>
      <c r="D416">
        <v>5</v>
      </c>
      <c r="E416">
        <v>5</v>
      </c>
      <c r="G416">
        <v>0</v>
      </c>
      <c r="H416">
        <v>994</v>
      </c>
      <c r="I416" t="s">
        <v>22</v>
      </c>
      <c r="J416">
        <v>417</v>
      </c>
      <c r="K416">
        <v>0</v>
      </c>
      <c r="L416">
        <v>37</v>
      </c>
      <c r="M416" t="s">
        <v>23</v>
      </c>
      <c r="N416">
        <v>28</v>
      </c>
      <c r="O416">
        <v>12.138999999999999</v>
      </c>
      <c r="P416">
        <v>-88.59</v>
      </c>
      <c r="Q416" t="s">
        <v>588</v>
      </c>
      <c r="R416" t="s">
        <v>47</v>
      </c>
      <c r="S416" t="s">
        <v>1723</v>
      </c>
      <c r="T416">
        <v>4</v>
      </c>
      <c r="U416">
        <v>7.3</v>
      </c>
      <c r="V416">
        <v>417</v>
      </c>
      <c r="W416">
        <v>0</v>
      </c>
      <c r="X416">
        <v>37</v>
      </c>
      <c r="Y416">
        <v>28</v>
      </c>
      <c r="Z416">
        <v>5</v>
      </c>
      <c r="AA416">
        <v>5</v>
      </c>
      <c r="AB416">
        <v>0</v>
      </c>
      <c r="AC416">
        <v>994</v>
      </c>
      <c r="AD416" s="8">
        <v>41148</v>
      </c>
    </row>
    <row r="417" spans="1:32">
      <c r="A417" t="s">
        <v>296</v>
      </c>
      <c r="B417">
        <v>7.7</v>
      </c>
      <c r="C417" s="8" t="s">
        <v>297</v>
      </c>
      <c r="D417">
        <v>9</v>
      </c>
      <c r="E417">
        <v>6</v>
      </c>
      <c r="F417" t="s">
        <v>45</v>
      </c>
      <c r="G417">
        <v>1</v>
      </c>
      <c r="H417">
        <v>1812</v>
      </c>
      <c r="I417" t="s">
        <v>22</v>
      </c>
      <c r="J417">
        <v>0</v>
      </c>
      <c r="K417">
        <v>1.657</v>
      </c>
      <c r="L417">
        <v>26</v>
      </c>
      <c r="M417" t="s">
        <v>23</v>
      </c>
      <c r="N417">
        <v>14.86</v>
      </c>
      <c r="O417">
        <v>19.4193</v>
      </c>
      <c r="P417">
        <v>-78.756</v>
      </c>
      <c r="Q417" t="s">
        <v>298</v>
      </c>
      <c r="R417" t="s">
        <v>47</v>
      </c>
      <c r="S417" t="s">
        <v>1742</v>
      </c>
      <c r="T417">
        <v>4</v>
      </c>
      <c r="U417">
        <v>7.7</v>
      </c>
      <c r="V417">
        <v>0</v>
      </c>
      <c r="W417">
        <v>1.657</v>
      </c>
      <c r="X417">
        <v>26</v>
      </c>
      <c r="Y417">
        <v>14.86</v>
      </c>
      <c r="Z417">
        <v>9</v>
      </c>
      <c r="AA417">
        <v>6</v>
      </c>
      <c r="AB417">
        <v>1</v>
      </c>
      <c r="AC417">
        <v>1812</v>
      </c>
      <c r="AD417" s="8">
        <v>43858</v>
      </c>
      <c r="AE417" s="8"/>
      <c r="AF417" s="8"/>
    </row>
    <row r="418" spans="1:32">
      <c r="A418" t="s">
        <v>1712</v>
      </c>
      <c r="B418">
        <v>6.8</v>
      </c>
      <c r="C418" s="8" t="s">
        <v>1713</v>
      </c>
      <c r="D418">
        <v>7</v>
      </c>
      <c r="E418">
        <v>7</v>
      </c>
      <c r="G418">
        <v>0</v>
      </c>
      <c r="H418">
        <v>1441</v>
      </c>
      <c r="I418" t="s">
        <v>1714</v>
      </c>
      <c r="J418">
        <v>67</v>
      </c>
      <c r="K418">
        <v>0</v>
      </c>
      <c r="L418">
        <v>31</v>
      </c>
      <c r="M418" t="s">
        <v>1404</v>
      </c>
      <c r="N418">
        <v>51.798000000000002</v>
      </c>
      <c r="O418">
        <v>47.149000000000001</v>
      </c>
      <c r="P418">
        <v>-122.727</v>
      </c>
      <c r="Q418" t="s">
        <v>1715</v>
      </c>
      <c r="R418" t="s">
        <v>47</v>
      </c>
      <c r="S418" t="s">
        <v>1754</v>
      </c>
      <c r="T418">
        <v>4</v>
      </c>
      <c r="U418">
        <v>6.8</v>
      </c>
      <c r="V418">
        <v>67</v>
      </c>
      <c r="W418">
        <v>0</v>
      </c>
      <c r="X418">
        <v>31</v>
      </c>
      <c r="Y418">
        <v>51.798000000000002</v>
      </c>
      <c r="Z418">
        <v>7</v>
      </c>
      <c r="AA418">
        <v>7</v>
      </c>
      <c r="AB418">
        <v>0</v>
      </c>
      <c r="AC418">
        <v>1441</v>
      </c>
      <c r="AD418" s="8">
        <v>36950</v>
      </c>
      <c r="AE418" s="8"/>
      <c r="AF418" s="8"/>
    </row>
    <row r="419" spans="1:32">
      <c r="A419" t="s">
        <v>1244</v>
      </c>
      <c r="B419">
        <v>7.3</v>
      </c>
      <c r="C419" s="8" t="s">
        <v>1245</v>
      </c>
      <c r="D419">
        <v>7</v>
      </c>
      <c r="E419">
        <v>8</v>
      </c>
      <c r="G419">
        <v>0</v>
      </c>
      <c r="H419">
        <v>1560</v>
      </c>
      <c r="I419" t="s">
        <v>22</v>
      </c>
      <c r="J419">
        <v>464</v>
      </c>
      <c r="K419">
        <v>0</v>
      </c>
      <c r="L419">
        <v>27.2</v>
      </c>
      <c r="M419" t="s">
        <v>829</v>
      </c>
      <c r="N419">
        <v>19</v>
      </c>
      <c r="O419">
        <v>16.731000000000002</v>
      </c>
      <c r="P419">
        <v>-86.216999999999999</v>
      </c>
      <c r="Q419" t="s">
        <v>1246</v>
      </c>
      <c r="R419" t="s">
        <v>47</v>
      </c>
      <c r="S419" t="s">
        <v>1738</v>
      </c>
      <c r="T419">
        <v>4</v>
      </c>
      <c r="U419">
        <v>7.3</v>
      </c>
      <c r="V419">
        <v>464</v>
      </c>
      <c r="W419">
        <v>0</v>
      </c>
      <c r="X419">
        <v>27.2</v>
      </c>
      <c r="Y419">
        <v>19</v>
      </c>
      <c r="Z419">
        <v>7</v>
      </c>
      <c r="AA419">
        <v>8</v>
      </c>
      <c r="AB419">
        <v>0</v>
      </c>
      <c r="AC419">
        <v>1560</v>
      </c>
      <c r="AD419" s="8">
        <v>39961</v>
      </c>
      <c r="AE419" s="8"/>
      <c r="AF419" s="8"/>
    </row>
    <row r="420" spans="1:32">
      <c r="A420" t="s">
        <v>1689</v>
      </c>
      <c r="B420">
        <v>6.6</v>
      </c>
      <c r="C420" s="8" t="s">
        <v>1690</v>
      </c>
      <c r="D420">
        <v>6</v>
      </c>
      <c r="E420">
        <v>6</v>
      </c>
      <c r="G420">
        <v>0</v>
      </c>
      <c r="H420">
        <v>754</v>
      </c>
      <c r="I420" t="s">
        <v>143</v>
      </c>
      <c r="J420">
        <v>0</v>
      </c>
      <c r="K420">
        <v>0</v>
      </c>
      <c r="L420">
        <v>0</v>
      </c>
      <c r="M420" t="s">
        <v>345</v>
      </c>
      <c r="N420">
        <v>131.80000000000001</v>
      </c>
      <c r="O420">
        <v>58.774999999999999</v>
      </c>
      <c r="P420">
        <v>-154.70099999999999</v>
      </c>
      <c r="Q420" t="s">
        <v>1691</v>
      </c>
      <c r="R420" t="s">
        <v>47</v>
      </c>
      <c r="S420" t="s">
        <v>1754</v>
      </c>
      <c r="T420">
        <v>4</v>
      </c>
      <c r="U420">
        <v>6.6</v>
      </c>
      <c r="V420">
        <v>0</v>
      </c>
      <c r="W420">
        <v>0</v>
      </c>
      <c r="X420">
        <v>0</v>
      </c>
      <c r="Y420">
        <v>131.80000000000001</v>
      </c>
      <c r="Z420">
        <v>6</v>
      </c>
      <c r="AA420">
        <v>6</v>
      </c>
      <c r="AB420">
        <v>0</v>
      </c>
      <c r="AC420">
        <v>754</v>
      </c>
      <c r="AD420" s="8">
        <v>37100</v>
      </c>
      <c r="AE420" s="8"/>
      <c r="AF420" s="8"/>
    </row>
    <row r="421" spans="1:32">
      <c r="A421" t="s">
        <v>995</v>
      </c>
      <c r="B421">
        <v>7.8</v>
      </c>
      <c r="C421" s="8" t="s">
        <v>996</v>
      </c>
      <c r="D421">
        <v>8</v>
      </c>
      <c r="E421">
        <v>7</v>
      </c>
      <c r="G421">
        <v>0</v>
      </c>
      <c r="H421">
        <v>1726</v>
      </c>
      <c r="I421" t="s">
        <v>22</v>
      </c>
      <c r="J421">
        <v>807</v>
      </c>
      <c r="K421">
        <v>0</v>
      </c>
      <c r="L421">
        <v>42.7</v>
      </c>
      <c r="M421" t="s">
        <v>23</v>
      </c>
      <c r="N421">
        <v>14</v>
      </c>
      <c r="O421">
        <v>52.787999999999997</v>
      </c>
      <c r="P421">
        <v>-132.101</v>
      </c>
      <c r="Q421" t="s">
        <v>997</v>
      </c>
      <c r="R421" t="s">
        <v>47</v>
      </c>
      <c r="S421" t="s">
        <v>998</v>
      </c>
      <c r="T421">
        <v>4</v>
      </c>
      <c r="U421">
        <v>7.8</v>
      </c>
      <c r="V421">
        <v>807</v>
      </c>
      <c r="W421">
        <v>0</v>
      </c>
      <c r="X421">
        <v>42.7</v>
      </c>
      <c r="Y421">
        <v>14</v>
      </c>
      <c r="Z421">
        <v>8</v>
      </c>
      <c r="AA421">
        <v>7</v>
      </c>
      <c r="AB421">
        <v>0</v>
      </c>
      <c r="AC421">
        <v>1726</v>
      </c>
      <c r="AD421" s="8">
        <v>41210</v>
      </c>
      <c r="AE421" s="8"/>
      <c r="AF421" s="8"/>
    </row>
    <row r="422" spans="1:32">
      <c r="A422" t="s">
        <v>744</v>
      </c>
      <c r="B422">
        <v>6.8</v>
      </c>
      <c r="C422" s="8" t="s">
        <v>745</v>
      </c>
      <c r="D422">
        <v>5</v>
      </c>
      <c r="E422">
        <v>6</v>
      </c>
      <c r="F422" t="s">
        <v>21</v>
      </c>
      <c r="G422">
        <v>1</v>
      </c>
      <c r="H422">
        <v>762</v>
      </c>
      <c r="I422" t="s">
        <v>143</v>
      </c>
      <c r="J422">
        <v>0</v>
      </c>
      <c r="K422">
        <v>0</v>
      </c>
      <c r="L422">
        <v>0</v>
      </c>
      <c r="M422" t="s">
        <v>345</v>
      </c>
      <c r="N422">
        <v>72.599999999999994</v>
      </c>
      <c r="O422">
        <v>56.594000000000001</v>
      </c>
      <c r="P422">
        <v>-156.43</v>
      </c>
      <c r="Q422" t="s">
        <v>746</v>
      </c>
      <c r="R422" t="s">
        <v>47</v>
      </c>
      <c r="S422" t="s">
        <v>1754</v>
      </c>
      <c r="T422">
        <v>4</v>
      </c>
      <c r="U422">
        <v>6.8</v>
      </c>
      <c r="V422">
        <v>0</v>
      </c>
      <c r="W422">
        <v>0</v>
      </c>
      <c r="X422">
        <v>0</v>
      </c>
      <c r="Y422">
        <v>72.599999999999994</v>
      </c>
      <c r="Z422">
        <v>5</v>
      </c>
      <c r="AA422">
        <v>6</v>
      </c>
      <c r="AB422">
        <v>1</v>
      </c>
      <c r="AC422">
        <v>762</v>
      </c>
      <c r="AD422" s="8">
        <v>42153</v>
      </c>
      <c r="AE422" s="8"/>
      <c r="AF422" s="8"/>
    </row>
    <row r="423" spans="1:32">
      <c r="A423" t="s">
        <v>178</v>
      </c>
      <c r="B423">
        <v>8.1999999999999993</v>
      </c>
      <c r="C423" s="8" t="s">
        <v>179</v>
      </c>
      <c r="D423">
        <v>8</v>
      </c>
      <c r="E423">
        <v>6</v>
      </c>
      <c r="F423" t="s">
        <v>21</v>
      </c>
      <c r="G423">
        <v>1</v>
      </c>
      <c r="H423">
        <v>1237</v>
      </c>
      <c r="I423" t="s">
        <v>22</v>
      </c>
      <c r="J423">
        <v>0</v>
      </c>
      <c r="K423">
        <v>0.875</v>
      </c>
      <c r="L423">
        <v>66</v>
      </c>
      <c r="M423" t="s">
        <v>23</v>
      </c>
      <c r="N423">
        <v>46.66</v>
      </c>
      <c r="O423">
        <v>55.474200000000003</v>
      </c>
      <c r="P423">
        <v>-157.917</v>
      </c>
      <c r="Q423" t="s">
        <v>172</v>
      </c>
      <c r="R423" t="s">
        <v>47</v>
      </c>
      <c r="S423" t="s">
        <v>1754</v>
      </c>
      <c r="T423">
        <v>4</v>
      </c>
      <c r="U423">
        <v>8.1999999999999993</v>
      </c>
      <c r="V423">
        <v>0</v>
      </c>
      <c r="W423">
        <v>0.875</v>
      </c>
      <c r="X423">
        <v>66</v>
      </c>
      <c r="Y423">
        <v>46.66</v>
      </c>
      <c r="Z423">
        <v>8</v>
      </c>
      <c r="AA423">
        <v>6</v>
      </c>
      <c r="AB423">
        <v>1</v>
      </c>
      <c r="AC423">
        <v>1237</v>
      </c>
      <c r="AD423" s="8">
        <v>44406</v>
      </c>
      <c r="AE423" s="8"/>
      <c r="AF423" s="8"/>
    </row>
    <row r="424" spans="1:32">
      <c r="A424" t="s">
        <v>180</v>
      </c>
      <c r="B424">
        <v>8.1999999999999993</v>
      </c>
      <c r="C424" s="8" t="s">
        <v>179</v>
      </c>
      <c r="D424">
        <v>8</v>
      </c>
      <c r="E424">
        <v>7</v>
      </c>
      <c r="F424" t="s">
        <v>45</v>
      </c>
      <c r="G424">
        <v>1</v>
      </c>
      <c r="H424">
        <v>1252</v>
      </c>
      <c r="I424" t="s">
        <v>143</v>
      </c>
      <c r="J424">
        <v>0</v>
      </c>
      <c r="K424">
        <v>0</v>
      </c>
      <c r="L424">
        <v>0</v>
      </c>
      <c r="M424" t="s">
        <v>23</v>
      </c>
      <c r="N424">
        <v>35</v>
      </c>
      <c r="O424">
        <v>55.315399999999997</v>
      </c>
      <c r="P424">
        <v>-157.82900000000001</v>
      </c>
      <c r="Q424" t="s">
        <v>172</v>
      </c>
      <c r="R424" t="s">
        <v>47</v>
      </c>
      <c r="S424" t="s">
        <v>1754</v>
      </c>
      <c r="T424">
        <v>4</v>
      </c>
      <c r="U424">
        <v>8.1999999999999993</v>
      </c>
      <c r="V424">
        <v>0</v>
      </c>
      <c r="W424">
        <v>0</v>
      </c>
      <c r="X424">
        <v>0</v>
      </c>
      <c r="Y424">
        <v>35</v>
      </c>
      <c r="Z424">
        <v>8</v>
      </c>
      <c r="AA424">
        <v>7</v>
      </c>
      <c r="AB424">
        <v>1</v>
      </c>
      <c r="AC424">
        <v>1252</v>
      </c>
      <c r="AD424" s="8">
        <v>44406</v>
      </c>
      <c r="AE424" s="8"/>
      <c r="AF424" s="8"/>
    </row>
    <row r="425" spans="1:32">
      <c r="A425" t="s">
        <v>1313</v>
      </c>
      <c r="B425">
        <v>7.4</v>
      </c>
      <c r="C425" s="8" t="s">
        <v>1314</v>
      </c>
      <c r="D425">
        <v>7</v>
      </c>
      <c r="E425">
        <v>7</v>
      </c>
      <c r="G425">
        <v>0</v>
      </c>
      <c r="H425">
        <v>1542</v>
      </c>
      <c r="I425" t="s">
        <v>22</v>
      </c>
      <c r="J425">
        <v>663</v>
      </c>
      <c r="K425">
        <v>0</v>
      </c>
      <c r="L425">
        <v>13.4</v>
      </c>
      <c r="M425" t="s">
        <v>36</v>
      </c>
      <c r="N425">
        <v>156</v>
      </c>
      <c r="O425">
        <v>14.944000000000001</v>
      </c>
      <c r="P425">
        <v>-61.274000000000001</v>
      </c>
      <c r="Q425" t="s">
        <v>1315</v>
      </c>
      <c r="R425" t="s">
        <v>47</v>
      </c>
      <c r="S425" t="s">
        <v>1316</v>
      </c>
      <c r="T425">
        <v>4</v>
      </c>
      <c r="U425">
        <v>7.4</v>
      </c>
      <c r="V425">
        <v>663</v>
      </c>
      <c r="W425">
        <v>0</v>
      </c>
      <c r="X425">
        <v>13.4</v>
      </c>
      <c r="Y425">
        <v>156</v>
      </c>
      <c r="Z425">
        <v>7</v>
      </c>
      <c r="AA425">
        <v>7</v>
      </c>
      <c r="AB425">
        <v>0</v>
      </c>
      <c r="AC425">
        <v>1542</v>
      </c>
      <c r="AD425" s="8">
        <v>39415</v>
      </c>
      <c r="AE425" s="8"/>
      <c r="AF425" s="8"/>
    </row>
    <row r="426" spans="1:32">
      <c r="A426" t="s">
        <v>353</v>
      </c>
      <c r="B426">
        <v>6.6</v>
      </c>
      <c r="C426" s="8" t="s">
        <v>354</v>
      </c>
      <c r="D426">
        <v>7</v>
      </c>
      <c r="E426">
        <v>6</v>
      </c>
      <c r="F426" t="s">
        <v>45</v>
      </c>
      <c r="G426">
        <v>1</v>
      </c>
      <c r="H426">
        <v>886</v>
      </c>
      <c r="I426" t="s">
        <v>22</v>
      </c>
      <c r="J426">
        <v>0</v>
      </c>
      <c r="K426">
        <v>1.1930000000000001</v>
      </c>
      <c r="L426">
        <v>22</v>
      </c>
      <c r="M426" t="s">
        <v>23</v>
      </c>
      <c r="N426">
        <v>57.92</v>
      </c>
      <c r="O426">
        <v>13.199400000000001</v>
      </c>
      <c r="P426">
        <v>-89.305599999999998</v>
      </c>
      <c r="Q426" t="s">
        <v>355</v>
      </c>
      <c r="R426" t="s">
        <v>47</v>
      </c>
      <c r="S426" t="s">
        <v>1723</v>
      </c>
      <c r="T426">
        <v>4</v>
      </c>
      <c r="U426">
        <v>6.6</v>
      </c>
      <c r="V426">
        <v>0</v>
      </c>
      <c r="W426">
        <v>1.1930000000000001</v>
      </c>
      <c r="X426">
        <v>22</v>
      </c>
      <c r="Y426">
        <v>57.92</v>
      </c>
      <c r="Z426">
        <v>7</v>
      </c>
      <c r="AA426">
        <v>6</v>
      </c>
      <c r="AB426">
        <v>1</v>
      </c>
      <c r="AC426">
        <v>886</v>
      </c>
      <c r="AD426" s="8">
        <v>43615</v>
      </c>
      <c r="AE426" s="8"/>
      <c r="AF426" s="8"/>
    </row>
    <row r="427" spans="1:32">
      <c r="A427" t="s">
        <v>918</v>
      </c>
      <c r="B427">
        <v>7</v>
      </c>
      <c r="C427" s="8" t="s">
        <v>919</v>
      </c>
      <c r="D427">
        <v>5</v>
      </c>
      <c r="E427">
        <v>6</v>
      </c>
      <c r="F427" t="s">
        <v>21</v>
      </c>
      <c r="G427">
        <v>0</v>
      </c>
      <c r="H427">
        <v>758</v>
      </c>
      <c r="I427" t="s">
        <v>22</v>
      </c>
      <c r="J427">
        <v>0</v>
      </c>
      <c r="K427">
        <v>0.624</v>
      </c>
      <c r="L427">
        <v>53</v>
      </c>
      <c r="M427" t="s">
        <v>23</v>
      </c>
      <c r="N427">
        <v>29</v>
      </c>
      <c r="O427">
        <v>51.536999999999999</v>
      </c>
      <c r="P427">
        <v>-175.23</v>
      </c>
      <c r="Q427" t="s">
        <v>914</v>
      </c>
      <c r="R427" t="s">
        <v>47</v>
      </c>
      <c r="S427" t="s">
        <v>1754</v>
      </c>
      <c r="T427">
        <v>4</v>
      </c>
      <c r="U427">
        <v>7</v>
      </c>
      <c r="V427">
        <v>0</v>
      </c>
      <c r="W427">
        <v>0.624</v>
      </c>
      <c r="X427">
        <v>53</v>
      </c>
      <c r="Y427">
        <v>29</v>
      </c>
      <c r="Z427">
        <v>5</v>
      </c>
      <c r="AA427">
        <v>6</v>
      </c>
      <c r="AB427">
        <v>0</v>
      </c>
      <c r="AC427">
        <v>758</v>
      </c>
      <c r="AD427" s="8">
        <v>41516</v>
      </c>
      <c r="AE427" s="8"/>
      <c r="AF427" s="8"/>
    </row>
    <row r="428" spans="1:32">
      <c r="A428" t="s">
        <v>393</v>
      </c>
      <c r="B428">
        <v>7.1</v>
      </c>
      <c r="C428" s="8" t="s">
        <v>394</v>
      </c>
      <c r="D428">
        <v>8</v>
      </c>
      <c r="E428">
        <v>8</v>
      </c>
      <c r="F428" t="s">
        <v>66</v>
      </c>
      <c r="G428">
        <v>1</v>
      </c>
      <c r="H428">
        <v>1790</v>
      </c>
      <c r="I428" t="s">
        <v>143</v>
      </c>
      <c r="J428">
        <v>0</v>
      </c>
      <c r="K428">
        <v>0</v>
      </c>
      <c r="L428">
        <v>0</v>
      </c>
      <c r="M428" t="s">
        <v>345</v>
      </c>
      <c r="N428">
        <v>46.7</v>
      </c>
      <c r="O428">
        <v>61.346400000000003</v>
      </c>
      <c r="P428">
        <v>-149.95500000000001</v>
      </c>
      <c r="Q428" t="s">
        <v>395</v>
      </c>
      <c r="R428" t="s">
        <v>47</v>
      </c>
      <c r="S428" t="s">
        <v>1754</v>
      </c>
      <c r="T428">
        <v>4</v>
      </c>
      <c r="U428">
        <v>7.1</v>
      </c>
      <c r="V428">
        <v>0</v>
      </c>
      <c r="W428">
        <v>0</v>
      </c>
      <c r="X428">
        <v>0</v>
      </c>
      <c r="Y428">
        <v>46.7</v>
      </c>
      <c r="Z428">
        <v>8</v>
      </c>
      <c r="AA428">
        <v>8</v>
      </c>
      <c r="AB428">
        <v>1</v>
      </c>
      <c r="AC428">
        <v>1790</v>
      </c>
      <c r="AD428" s="8">
        <v>43434</v>
      </c>
      <c r="AE428" s="8"/>
      <c r="AF428" s="8"/>
    </row>
    <row r="429" spans="1:32">
      <c r="A429" t="s">
        <v>286</v>
      </c>
      <c r="B429">
        <v>6.5</v>
      </c>
      <c r="C429" s="8" t="s">
        <v>287</v>
      </c>
      <c r="D429">
        <v>8</v>
      </c>
      <c r="E429">
        <v>8</v>
      </c>
      <c r="F429" t="s">
        <v>21</v>
      </c>
      <c r="G429">
        <v>0</v>
      </c>
      <c r="H429">
        <v>1410</v>
      </c>
      <c r="I429" t="s">
        <v>22</v>
      </c>
      <c r="J429">
        <v>0</v>
      </c>
      <c r="K429">
        <v>0.88500000000000001</v>
      </c>
      <c r="L429">
        <v>31</v>
      </c>
      <c r="M429" t="s">
        <v>23</v>
      </c>
      <c r="N429">
        <v>12.06</v>
      </c>
      <c r="O429">
        <v>44.464599999999997</v>
      </c>
      <c r="P429">
        <v>-115.11799999999999</v>
      </c>
      <c r="Q429" t="s">
        <v>288</v>
      </c>
      <c r="R429" t="s">
        <v>47</v>
      </c>
      <c r="S429" t="s">
        <v>1754</v>
      </c>
      <c r="T429">
        <v>4</v>
      </c>
      <c r="U429">
        <v>6.5</v>
      </c>
      <c r="V429">
        <v>0</v>
      </c>
      <c r="W429">
        <v>0.88500000000000001</v>
      </c>
      <c r="X429">
        <v>31</v>
      </c>
      <c r="Y429">
        <v>12.06</v>
      </c>
      <c r="Z429">
        <v>8</v>
      </c>
      <c r="AA429">
        <v>8</v>
      </c>
      <c r="AB429">
        <v>0</v>
      </c>
      <c r="AC429">
        <v>1410</v>
      </c>
      <c r="AD429" s="8">
        <v>43921</v>
      </c>
      <c r="AE429" s="8"/>
      <c r="AF429" s="8"/>
    </row>
    <row r="430" spans="1:32">
      <c r="A430" t="s">
        <v>1641</v>
      </c>
      <c r="B430">
        <v>6.5</v>
      </c>
      <c r="C430" s="8" t="s">
        <v>1642</v>
      </c>
      <c r="D430">
        <v>0</v>
      </c>
      <c r="E430">
        <v>7</v>
      </c>
      <c r="G430">
        <v>0</v>
      </c>
      <c r="H430">
        <v>650</v>
      </c>
      <c r="I430" t="s">
        <v>22</v>
      </c>
      <c r="J430">
        <v>533</v>
      </c>
      <c r="K430">
        <v>0</v>
      </c>
      <c r="L430">
        <v>0</v>
      </c>
      <c r="M430" t="s">
        <v>829</v>
      </c>
      <c r="N430">
        <v>10</v>
      </c>
      <c r="O430">
        <v>7.9290000000000003</v>
      </c>
      <c r="P430">
        <v>-82.793000000000006</v>
      </c>
      <c r="Q430" t="s">
        <v>787</v>
      </c>
      <c r="R430" t="s">
        <v>47</v>
      </c>
      <c r="S430" t="s">
        <v>42</v>
      </c>
      <c r="T430">
        <v>4</v>
      </c>
      <c r="U430">
        <v>6.5</v>
      </c>
      <c r="V430">
        <v>533</v>
      </c>
      <c r="W430">
        <v>0</v>
      </c>
      <c r="X430">
        <v>0</v>
      </c>
      <c r="Y430">
        <v>10</v>
      </c>
      <c r="Z430">
        <v>0</v>
      </c>
      <c r="AA430">
        <v>7</v>
      </c>
      <c r="AB430">
        <v>0</v>
      </c>
      <c r="AC430">
        <v>650</v>
      </c>
      <c r="AD430" s="8">
        <v>37468</v>
      </c>
      <c r="AE430" s="8"/>
      <c r="AF430" s="8"/>
    </row>
    <row r="431" spans="1:32">
      <c r="A431" t="s">
        <v>1733</v>
      </c>
      <c r="B431">
        <v>7.1</v>
      </c>
      <c r="C431" s="8">
        <v>37135.700694444444</v>
      </c>
      <c r="D431">
        <v>0</v>
      </c>
      <c r="E431">
        <v>7</v>
      </c>
      <c r="G431">
        <v>0</v>
      </c>
      <c r="H431">
        <v>776</v>
      </c>
      <c r="I431" t="s">
        <v>22</v>
      </c>
      <c r="J431">
        <v>372</v>
      </c>
      <c r="K431">
        <v>0</v>
      </c>
      <c r="L431">
        <v>0</v>
      </c>
      <c r="M431" t="s">
        <v>36</v>
      </c>
      <c r="N431">
        <v>103</v>
      </c>
      <c r="O431">
        <v>-14.928000000000001</v>
      </c>
      <c r="P431">
        <v>167.17</v>
      </c>
      <c r="Q431" t="s">
        <v>162</v>
      </c>
      <c r="R431" t="s">
        <v>25</v>
      </c>
      <c r="S431" t="s">
        <v>163</v>
      </c>
      <c r="T431">
        <v>5</v>
      </c>
      <c r="U431">
        <v>7.1</v>
      </c>
      <c r="V431">
        <v>372</v>
      </c>
      <c r="W431">
        <v>0</v>
      </c>
      <c r="X431">
        <v>0</v>
      </c>
      <c r="Y431">
        <v>103</v>
      </c>
      <c r="Z431">
        <v>0</v>
      </c>
      <c r="AA431">
        <v>7</v>
      </c>
      <c r="AB431">
        <v>0</v>
      </c>
      <c r="AC431">
        <v>776</v>
      </c>
      <c r="AD431" s="8">
        <v>37135.700694444444</v>
      </c>
      <c r="AE431" s="8"/>
      <c r="AF431" s="8"/>
    </row>
    <row r="432" spans="1:32">
      <c r="A432" t="s">
        <v>1686</v>
      </c>
      <c r="B432">
        <v>7</v>
      </c>
      <c r="C432" s="8">
        <v>37235.626388888886</v>
      </c>
      <c r="D432">
        <v>0</v>
      </c>
      <c r="E432">
        <v>6</v>
      </c>
      <c r="G432">
        <v>0</v>
      </c>
      <c r="H432">
        <v>754</v>
      </c>
      <c r="I432" t="s">
        <v>22</v>
      </c>
      <c r="J432">
        <v>482</v>
      </c>
      <c r="K432">
        <v>0</v>
      </c>
      <c r="L432">
        <v>0</v>
      </c>
      <c r="M432" t="s">
        <v>829</v>
      </c>
      <c r="N432">
        <v>37</v>
      </c>
      <c r="O432">
        <v>12.686</v>
      </c>
      <c r="P432">
        <v>144.97999999999999</v>
      </c>
      <c r="Q432" t="s">
        <v>1687</v>
      </c>
      <c r="R432" t="s">
        <v>25</v>
      </c>
      <c r="S432" t="s">
        <v>1745</v>
      </c>
      <c r="T432">
        <v>5</v>
      </c>
      <c r="U432">
        <v>7</v>
      </c>
      <c r="V432">
        <v>482</v>
      </c>
      <c r="W432">
        <v>0</v>
      </c>
      <c r="X432">
        <v>0</v>
      </c>
      <c r="Y432">
        <v>37</v>
      </c>
      <c r="Z432">
        <v>0</v>
      </c>
      <c r="AA432">
        <v>6</v>
      </c>
      <c r="AB432">
        <v>0</v>
      </c>
      <c r="AC432">
        <v>754</v>
      </c>
      <c r="AD432" s="8">
        <v>37235.626388888886</v>
      </c>
      <c r="AE432" s="8"/>
      <c r="AF432" s="8"/>
    </row>
    <row r="433" spans="1:32">
      <c r="A433" t="s">
        <v>1672</v>
      </c>
      <c r="B433">
        <v>7.2</v>
      </c>
      <c r="C433" s="8">
        <v>37288.723611111112</v>
      </c>
      <c r="D433">
        <v>0</v>
      </c>
      <c r="E433">
        <v>6</v>
      </c>
      <c r="G433">
        <v>0</v>
      </c>
      <c r="H433">
        <v>798</v>
      </c>
      <c r="I433" t="s">
        <v>22</v>
      </c>
      <c r="J433">
        <v>427</v>
      </c>
      <c r="K433">
        <v>0</v>
      </c>
      <c r="L433">
        <v>0</v>
      </c>
      <c r="M433" t="s">
        <v>829</v>
      </c>
      <c r="N433">
        <v>21</v>
      </c>
      <c r="O433">
        <v>-17.600000000000001</v>
      </c>
      <c r="P433">
        <v>167.85599999999999</v>
      </c>
      <c r="Q433" t="s">
        <v>785</v>
      </c>
      <c r="R433" t="s">
        <v>25</v>
      </c>
      <c r="S433" t="s">
        <v>163</v>
      </c>
      <c r="T433">
        <v>5</v>
      </c>
      <c r="U433">
        <v>7.2</v>
      </c>
      <c r="V433">
        <v>427</v>
      </c>
      <c r="W433">
        <v>0</v>
      </c>
      <c r="X433">
        <v>0</v>
      </c>
      <c r="Y433">
        <v>21</v>
      </c>
      <c r="Z433">
        <v>0</v>
      </c>
      <c r="AA433">
        <v>6</v>
      </c>
      <c r="AB433">
        <v>0</v>
      </c>
      <c r="AC433">
        <v>798</v>
      </c>
      <c r="AD433" s="8">
        <v>37288.723611111112</v>
      </c>
      <c r="AE433" s="8"/>
      <c r="AF433" s="8"/>
    </row>
    <row r="434" spans="1:32">
      <c r="A434" t="s">
        <v>1671</v>
      </c>
      <c r="B434">
        <v>6.6</v>
      </c>
      <c r="C434" s="8">
        <v>37316.428472222222</v>
      </c>
      <c r="D434">
        <v>0</v>
      </c>
      <c r="E434">
        <v>6</v>
      </c>
      <c r="G434">
        <v>0</v>
      </c>
      <c r="H434">
        <v>670</v>
      </c>
      <c r="I434" t="s">
        <v>22</v>
      </c>
      <c r="J434">
        <v>386</v>
      </c>
      <c r="K434">
        <v>0</v>
      </c>
      <c r="L434">
        <v>0</v>
      </c>
      <c r="M434" t="s">
        <v>829</v>
      </c>
      <c r="N434">
        <v>10</v>
      </c>
      <c r="O434">
        <v>-17.664000000000001</v>
      </c>
      <c r="P434">
        <v>168.00399999999999</v>
      </c>
      <c r="Q434" t="s">
        <v>785</v>
      </c>
      <c r="R434" t="s">
        <v>25</v>
      </c>
      <c r="S434" t="s">
        <v>163</v>
      </c>
      <c r="T434">
        <v>5</v>
      </c>
      <c r="U434">
        <v>6.6</v>
      </c>
      <c r="V434">
        <v>386</v>
      </c>
      <c r="W434">
        <v>0</v>
      </c>
      <c r="X434">
        <v>0</v>
      </c>
      <c r="Y434">
        <v>10</v>
      </c>
      <c r="Z434">
        <v>0</v>
      </c>
      <c r="AA434">
        <v>6</v>
      </c>
      <c r="AB434">
        <v>0</v>
      </c>
      <c r="AC434">
        <v>670</v>
      </c>
      <c r="AD434" s="8">
        <v>37316.428472222222</v>
      </c>
      <c r="AE434" s="8"/>
      <c r="AF434" s="8"/>
    </row>
    <row r="435" spans="1:32">
      <c r="A435" t="s">
        <v>1667</v>
      </c>
      <c r="B435">
        <v>6.6</v>
      </c>
      <c r="C435" s="8">
        <v>37378.560416666667</v>
      </c>
      <c r="D435">
        <v>0</v>
      </c>
      <c r="E435">
        <v>6</v>
      </c>
      <c r="G435">
        <v>0</v>
      </c>
      <c r="H435">
        <v>670</v>
      </c>
      <c r="I435" t="s">
        <v>22</v>
      </c>
      <c r="J435">
        <v>444</v>
      </c>
      <c r="K435">
        <v>0</v>
      </c>
      <c r="L435">
        <v>0</v>
      </c>
      <c r="M435" t="s">
        <v>829</v>
      </c>
      <c r="N435">
        <v>39</v>
      </c>
      <c r="O435">
        <v>-5.3449999999999998</v>
      </c>
      <c r="P435">
        <v>151.24799999999999</v>
      </c>
      <c r="Q435" t="s">
        <v>418</v>
      </c>
      <c r="R435" t="s">
        <v>25</v>
      </c>
      <c r="S435" t="s">
        <v>64</v>
      </c>
      <c r="T435">
        <v>5</v>
      </c>
      <c r="U435">
        <v>6.6</v>
      </c>
      <c r="V435">
        <v>444</v>
      </c>
      <c r="W435">
        <v>0</v>
      </c>
      <c r="X435">
        <v>0</v>
      </c>
      <c r="Y435">
        <v>39</v>
      </c>
      <c r="Z435">
        <v>0</v>
      </c>
      <c r="AA435">
        <v>6</v>
      </c>
      <c r="AB435">
        <v>0</v>
      </c>
      <c r="AC435">
        <v>670</v>
      </c>
      <c r="AD435" s="8">
        <v>37378.560416666667</v>
      </c>
      <c r="AE435" s="8"/>
      <c r="AF435" s="8"/>
    </row>
    <row r="436" spans="1:32">
      <c r="A436" t="s">
        <v>1637</v>
      </c>
      <c r="B436">
        <v>7.6</v>
      </c>
      <c r="C436" s="8">
        <v>37477.780555555553</v>
      </c>
      <c r="D436">
        <v>0</v>
      </c>
      <c r="E436">
        <v>7</v>
      </c>
      <c r="G436">
        <v>0</v>
      </c>
      <c r="H436">
        <v>889</v>
      </c>
      <c r="I436" t="s">
        <v>22</v>
      </c>
      <c r="J436">
        <v>428</v>
      </c>
      <c r="K436">
        <v>0</v>
      </c>
      <c r="L436">
        <v>0</v>
      </c>
      <c r="M436" t="s">
        <v>829</v>
      </c>
      <c r="N436">
        <v>13</v>
      </c>
      <c r="O436">
        <v>-3.302</v>
      </c>
      <c r="P436">
        <v>142.94499999999999</v>
      </c>
      <c r="Q436" t="s">
        <v>956</v>
      </c>
      <c r="R436" t="s">
        <v>25</v>
      </c>
      <c r="S436" t="s">
        <v>64</v>
      </c>
      <c r="T436">
        <v>5</v>
      </c>
      <c r="U436">
        <v>7.6</v>
      </c>
      <c r="V436">
        <v>428</v>
      </c>
      <c r="W436">
        <v>0</v>
      </c>
      <c r="X436">
        <v>0</v>
      </c>
      <c r="Y436">
        <v>13</v>
      </c>
      <c r="Z436">
        <v>0</v>
      </c>
      <c r="AA436">
        <v>7</v>
      </c>
      <c r="AB436">
        <v>0</v>
      </c>
      <c r="AC436">
        <v>889</v>
      </c>
      <c r="AD436" s="8">
        <v>37477.780555555553</v>
      </c>
      <c r="AE436" s="8"/>
      <c r="AF436" s="8"/>
    </row>
    <row r="437" spans="1:32">
      <c r="A437" t="s">
        <v>1670</v>
      </c>
      <c r="B437">
        <v>6.7</v>
      </c>
      <c r="C437" s="8">
        <v>37530.468055555553</v>
      </c>
      <c r="D437">
        <v>0</v>
      </c>
      <c r="E437">
        <v>8</v>
      </c>
      <c r="G437">
        <v>0</v>
      </c>
      <c r="H437">
        <v>691</v>
      </c>
      <c r="I437" t="s">
        <v>22</v>
      </c>
      <c r="J437">
        <v>333</v>
      </c>
      <c r="K437">
        <v>0</v>
      </c>
      <c r="L437">
        <v>0</v>
      </c>
      <c r="M437" t="s">
        <v>829</v>
      </c>
      <c r="N437">
        <v>11</v>
      </c>
      <c r="O437">
        <v>-3.2120000000000002</v>
      </c>
      <c r="P437">
        <v>142.42699999999999</v>
      </c>
      <c r="Q437" t="s">
        <v>956</v>
      </c>
      <c r="R437" t="s">
        <v>25</v>
      </c>
      <c r="S437" t="s">
        <v>64</v>
      </c>
      <c r="T437">
        <v>5</v>
      </c>
      <c r="U437">
        <v>6.7</v>
      </c>
      <c r="V437">
        <v>333</v>
      </c>
      <c r="W437">
        <v>0</v>
      </c>
      <c r="X437">
        <v>0</v>
      </c>
      <c r="Y437">
        <v>11</v>
      </c>
      <c r="Z437">
        <v>0</v>
      </c>
      <c r="AA437">
        <v>8</v>
      </c>
      <c r="AB437">
        <v>0</v>
      </c>
      <c r="AC437">
        <v>691</v>
      </c>
      <c r="AD437" s="8">
        <v>37530.468055555553</v>
      </c>
      <c r="AE437" s="8"/>
      <c r="AF437" s="8"/>
    </row>
    <row r="438" spans="1:32">
      <c r="A438" t="s">
        <v>1626</v>
      </c>
      <c r="B438">
        <v>6.7</v>
      </c>
      <c r="C438" s="8">
        <v>37602.354166666664</v>
      </c>
      <c r="D438">
        <v>0</v>
      </c>
      <c r="E438">
        <v>6</v>
      </c>
      <c r="G438">
        <v>0</v>
      </c>
      <c r="H438">
        <v>691</v>
      </c>
      <c r="I438" t="s">
        <v>22</v>
      </c>
      <c r="J438">
        <v>453</v>
      </c>
      <c r="K438">
        <v>0</v>
      </c>
      <c r="L438">
        <v>0</v>
      </c>
      <c r="M438" t="s">
        <v>36</v>
      </c>
      <c r="N438">
        <v>34</v>
      </c>
      <c r="O438">
        <v>-4.7859999999999996</v>
      </c>
      <c r="P438">
        <v>153.27500000000001</v>
      </c>
      <c r="Q438" t="s">
        <v>1627</v>
      </c>
      <c r="R438" t="s">
        <v>25</v>
      </c>
      <c r="S438" t="s">
        <v>64</v>
      </c>
      <c r="T438">
        <v>5</v>
      </c>
      <c r="U438">
        <v>6.7</v>
      </c>
      <c r="V438">
        <v>453</v>
      </c>
      <c r="W438">
        <v>0</v>
      </c>
      <c r="X438">
        <v>0</v>
      </c>
      <c r="Y438">
        <v>34</v>
      </c>
      <c r="Z438">
        <v>0</v>
      </c>
      <c r="AA438">
        <v>6</v>
      </c>
      <c r="AB438">
        <v>0</v>
      </c>
      <c r="AC438">
        <v>691</v>
      </c>
      <c r="AD438" s="8">
        <v>37602.354166666664</v>
      </c>
      <c r="AE438" s="8"/>
      <c r="AF438" s="8"/>
    </row>
    <row r="439" spans="1:32">
      <c r="A439" t="s">
        <v>1578</v>
      </c>
      <c r="B439">
        <v>6.6</v>
      </c>
      <c r="C439" s="8">
        <v>37783.443055555559</v>
      </c>
      <c r="D439">
        <v>0</v>
      </c>
      <c r="E439">
        <v>5</v>
      </c>
      <c r="G439">
        <v>0</v>
      </c>
      <c r="H439">
        <v>670</v>
      </c>
      <c r="I439" t="s">
        <v>22</v>
      </c>
      <c r="J439">
        <v>475</v>
      </c>
      <c r="K439">
        <v>0</v>
      </c>
      <c r="L439">
        <v>26.2</v>
      </c>
      <c r="M439" t="s">
        <v>36</v>
      </c>
      <c r="N439">
        <v>113.7</v>
      </c>
      <c r="O439">
        <v>-19.262</v>
      </c>
      <c r="P439">
        <v>168.892</v>
      </c>
      <c r="Q439" t="s">
        <v>61</v>
      </c>
      <c r="R439" t="s">
        <v>25</v>
      </c>
      <c r="S439" t="s">
        <v>163</v>
      </c>
      <c r="T439">
        <v>5</v>
      </c>
      <c r="U439">
        <v>6.6</v>
      </c>
      <c r="V439">
        <v>475</v>
      </c>
      <c r="W439">
        <v>0</v>
      </c>
      <c r="X439">
        <v>26.2</v>
      </c>
      <c r="Y439">
        <v>113.7</v>
      </c>
      <c r="Z439">
        <v>0</v>
      </c>
      <c r="AA439">
        <v>5</v>
      </c>
      <c r="AB439">
        <v>0</v>
      </c>
      <c r="AC439">
        <v>670</v>
      </c>
      <c r="AD439" s="8">
        <v>37783.443055555559</v>
      </c>
      <c r="AE439" s="8"/>
      <c r="AF439" s="8"/>
    </row>
    <row r="440" spans="1:32">
      <c r="A440" t="s">
        <v>1605</v>
      </c>
      <c r="B440">
        <v>6.6</v>
      </c>
      <c r="C440" s="8">
        <v>37808.022222222222</v>
      </c>
      <c r="D440">
        <v>0</v>
      </c>
      <c r="E440">
        <v>6</v>
      </c>
      <c r="G440">
        <v>0</v>
      </c>
      <c r="H440">
        <v>670</v>
      </c>
      <c r="I440" t="s">
        <v>22</v>
      </c>
      <c r="J440">
        <v>419</v>
      </c>
      <c r="K440">
        <v>0</v>
      </c>
      <c r="L440">
        <v>27.8</v>
      </c>
      <c r="M440" t="s">
        <v>829</v>
      </c>
      <c r="N440">
        <v>33</v>
      </c>
      <c r="O440">
        <v>-5.0949999999999998</v>
      </c>
      <c r="P440">
        <v>152.50200000000001</v>
      </c>
      <c r="Q440" t="s">
        <v>466</v>
      </c>
      <c r="R440" t="s">
        <v>25</v>
      </c>
      <c r="S440" t="s">
        <v>64</v>
      </c>
      <c r="T440">
        <v>5</v>
      </c>
      <c r="U440">
        <v>6.6</v>
      </c>
      <c r="V440">
        <v>419</v>
      </c>
      <c r="W440">
        <v>0</v>
      </c>
      <c r="X440">
        <v>27.8</v>
      </c>
      <c r="Y440">
        <v>33</v>
      </c>
      <c r="Z440">
        <v>0</v>
      </c>
      <c r="AA440">
        <v>6</v>
      </c>
      <c r="AB440">
        <v>0</v>
      </c>
      <c r="AC440">
        <v>670</v>
      </c>
      <c r="AD440" s="8">
        <v>37808.022222222222</v>
      </c>
      <c r="AE440" s="8"/>
      <c r="AF440" s="8"/>
    </row>
    <row r="441" spans="1:32">
      <c r="A441" t="s">
        <v>1625</v>
      </c>
      <c r="B441">
        <v>6.7</v>
      </c>
      <c r="C441" s="8">
        <v>37895.549305555556</v>
      </c>
      <c r="D441">
        <v>0</v>
      </c>
      <c r="E441">
        <v>5</v>
      </c>
      <c r="G441">
        <v>0</v>
      </c>
      <c r="H441">
        <v>691</v>
      </c>
      <c r="I441" t="s">
        <v>22</v>
      </c>
      <c r="J441">
        <v>323</v>
      </c>
      <c r="K441">
        <v>0</v>
      </c>
      <c r="L441">
        <v>0</v>
      </c>
      <c r="M441" t="s">
        <v>36</v>
      </c>
      <c r="N441">
        <v>71.900000000000006</v>
      </c>
      <c r="O441">
        <v>-5.3109999999999999</v>
      </c>
      <c r="P441">
        <v>153.70099999999999</v>
      </c>
      <c r="Q441" t="s">
        <v>466</v>
      </c>
      <c r="R441" t="s">
        <v>25</v>
      </c>
      <c r="S441" t="s">
        <v>64</v>
      </c>
      <c r="T441">
        <v>5</v>
      </c>
      <c r="U441">
        <v>6.7</v>
      </c>
      <c r="V441">
        <v>323</v>
      </c>
      <c r="W441">
        <v>0</v>
      </c>
      <c r="X441">
        <v>0</v>
      </c>
      <c r="Y441">
        <v>71.900000000000006</v>
      </c>
      <c r="Z441">
        <v>0</v>
      </c>
      <c r="AA441">
        <v>5</v>
      </c>
      <c r="AB441">
        <v>0</v>
      </c>
      <c r="AC441">
        <v>691</v>
      </c>
      <c r="AD441" s="8">
        <v>37895.549305555556</v>
      </c>
      <c r="AE441" s="8"/>
      <c r="AF441" s="8"/>
    </row>
    <row r="442" spans="1:32">
      <c r="A442" t="s">
        <v>1617</v>
      </c>
      <c r="B442">
        <v>6.8</v>
      </c>
      <c r="C442" s="8">
        <v>37928.310416666667</v>
      </c>
      <c r="D442">
        <v>0</v>
      </c>
      <c r="E442">
        <v>7</v>
      </c>
      <c r="G442">
        <v>0</v>
      </c>
      <c r="H442">
        <v>711</v>
      </c>
      <c r="I442" t="s">
        <v>22</v>
      </c>
      <c r="J442">
        <v>431</v>
      </c>
      <c r="K442">
        <v>0</v>
      </c>
      <c r="L442">
        <v>38.4</v>
      </c>
      <c r="M442" t="s">
        <v>829</v>
      </c>
      <c r="N442">
        <v>40.200000000000003</v>
      </c>
      <c r="O442">
        <v>-4.694</v>
      </c>
      <c r="P442">
        <v>153.238</v>
      </c>
      <c r="Q442" t="s">
        <v>466</v>
      </c>
      <c r="R442" t="s">
        <v>25</v>
      </c>
      <c r="S442" t="s">
        <v>64</v>
      </c>
      <c r="T442">
        <v>5</v>
      </c>
      <c r="U442">
        <v>6.8</v>
      </c>
      <c r="V442">
        <v>431</v>
      </c>
      <c r="W442">
        <v>0</v>
      </c>
      <c r="X442">
        <v>38.4</v>
      </c>
      <c r="Y442">
        <v>40.200000000000003</v>
      </c>
      <c r="Z442">
        <v>0</v>
      </c>
      <c r="AA442">
        <v>7</v>
      </c>
      <c r="AB442">
        <v>0</v>
      </c>
      <c r="AC442">
        <v>711</v>
      </c>
      <c r="AD442" s="8">
        <v>37928.310416666667</v>
      </c>
      <c r="AE442" s="8"/>
      <c r="AF442" s="8"/>
    </row>
    <row r="443" spans="1:32">
      <c r="A443" t="s">
        <v>1538</v>
      </c>
      <c r="B443">
        <v>6.8</v>
      </c>
      <c r="C443" s="8">
        <v>38209.352083333331</v>
      </c>
      <c r="D443">
        <v>0</v>
      </c>
      <c r="E443">
        <v>6</v>
      </c>
      <c r="G443">
        <v>0</v>
      </c>
      <c r="H443">
        <v>711</v>
      </c>
      <c r="I443" t="s">
        <v>22</v>
      </c>
      <c r="J443">
        <v>545</v>
      </c>
      <c r="K443">
        <v>0</v>
      </c>
      <c r="L443">
        <v>15.7</v>
      </c>
      <c r="M443" t="s">
        <v>36</v>
      </c>
      <c r="N443">
        <v>36</v>
      </c>
      <c r="O443">
        <v>-10.951000000000001</v>
      </c>
      <c r="P443">
        <v>162.161</v>
      </c>
      <c r="Q443" t="s">
        <v>428</v>
      </c>
      <c r="R443" t="s">
        <v>25</v>
      </c>
      <c r="S443" t="s">
        <v>26</v>
      </c>
      <c r="T443">
        <v>5</v>
      </c>
      <c r="U443">
        <v>6.8</v>
      </c>
      <c r="V443">
        <v>545</v>
      </c>
      <c r="W443">
        <v>0</v>
      </c>
      <c r="X443">
        <v>15.7</v>
      </c>
      <c r="Y443">
        <v>36</v>
      </c>
      <c r="Z443">
        <v>0</v>
      </c>
      <c r="AA443">
        <v>6</v>
      </c>
      <c r="AB443">
        <v>0</v>
      </c>
      <c r="AC443">
        <v>711</v>
      </c>
      <c r="AD443" s="8">
        <v>38209.352083333331</v>
      </c>
      <c r="AE443" s="8"/>
      <c r="AF443" s="8"/>
    </row>
    <row r="444" spans="1:32">
      <c r="A444" t="s">
        <v>1554</v>
      </c>
      <c r="B444">
        <v>6.5</v>
      </c>
      <c r="C444" s="8">
        <v>38234.640972222223</v>
      </c>
      <c r="D444">
        <v>0</v>
      </c>
      <c r="E444">
        <v>4</v>
      </c>
      <c r="G444">
        <v>0</v>
      </c>
      <c r="H444">
        <v>650</v>
      </c>
      <c r="I444" t="s">
        <v>22</v>
      </c>
      <c r="J444">
        <v>424</v>
      </c>
      <c r="K444">
        <v>0</v>
      </c>
      <c r="L444">
        <v>29.9</v>
      </c>
      <c r="M444" t="s">
        <v>36</v>
      </c>
      <c r="N444">
        <v>228.4</v>
      </c>
      <c r="O444">
        <v>-13.173999999999999</v>
      </c>
      <c r="P444">
        <v>167.19800000000001</v>
      </c>
      <c r="Q444" t="s">
        <v>382</v>
      </c>
      <c r="R444" t="s">
        <v>25</v>
      </c>
      <c r="S444" t="s">
        <v>163</v>
      </c>
      <c r="T444">
        <v>5</v>
      </c>
      <c r="U444">
        <v>6.5</v>
      </c>
      <c r="V444">
        <v>424</v>
      </c>
      <c r="W444">
        <v>0</v>
      </c>
      <c r="X444">
        <v>29.9</v>
      </c>
      <c r="Y444">
        <v>228.4</v>
      </c>
      <c r="Z444">
        <v>0</v>
      </c>
      <c r="AA444">
        <v>4</v>
      </c>
      <c r="AB444">
        <v>0</v>
      </c>
      <c r="AC444">
        <v>650</v>
      </c>
      <c r="AD444" s="8">
        <v>38234.640972222223</v>
      </c>
      <c r="AE444" s="8"/>
      <c r="AF444" s="8"/>
    </row>
    <row r="445" spans="1:32">
      <c r="A445" t="s">
        <v>1527</v>
      </c>
      <c r="B445">
        <v>6.7</v>
      </c>
      <c r="C445" s="8">
        <v>38302.731944444444</v>
      </c>
      <c r="D445">
        <v>0</v>
      </c>
      <c r="E445">
        <v>6</v>
      </c>
      <c r="G445">
        <v>0</v>
      </c>
      <c r="H445">
        <v>691</v>
      </c>
      <c r="I445" t="s">
        <v>22</v>
      </c>
      <c r="J445">
        <v>233</v>
      </c>
      <c r="K445">
        <v>0</v>
      </c>
      <c r="L445">
        <v>21.5</v>
      </c>
      <c r="M445" t="s">
        <v>36</v>
      </c>
      <c r="N445">
        <v>10</v>
      </c>
      <c r="O445">
        <v>-11.128</v>
      </c>
      <c r="P445">
        <v>162.208</v>
      </c>
      <c r="Q445" t="s">
        <v>428</v>
      </c>
      <c r="R445" t="s">
        <v>25</v>
      </c>
      <c r="S445" t="s">
        <v>26</v>
      </c>
      <c r="T445">
        <v>5</v>
      </c>
      <c r="U445">
        <v>6.7</v>
      </c>
      <c r="V445">
        <v>233</v>
      </c>
      <c r="W445">
        <v>0</v>
      </c>
      <c r="X445">
        <v>21.5</v>
      </c>
      <c r="Y445">
        <v>10</v>
      </c>
      <c r="Z445">
        <v>0</v>
      </c>
      <c r="AA445">
        <v>6</v>
      </c>
      <c r="AB445">
        <v>0</v>
      </c>
      <c r="AC445">
        <v>691</v>
      </c>
      <c r="AD445" s="8">
        <v>38302.731944444444</v>
      </c>
      <c r="AE445" s="8"/>
      <c r="AF445" s="8"/>
    </row>
    <row r="446" spans="1:32">
      <c r="A446" t="s">
        <v>1494</v>
      </c>
      <c r="B446">
        <v>6.7</v>
      </c>
      <c r="C446" s="8">
        <v>38566.616666666669</v>
      </c>
      <c r="D446">
        <v>0</v>
      </c>
      <c r="E446">
        <v>4</v>
      </c>
      <c r="G446">
        <v>0</v>
      </c>
      <c r="H446">
        <v>691</v>
      </c>
      <c r="I446" t="s">
        <v>22</v>
      </c>
      <c r="J446">
        <v>457</v>
      </c>
      <c r="K446">
        <v>0</v>
      </c>
      <c r="L446">
        <v>30.2</v>
      </c>
      <c r="M446" t="s">
        <v>36</v>
      </c>
      <c r="N446">
        <v>206.3</v>
      </c>
      <c r="O446">
        <v>-14.252000000000001</v>
      </c>
      <c r="P446">
        <v>167.25899999999999</v>
      </c>
      <c r="Q446" t="s">
        <v>382</v>
      </c>
      <c r="R446" t="s">
        <v>25</v>
      </c>
      <c r="S446" t="s">
        <v>163</v>
      </c>
      <c r="T446">
        <v>5</v>
      </c>
      <c r="U446">
        <v>6.7</v>
      </c>
      <c r="V446">
        <v>457</v>
      </c>
      <c r="W446">
        <v>0</v>
      </c>
      <c r="X446">
        <v>30.2</v>
      </c>
      <c r="Y446">
        <v>206.3</v>
      </c>
      <c r="Z446">
        <v>0</v>
      </c>
      <c r="AA446">
        <v>4</v>
      </c>
      <c r="AB446">
        <v>0</v>
      </c>
      <c r="AC446">
        <v>691</v>
      </c>
      <c r="AD446" s="8">
        <v>38566.616666666669</v>
      </c>
      <c r="AE446" s="8"/>
      <c r="AF446" s="8"/>
    </row>
    <row r="447" spans="1:32">
      <c r="A447" t="s">
        <v>1462</v>
      </c>
      <c r="B447">
        <v>7.6</v>
      </c>
      <c r="C447" s="8">
        <v>38604.30972222222</v>
      </c>
      <c r="D447">
        <v>5</v>
      </c>
      <c r="E447">
        <v>7</v>
      </c>
      <c r="G447">
        <v>0</v>
      </c>
      <c r="H447">
        <v>891</v>
      </c>
      <c r="I447" t="s">
        <v>22</v>
      </c>
      <c r="J447">
        <v>502</v>
      </c>
      <c r="K447">
        <v>0</v>
      </c>
      <c r="L447">
        <v>20</v>
      </c>
      <c r="M447" t="s">
        <v>829</v>
      </c>
      <c r="N447">
        <v>90</v>
      </c>
      <c r="O447">
        <v>-4.5389999999999997</v>
      </c>
      <c r="P447">
        <v>153.47399999999999</v>
      </c>
      <c r="Q447" t="s">
        <v>466</v>
      </c>
      <c r="R447" t="s">
        <v>25</v>
      </c>
      <c r="S447" t="s">
        <v>64</v>
      </c>
      <c r="T447">
        <v>5</v>
      </c>
      <c r="U447">
        <v>7.6</v>
      </c>
      <c r="V447">
        <v>502</v>
      </c>
      <c r="W447">
        <v>0</v>
      </c>
      <c r="X447">
        <v>20</v>
      </c>
      <c r="Y447">
        <v>90</v>
      </c>
      <c r="Z447">
        <v>5</v>
      </c>
      <c r="AA447">
        <v>7</v>
      </c>
      <c r="AB447">
        <v>0</v>
      </c>
      <c r="AC447">
        <v>891</v>
      </c>
      <c r="AD447" s="8">
        <v>38604.30972222222</v>
      </c>
      <c r="AE447" s="8"/>
      <c r="AF447" s="8"/>
    </row>
    <row r="448" spans="1:32">
      <c r="A448" t="s">
        <v>1408</v>
      </c>
      <c r="B448">
        <v>6.8</v>
      </c>
      <c r="C448" s="8">
        <v>38726.429166666669</v>
      </c>
      <c r="D448">
        <v>0</v>
      </c>
      <c r="E448">
        <v>6</v>
      </c>
      <c r="G448">
        <v>0</v>
      </c>
      <c r="H448">
        <v>711</v>
      </c>
      <c r="I448" t="s">
        <v>22</v>
      </c>
      <c r="J448">
        <v>459</v>
      </c>
      <c r="K448">
        <v>0</v>
      </c>
      <c r="L448">
        <v>28.4</v>
      </c>
      <c r="M448" t="s">
        <v>36</v>
      </c>
      <c r="N448">
        <v>38</v>
      </c>
      <c r="O448">
        <v>-6.7590000000000003</v>
      </c>
      <c r="P448">
        <v>155.512</v>
      </c>
      <c r="Q448" t="s">
        <v>562</v>
      </c>
      <c r="R448" t="s">
        <v>25</v>
      </c>
      <c r="S448" t="s">
        <v>64</v>
      </c>
      <c r="T448">
        <v>5</v>
      </c>
      <c r="U448">
        <v>6.8</v>
      </c>
      <c r="V448">
        <v>459</v>
      </c>
      <c r="W448">
        <v>0</v>
      </c>
      <c r="X448">
        <v>28.4</v>
      </c>
      <c r="Y448">
        <v>38</v>
      </c>
      <c r="Z448">
        <v>0</v>
      </c>
      <c r="AA448">
        <v>6</v>
      </c>
      <c r="AB448">
        <v>0</v>
      </c>
      <c r="AC448">
        <v>711</v>
      </c>
      <c r="AD448" s="8">
        <v>38726.429166666669</v>
      </c>
      <c r="AE448" s="8"/>
      <c r="AF448" s="8"/>
    </row>
    <row r="449" spans="1:32">
      <c r="A449" t="s">
        <v>1423</v>
      </c>
      <c r="B449">
        <v>8</v>
      </c>
      <c r="C449" s="8">
        <v>38781.643055555556</v>
      </c>
      <c r="D449">
        <v>7</v>
      </c>
      <c r="E449">
        <v>7</v>
      </c>
      <c r="G449">
        <v>0</v>
      </c>
      <c r="H449">
        <v>1013</v>
      </c>
      <c r="I449" t="s">
        <v>22</v>
      </c>
      <c r="J449">
        <v>626</v>
      </c>
      <c r="K449">
        <v>0</v>
      </c>
      <c r="L449">
        <v>20.7</v>
      </c>
      <c r="M449" t="s">
        <v>829</v>
      </c>
      <c r="N449">
        <v>55</v>
      </c>
      <c r="O449">
        <v>-20.187000000000001</v>
      </c>
      <c r="P449">
        <v>-174.12299999999999</v>
      </c>
      <c r="Q449" t="s">
        <v>206</v>
      </c>
      <c r="R449" t="s">
        <v>25</v>
      </c>
      <c r="S449" t="s">
        <v>1022</v>
      </c>
      <c r="T449">
        <v>5</v>
      </c>
      <c r="U449">
        <v>8</v>
      </c>
      <c r="V449">
        <v>626</v>
      </c>
      <c r="W449">
        <v>0</v>
      </c>
      <c r="X449">
        <v>20.7</v>
      </c>
      <c r="Y449">
        <v>55</v>
      </c>
      <c r="Z449">
        <v>7</v>
      </c>
      <c r="AA449">
        <v>7</v>
      </c>
      <c r="AB449">
        <v>0</v>
      </c>
      <c r="AC449">
        <v>1013</v>
      </c>
      <c r="AD449" s="8">
        <v>38781.643055555556</v>
      </c>
      <c r="AE449" s="8"/>
      <c r="AF449" s="8"/>
    </row>
    <row r="450" spans="1:32">
      <c r="A450" t="s">
        <v>1424</v>
      </c>
      <c r="B450">
        <v>8</v>
      </c>
      <c r="C450" s="8">
        <v>38781.643055555556</v>
      </c>
      <c r="D450">
        <v>8</v>
      </c>
      <c r="E450">
        <v>9</v>
      </c>
      <c r="G450">
        <v>0</v>
      </c>
      <c r="H450">
        <v>1026</v>
      </c>
      <c r="I450" t="s">
        <v>1276</v>
      </c>
      <c r="J450">
        <v>0</v>
      </c>
      <c r="K450">
        <v>0</v>
      </c>
      <c r="L450">
        <v>0</v>
      </c>
      <c r="M450" t="s">
        <v>23</v>
      </c>
      <c r="N450">
        <v>60.5</v>
      </c>
      <c r="O450">
        <v>-19.989999999999998</v>
      </c>
      <c r="P450">
        <v>-173.90700000000001</v>
      </c>
      <c r="Q450" t="s">
        <v>206</v>
      </c>
      <c r="R450" t="s">
        <v>25</v>
      </c>
      <c r="S450" t="s">
        <v>1022</v>
      </c>
      <c r="T450">
        <v>5</v>
      </c>
      <c r="U450">
        <v>8</v>
      </c>
      <c r="V450">
        <v>0</v>
      </c>
      <c r="W450">
        <v>0</v>
      </c>
      <c r="X450">
        <v>0</v>
      </c>
      <c r="Y450">
        <v>60.5</v>
      </c>
      <c r="Z450">
        <v>8</v>
      </c>
      <c r="AA450">
        <v>9</v>
      </c>
      <c r="AB450">
        <v>0</v>
      </c>
      <c r="AC450">
        <v>1026</v>
      </c>
      <c r="AD450" s="8">
        <v>38781.643055555556</v>
      </c>
      <c r="AE450" s="8"/>
      <c r="AF450" s="8"/>
    </row>
    <row r="451" spans="1:32">
      <c r="A451" t="s">
        <v>1434</v>
      </c>
      <c r="B451">
        <v>6.5</v>
      </c>
      <c r="C451" s="8">
        <v>38902.354166666664</v>
      </c>
      <c r="D451">
        <v>3</v>
      </c>
      <c r="E451">
        <v>5</v>
      </c>
      <c r="G451">
        <v>0</v>
      </c>
      <c r="H451">
        <v>654</v>
      </c>
      <c r="I451" t="s">
        <v>22</v>
      </c>
      <c r="J451">
        <v>247</v>
      </c>
      <c r="K451">
        <v>0</v>
      </c>
      <c r="L451">
        <v>25.5</v>
      </c>
      <c r="M451" t="s">
        <v>829</v>
      </c>
      <c r="N451">
        <v>14</v>
      </c>
      <c r="O451">
        <v>-16.527000000000001</v>
      </c>
      <c r="P451">
        <v>176.989</v>
      </c>
      <c r="Q451" t="s">
        <v>1435</v>
      </c>
      <c r="R451" t="s">
        <v>25</v>
      </c>
      <c r="S451" t="s">
        <v>31</v>
      </c>
      <c r="T451">
        <v>5</v>
      </c>
      <c r="U451">
        <v>6.5</v>
      </c>
      <c r="V451">
        <v>247</v>
      </c>
      <c r="W451">
        <v>0</v>
      </c>
      <c r="X451">
        <v>25.5</v>
      </c>
      <c r="Y451">
        <v>14</v>
      </c>
      <c r="Z451">
        <v>3</v>
      </c>
      <c r="AA451">
        <v>5</v>
      </c>
      <c r="AB451">
        <v>0</v>
      </c>
      <c r="AC451">
        <v>654</v>
      </c>
      <c r="AD451" s="8">
        <v>38902.354166666664</v>
      </c>
      <c r="AE451" s="8"/>
      <c r="AF451" s="8"/>
    </row>
    <row r="452" spans="1:32">
      <c r="A452" t="s">
        <v>1411</v>
      </c>
      <c r="B452">
        <v>6.8</v>
      </c>
      <c r="C452" s="8">
        <v>38906.929166666669</v>
      </c>
      <c r="D452">
        <v>5</v>
      </c>
      <c r="E452">
        <v>5</v>
      </c>
      <c r="G452">
        <v>0</v>
      </c>
      <c r="H452">
        <v>713</v>
      </c>
      <c r="I452" t="s">
        <v>22</v>
      </c>
      <c r="J452">
        <v>551</v>
      </c>
      <c r="K452">
        <v>0</v>
      </c>
      <c r="L452">
        <v>26.2</v>
      </c>
      <c r="M452" t="s">
        <v>36</v>
      </c>
      <c r="N452">
        <v>150</v>
      </c>
      <c r="O452">
        <v>-15.798</v>
      </c>
      <c r="P452">
        <v>167.78899999999999</v>
      </c>
      <c r="Q452" t="s">
        <v>638</v>
      </c>
      <c r="R452" t="s">
        <v>25</v>
      </c>
      <c r="S452" t="s">
        <v>163</v>
      </c>
      <c r="T452">
        <v>5</v>
      </c>
      <c r="U452">
        <v>6.8</v>
      </c>
      <c r="V452">
        <v>551</v>
      </c>
      <c r="W452">
        <v>0</v>
      </c>
      <c r="X452">
        <v>26.2</v>
      </c>
      <c r="Y452">
        <v>150</v>
      </c>
      <c r="Z452">
        <v>5</v>
      </c>
      <c r="AA452">
        <v>5</v>
      </c>
      <c r="AB452">
        <v>0</v>
      </c>
      <c r="AC452">
        <v>713</v>
      </c>
      <c r="AD452" s="8">
        <v>38906.929166666669</v>
      </c>
      <c r="AE452" s="8"/>
      <c r="AF452" s="8"/>
    </row>
    <row r="453" spans="1:32">
      <c r="A453" t="s">
        <v>1397</v>
      </c>
      <c r="B453">
        <v>6.6</v>
      </c>
      <c r="C453" s="8">
        <v>38909.734722222223</v>
      </c>
      <c r="D453">
        <v>0</v>
      </c>
      <c r="E453">
        <v>6</v>
      </c>
      <c r="G453">
        <v>0</v>
      </c>
      <c r="H453">
        <v>670</v>
      </c>
      <c r="I453" t="s">
        <v>22</v>
      </c>
      <c r="J453">
        <v>352</v>
      </c>
      <c r="K453">
        <v>0</v>
      </c>
      <c r="L453">
        <v>18.600000000000001</v>
      </c>
      <c r="M453" t="s">
        <v>829</v>
      </c>
      <c r="N453">
        <v>11</v>
      </c>
      <c r="O453">
        <v>-6.4820000000000002</v>
      </c>
      <c r="P453">
        <v>151.19499999999999</v>
      </c>
      <c r="Q453" t="s">
        <v>418</v>
      </c>
      <c r="R453" t="s">
        <v>25</v>
      </c>
      <c r="S453" t="s">
        <v>64</v>
      </c>
      <c r="T453">
        <v>5</v>
      </c>
      <c r="U453">
        <v>6.6</v>
      </c>
      <c r="V453">
        <v>352</v>
      </c>
      <c r="W453">
        <v>0</v>
      </c>
      <c r="X453">
        <v>18.600000000000001</v>
      </c>
      <c r="Y453">
        <v>11</v>
      </c>
      <c r="Z453">
        <v>0</v>
      </c>
      <c r="AA453">
        <v>6</v>
      </c>
      <c r="AB453">
        <v>0</v>
      </c>
      <c r="AC453">
        <v>670</v>
      </c>
      <c r="AD453" s="8">
        <v>38909.734722222223</v>
      </c>
      <c r="AE453" s="8"/>
      <c r="AF453" s="8"/>
    </row>
    <row r="454" spans="1:32">
      <c r="A454" t="s">
        <v>1375</v>
      </c>
      <c r="B454">
        <v>8.1</v>
      </c>
      <c r="C454" s="8">
        <v>39086.86041666667</v>
      </c>
      <c r="D454">
        <v>9</v>
      </c>
      <c r="E454">
        <v>8</v>
      </c>
      <c r="G454">
        <v>0</v>
      </c>
      <c r="H454">
        <v>1025</v>
      </c>
      <c r="I454" t="s">
        <v>22</v>
      </c>
      <c r="J454">
        <v>439</v>
      </c>
      <c r="K454">
        <v>0</v>
      </c>
      <c r="L454">
        <v>14.7</v>
      </c>
      <c r="M454" t="s">
        <v>829</v>
      </c>
      <c r="N454">
        <v>24</v>
      </c>
      <c r="O454">
        <v>-8.4659999999999993</v>
      </c>
      <c r="P454">
        <v>157.04300000000001</v>
      </c>
      <c r="Q454" t="s">
        <v>725</v>
      </c>
      <c r="R454" t="s">
        <v>25</v>
      </c>
      <c r="S454" t="s">
        <v>26</v>
      </c>
      <c r="T454">
        <v>5</v>
      </c>
      <c r="U454">
        <v>8.1</v>
      </c>
      <c r="V454">
        <v>439</v>
      </c>
      <c r="W454">
        <v>0</v>
      </c>
      <c r="X454">
        <v>14.7</v>
      </c>
      <c r="Y454">
        <v>24</v>
      </c>
      <c r="Z454">
        <v>9</v>
      </c>
      <c r="AA454">
        <v>8</v>
      </c>
      <c r="AB454">
        <v>0</v>
      </c>
      <c r="AC454">
        <v>1025</v>
      </c>
      <c r="AD454" s="8">
        <v>39086.86041666667</v>
      </c>
      <c r="AE454" s="8"/>
      <c r="AF454" s="8"/>
    </row>
    <row r="455" spans="1:32">
      <c r="A455" t="s">
        <v>1374</v>
      </c>
      <c r="B455">
        <v>6.6</v>
      </c>
      <c r="C455" s="8">
        <v>39086.865972222222</v>
      </c>
      <c r="D455">
        <v>0</v>
      </c>
      <c r="E455">
        <v>7</v>
      </c>
      <c r="G455">
        <v>0</v>
      </c>
      <c r="H455">
        <v>670</v>
      </c>
      <c r="I455" t="s">
        <v>22</v>
      </c>
      <c r="J455">
        <v>251</v>
      </c>
      <c r="K455">
        <v>0</v>
      </c>
      <c r="L455">
        <v>16</v>
      </c>
      <c r="M455" t="s">
        <v>1107</v>
      </c>
      <c r="N455">
        <v>10</v>
      </c>
      <c r="O455">
        <v>-7.1689999999999996</v>
      </c>
      <c r="P455">
        <v>155.77699999999999</v>
      </c>
      <c r="Q455" t="s">
        <v>562</v>
      </c>
      <c r="R455" t="s">
        <v>25</v>
      </c>
      <c r="S455" t="s">
        <v>64</v>
      </c>
      <c r="T455">
        <v>5</v>
      </c>
      <c r="U455">
        <v>6.6</v>
      </c>
      <c r="V455">
        <v>251</v>
      </c>
      <c r="W455">
        <v>0</v>
      </c>
      <c r="X455">
        <v>16</v>
      </c>
      <c r="Y455">
        <v>10</v>
      </c>
      <c r="Z455">
        <v>0</v>
      </c>
      <c r="AA455">
        <v>7</v>
      </c>
      <c r="AB455">
        <v>0</v>
      </c>
      <c r="AC455">
        <v>670</v>
      </c>
      <c r="AD455" s="8">
        <v>39086.865972222222</v>
      </c>
      <c r="AE455" s="8"/>
      <c r="AF455" s="8"/>
    </row>
    <row r="456" spans="1:32">
      <c r="A456" t="s">
        <v>1373</v>
      </c>
      <c r="B456">
        <v>6.9</v>
      </c>
      <c r="C456" s="8">
        <v>39086.882638888892</v>
      </c>
      <c r="D456">
        <v>0</v>
      </c>
      <c r="E456">
        <v>7</v>
      </c>
      <c r="G456">
        <v>0</v>
      </c>
      <c r="H456">
        <v>732</v>
      </c>
      <c r="I456" t="s">
        <v>22</v>
      </c>
      <c r="J456">
        <v>305</v>
      </c>
      <c r="K456">
        <v>0</v>
      </c>
      <c r="L456">
        <v>15.3</v>
      </c>
      <c r="M456" t="s">
        <v>829</v>
      </c>
      <c r="N456">
        <v>10</v>
      </c>
      <c r="O456">
        <v>-7.306</v>
      </c>
      <c r="P456">
        <v>155.74100000000001</v>
      </c>
      <c r="Q456" t="s">
        <v>562</v>
      </c>
      <c r="R456" t="s">
        <v>25</v>
      </c>
      <c r="S456" t="s">
        <v>64</v>
      </c>
      <c r="T456">
        <v>5</v>
      </c>
      <c r="U456">
        <v>6.9</v>
      </c>
      <c r="V456">
        <v>305</v>
      </c>
      <c r="W456">
        <v>0</v>
      </c>
      <c r="X456">
        <v>15.3</v>
      </c>
      <c r="Y456">
        <v>10</v>
      </c>
      <c r="Z456">
        <v>0</v>
      </c>
      <c r="AA456">
        <v>7</v>
      </c>
      <c r="AB456">
        <v>0</v>
      </c>
      <c r="AC456">
        <v>732</v>
      </c>
      <c r="AD456" s="8">
        <v>39086.882638888892</v>
      </c>
      <c r="AE456" s="8"/>
      <c r="AF456" s="8"/>
    </row>
    <row r="457" spans="1:32">
      <c r="A457" t="s">
        <v>1360</v>
      </c>
      <c r="B457">
        <v>7.2</v>
      </c>
      <c r="C457" s="8">
        <v>39090.713888888888</v>
      </c>
      <c r="D457">
        <v>7</v>
      </c>
      <c r="E457">
        <v>7</v>
      </c>
      <c r="G457">
        <v>0</v>
      </c>
      <c r="H457">
        <v>803</v>
      </c>
      <c r="I457" t="s">
        <v>22</v>
      </c>
      <c r="J457">
        <v>494</v>
      </c>
      <c r="K457">
        <v>0</v>
      </c>
      <c r="L457">
        <v>20.399999999999999</v>
      </c>
      <c r="M457" t="s">
        <v>36</v>
      </c>
      <c r="N457">
        <v>120</v>
      </c>
      <c r="O457">
        <v>-15.595000000000001</v>
      </c>
      <c r="P457">
        <v>167.68</v>
      </c>
      <c r="Q457" t="s">
        <v>1361</v>
      </c>
      <c r="R457" t="s">
        <v>25</v>
      </c>
      <c r="S457" t="s">
        <v>163</v>
      </c>
      <c r="T457">
        <v>5</v>
      </c>
      <c r="U457">
        <v>7.2</v>
      </c>
      <c r="V457">
        <v>494</v>
      </c>
      <c r="W457">
        <v>0</v>
      </c>
      <c r="X457">
        <v>20.399999999999999</v>
      </c>
      <c r="Y457">
        <v>120</v>
      </c>
      <c r="Z457">
        <v>7</v>
      </c>
      <c r="AA457">
        <v>7</v>
      </c>
      <c r="AB457">
        <v>0</v>
      </c>
      <c r="AC457">
        <v>803</v>
      </c>
      <c r="AD457" s="8">
        <v>39090.713888888888</v>
      </c>
      <c r="AE457" s="8"/>
      <c r="AF457" s="8"/>
    </row>
    <row r="458" spans="1:32">
      <c r="A458" t="s">
        <v>1352</v>
      </c>
      <c r="B458">
        <v>7.2</v>
      </c>
      <c r="C458" s="8">
        <v>39122.045138888891</v>
      </c>
      <c r="D458">
        <v>0</v>
      </c>
      <c r="E458">
        <v>5</v>
      </c>
      <c r="G458">
        <v>0</v>
      </c>
      <c r="H458">
        <v>798</v>
      </c>
      <c r="I458" t="s">
        <v>22</v>
      </c>
      <c r="J458">
        <v>312</v>
      </c>
      <c r="K458">
        <v>0</v>
      </c>
      <c r="L458">
        <v>21.3</v>
      </c>
      <c r="M458" t="s">
        <v>829</v>
      </c>
      <c r="N458">
        <v>35</v>
      </c>
      <c r="O458">
        <v>-11.61</v>
      </c>
      <c r="P458">
        <v>165.762</v>
      </c>
      <c r="Q458" t="s">
        <v>281</v>
      </c>
      <c r="R458" t="s">
        <v>25</v>
      </c>
      <c r="S458" t="s">
        <v>26</v>
      </c>
      <c r="T458">
        <v>5</v>
      </c>
      <c r="U458">
        <v>7.2</v>
      </c>
      <c r="V458">
        <v>312</v>
      </c>
      <c r="W458">
        <v>0</v>
      </c>
      <c r="X458">
        <v>21.3</v>
      </c>
      <c r="Y458">
        <v>35</v>
      </c>
      <c r="Z458">
        <v>0</v>
      </c>
      <c r="AA458">
        <v>5</v>
      </c>
      <c r="AB458">
        <v>0</v>
      </c>
      <c r="AC458">
        <v>798</v>
      </c>
      <c r="AD458" s="8">
        <v>39122.045138888891</v>
      </c>
      <c r="AE458" s="8"/>
      <c r="AF458" s="8"/>
    </row>
    <row r="459" spans="1:32">
      <c r="A459" t="s">
        <v>1266</v>
      </c>
      <c r="B459">
        <v>6.9</v>
      </c>
      <c r="C459" s="8">
        <v>39669.786111111112</v>
      </c>
      <c r="D459">
        <v>0</v>
      </c>
      <c r="E459">
        <v>6</v>
      </c>
      <c r="G459">
        <v>0</v>
      </c>
      <c r="H459">
        <v>732</v>
      </c>
      <c r="I459" t="s">
        <v>22</v>
      </c>
      <c r="J459">
        <v>531</v>
      </c>
      <c r="K459">
        <v>0</v>
      </c>
      <c r="L459">
        <v>14.9</v>
      </c>
      <c r="M459" t="s">
        <v>829</v>
      </c>
      <c r="N459">
        <v>110</v>
      </c>
      <c r="O459">
        <v>-13.500999999999999</v>
      </c>
      <c r="P459">
        <v>166.96700000000001</v>
      </c>
      <c r="Q459" t="s">
        <v>382</v>
      </c>
      <c r="R459" t="s">
        <v>25</v>
      </c>
      <c r="S459" t="s">
        <v>163</v>
      </c>
      <c r="T459">
        <v>5</v>
      </c>
      <c r="U459">
        <v>6.9</v>
      </c>
      <c r="V459">
        <v>531</v>
      </c>
      <c r="W459">
        <v>0</v>
      </c>
      <c r="X459">
        <v>14.9</v>
      </c>
      <c r="Y459">
        <v>110</v>
      </c>
      <c r="Z459">
        <v>0</v>
      </c>
      <c r="AA459">
        <v>6</v>
      </c>
      <c r="AB459">
        <v>0</v>
      </c>
      <c r="AC459">
        <v>732</v>
      </c>
      <c r="AD459" s="8">
        <v>39669.786111111112</v>
      </c>
      <c r="AE459" s="8"/>
      <c r="AF459" s="8"/>
    </row>
    <row r="460" spans="1:32">
      <c r="A460" t="s">
        <v>1285</v>
      </c>
      <c r="B460">
        <v>7.3</v>
      </c>
      <c r="C460" s="8">
        <v>39695.531944444447</v>
      </c>
      <c r="D460">
        <v>0</v>
      </c>
      <c r="E460">
        <v>6</v>
      </c>
      <c r="G460">
        <v>0</v>
      </c>
      <c r="H460">
        <v>820</v>
      </c>
      <c r="I460" t="s">
        <v>22</v>
      </c>
      <c r="J460">
        <v>486</v>
      </c>
      <c r="K460">
        <v>0</v>
      </c>
      <c r="L460">
        <v>13.4</v>
      </c>
      <c r="M460" t="s">
        <v>829</v>
      </c>
      <c r="N460">
        <v>33</v>
      </c>
      <c r="O460">
        <v>-20.071000000000002</v>
      </c>
      <c r="P460">
        <v>168.892</v>
      </c>
      <c r="Q460" t="s">
        <v>61</v>
      </c>
      <c r="R460" t="s">
        <v>25</v>
      </c>
      <c r="S460" t="s">
        <v>163</v>
      </c>
      <c r="T460">
        <v>5</v>
      </c>
      <c r="U460">
        <v>7.3</v>
      </c>
      <c r="V460">
        <v>486</v>
      </c>
      <c r="W460">
        <v>0</v>
      </c>
      <c r="X460">
        <v>13.4</v>
      </c>
      <c r="Y460">
        <v>33</v>
      </c>
      <c r="Z460">
        <v>0</v>
      </c>
      <c r="AA460">
        <v>6</v>
      </c>
      <c r="AB460">
        <v>0</v>
      </c>
      <c r="AC460">
        <v>820</v>
      </c>
      <c r="AD460" s="8">
        <v>39695.531944444447</v>
      </c>
      <c r="AE460" s="8"/>
      <c r="AF460" s="8"/>
    </row>
    <row r="461" spans="1:32">
      <c r="A461" t="s">
        <v>1220</v>
      </c>
      <c r="B461">
        <v>7.7</v>
      </c>
      <c r="C461" s="8">
        <v>40004.918749999997</v>
      </c>
      <c r="D461">
        <v>4</v>
      </c>
      <c r="E461">
        <v>7</v>
      </c>
      <c r="G461">
        <v>0</v>
      </c>
      <c r="H461">
        <v>916</v>
      </c>
      <c r="I461" t="s">
        <v>22</v>
      </c>
      <c r="J461">
        <v>283</v>
      </c>
      <c r="K461">
        <v>0</v>
      </c>
      <c r="L461">
        <v>23.2</v>
      </c>
      <c r="M461" t="s">
        <v>23</v>
      </c>
      <c r="N461">
        <v>45</v>
      </c>
      <c r="O461">
        <v>-13.006</v>
      </c>
      <c r="P461">
        <v>166.51</v>
      </c>
      <c r="Q461" t="s">
        <v>382</v>
      </c>
      <c r="R461" t="s">
        <v>25</v>
      </c>
      <c r="S461" t="s">
        <v>163</v>
      </c>
      <c r="T461">
        <v>5</v>
      </c>
      <c r="U461">
        <v>7.7</v>
      </c>
      <c r="V461">
        <v>283</v>
      </c>
      <c r="W461">
        <v>0</v>
      </c>
      <c r="X461">
        <v>23.2</v>
      </c>
      <c r="Y461">
        <v>45</v>
      </c>
      <c r="Z461">
        <v>4</v>
      </c>
      <c r="AA461">
        <v>7</v>
      </c>
      <c r="AB461">
        <v>0</v>
      </c>
      <c r="AC461">
        <v>916</v>
      </c>
      <c r="AD461" s="8">
        <v>40004.918749999997</v>
      </c>
      <c r="AE461" s="8"/>
      <c r="AF461" s="8"/>
    </row>
    <row r="462" spans="1:32">
      <c r="A462" t="s">
        <v>1219</v>
      </c>
      <c r="B462">
        <v>7.8</v>
      </c>
      <c r="C462" s="8">
        <v>40004.929166666669</v>
      </c>
      <c r="D462">
        <v>0</v>
      </c>
      <c r="E462">
        <v>6</v>
      </c>
      <c r="G462">
        <v>0</v>
      </c>
      <c r="H462">
        <v>936</v>
      </c>
      <c r="I462" t="s">
        <v>22</v>
      </c>
      <c r="J462">
        <v>195</v>
      </c>
      <c r="K462">
        <v>0</v>
      </c>
      <c r="L462">
        <v>20.3</v>
      </c>
      <c r="M462" t="s">
        <v>829</v>
      </c>
      <c r="N462">
        <v>35</v>
      </c>
      <c r="O462">
        <v>-12.516999999999999</v>
      </c>
      <c r="P462">
        <v>166.38200000000001</v>
      </c>
      <c r="Q462" t="s">
        <v>382</v>
      </c>
      <c r="R462" t="s">
        <v>25</v>
      </c>
      <c r="S462" t="s">
        <v>163</v>
      </c>
      <c r="T462">
        <v>5</v>
      </c>
      <c r="U462">
        <v>7.8</v>
      </c>
      <c r="V462">
        <v>195</v>
      </c>
      <c r="W462">
        <v>0</v>
      </c>
      <c r="X462">
        <v>20.3</v>
      </c>
      <c r="Y462">
        <v>35</v>
      </c>
      <c r="Z462">
        <v>0</v>
      </c>
      <c r="AA462">
        <v>6</v>
      </c>
      <c r="AB462">
        <v>0</v>
      </c>
      <c r="AC462">
        <v>936</v>
      </c>
      <c r="AD462" s="8">
        <v>40004.929166666669</v>
      </c>
      <c r="AE462" s="8"/>
      <c r="AF462" s="8"/>
    </row>
    <row r="463" spans="1:32">
      <c r="A463" t="s">
        <v>1218</v>
      </c>
      <c r="B463">
        <v>7.4</v>
      </c>
      <c r="C463" s="8">
        <v>40004.967361111114</v>
      </c>
      <c r="D463">
        <v>0</v>
      </c>
      <c r="E463">
        <v>7</v>
      </c>
      <c r="G463">
        <v>0</v>
      </c>
      <c r="H463">
        <v>842</v>
      </c>
      <c r="I463" t="s">
        <v>22</v>
      </c>
      <c r="J463">
        <v>314</v>
      </c>
      <c r="K463">
        <v>0</v>
      </c>
      <c r="L463">
        <v>20.2</v>
      </c>
      <c r="M463" t="s">
        <v>829</v>
      </c>
      <c r="N463">
        <v>31.1</v>
      </c>
      <c r="O463">
        <v>-13.093</v>
      </c>
      <c r="P463">
        <v>166.49700000000001</v>
      </c>
      <c r="Q463" t="s">
        <v>382</v>
      </c>
      <c r="R463" t="s">
        <v>25</v>
      </c>
      <c r="S463" t="s">
        <v>163</v>
      </c>
      <c r="T463">
        <v>5</v>
      </c>
      <c r="U463">
        <v>7.4</v>
      </c>
      <c r="V463">
        <v>314</v>
      </c>
      <c r="W463">
        <v>0</v>
      </c>
      <c r="X463">
        <v>20.2</v>
      </c>
      <c r="Y463">
        <v>31.1</v>
      </c>
      <c r="Z463">
        <v>0</v>
      </c>
      <c r="AA463">
        <v>7</v>
      </c>
      <c r="AB463">
        <v>0</v>
      </c>
      <c r="AC463">
        <v>842</v>
      </c>
      <c r="AD463" s="8">
        <v>40004.967361111114</v>
      </c>
      <c r="AE463" s="8"/>
      <c r="AF463" s="8"/>
    </row>
    <row r="464" spans="1:32">
      <c r="A464" t="s">
        <v>1217</v>
      </c>
      <c r="B464">
        <v>6.8</v>
      </c>
      <c r="C464" s="8">
        <v>40035.352777777778</v>
      </c>
      <c r="D464">
        <v>0</v>
      </c>
      <c r="E464">
        <v>5</v>
      </c>
      <c r="G464">
        <v>0</v>
      </c>
      <c r="H464">
        <v>711</v>
      </c>
      <c r="I464" t="s">
        <v>22</v>
      </c>
      <c r="J464">
        <v>174</v>
      </c>
      <c r="K464">
        <v>0</v>
      </c>
      <c r="L464">
        <v>30.2</v>
      </c>
      <c r="M464" t="s">
        <v>829</v>
      </c>
      <c r="N464">
        <v>35</v>
      </c>
      <c r="O464">
        <v>-13.298</v>
      </c>
      <c r="P464">
        <v>165.91</v>
      </c>
      <c r="Q464" t="s">
        <v>382</v>
      </c>
      <c r="R464" t="s">
        <v>25</v>
      </c>
      <c r="S464" t="s">
        <v>163</v>
      </c>
      <c r="T464">
        <v>5</v>
      </c>
      <c r="U464">
        <v>6.8</v>
      </c>
      <c r="V464">
        <v>174</v>
      </c>
      <c r="W464">
        <v>0</v>
      </c>
      <c r="X464">
        <v>30.2</v>
      </c>
      <c r="Y464">
        <v>35</v>
      </c>
      <c r="Z464">
        <v>0</v>
      </c>
      <c r="AA464">
        <v>5</v>
      </c>
      <c r="AB464">
        <v>0</v>
      </c>
      <c r="AC464">
        <v>711</v>
      </c>
      <c r="AD464" s="8">
        <v>40035.352777777778</v>
      </c>
      <c r="AE464" s="8"/>
      <c r="AF464" s="8"/>
    </row>
    <row r="465" spans="1:32">
      <c r="A465" t="s">
        <v>1209</v>
      </c>
      <c r="B465">
        <v>7.3</v>
      </c>
      <c r="C465" s="8">
        <v>40067.447222222225</v>
      </c>
      <c r="D465">
        <v>0</v>
      </c>
      <c r="E465">
        <v>4</v>
      </c>
      <c r="G465">
        <v>0</v>
      </c>
      <c r="H465">
        <v>820</v>
      </c>
      <c r="I465" t="s">
        <v>22</v>
      </c>
      <c r="J465">
        <v>430</v>
      </c>
      <c r="K465">
        <v>0</v>
      </c>
      <c r="L465">
        <v>15</v>
      </c>
      <c r="M465" t="s">
        <v>829</v>
      </c>
      <c r="N465">
        <v>595</v>
      </c>
      <c r="O465">
        <v>-17.239000000000001</v>
      </c>
      <c r="P465">
        <v>178.33099999999999</v>
      </c>
      <c r="Q465" t="s">
        <v>1210</v>
      </c>
      <c r="R465" t="s">
        <v>25</v>
      </c>
      <c r="S465" t="s">
        <v>31</v>
      </c>
      <c r="T465">
        <v>5</v>
      </c>
      <c r="U465">
        <v>7.3</v>
      </c>
      <c r="V465">
        <v>430</v>
      </c>
      <c r="W465">
        <v>0</v>
      </c>
      <c r="X465">
        <v>15</v>
      </c>
      <c r="Y465">
        <v>595</v>
      </c>
      <c r="Z465">
        <v>0</v>
      </c>
      <c r="AA465">
        <v>4</v>
      </c>
      <c r="AB465">
        <v>0</v>
      </c>
      <c r="AC465">
        <v>820</v>
      </c>
      <c r="AD465" s="8">
        <v>40067.447222222225</v>
      </c>
      <c r="AE465" s="8"/>
      <c r="AF465" s="8"/>
    </row>
    <row r="466" spans="1:32">
      <c r="A466" t="s">
        <v>1132</v>
      </c>
      <c r="B466">
        <v>6.6</v>
      </c>
      <c r="C466" s="8">
        <v>40221.133333333331</v>
      </c>
      <c r="D466">
        <v>0</v>
      </c>
      <c r="E466">
        <v>6</v>
      </c>
      <c r="G466">
        <v>0</v>
      </c>
      <c r="H466">
        <v>670</v>
      </c>
      <c r="I466" t="s">
        <v>22</v>
      </c>
      <c r="J466">
        <v>306</v>
      </c>
      <c r="K466">
        <v>0</v>
      </c>
      <c r="L466">
        <v>18.5</v>
      </c>
      <c r="M466" t="s">
        <v>36</v>
      </c>
      <c r="N466">
        <v>33</v>
      </c>
      <c r="O466">
        <v>-6.0010000000000003</v>
      </c>
      <c r="P466">
        <v>149.977</v>
      </c>
      <c r="Q466" t="s">
        <v>609</v>
      </c>
      <c r="R466" t="s">
        <v>25</v>
      </c>
      <c r="S466" t="s">
        <v>64</v>
      </c>
      <c r="T466">
        <v>5</v>
      </c>
      <c r="U466">
        <v>6.6</v>
      </c>
      <c r="V466">
        <v>306</v>
      </c>
      <c r="W466">
        <v>0</v>
      </c>
      <c r="X466">
        <v>18.5</v>
      </c>
      <c r="Y466">
        <v>33</v>
      </c>
      <c r="Z466">
        <v>0</v>
      </c>
      <c r="AA466">
        <v>6</v>
      </c>
      <c r="AB466">
        <v>0</v>
      </c>
      <c r="AC466">
        <v>670</v>
      </c>
      <c r="AD466" s="8">
        <v>40221.133333333331</v>
      </c>
      <c r="AE466" s="8"/>
      <c r="AF466" s="8"/>
    </row>
    <row r="467" spans="1:32">
      <c r="A467" t="s">
        <v>1206</v>
      </c>
      <c r="B467">
        <v>6.6</v>
      </c>
      <c r="C467" s="8">
        <v>40238.908333333333</v>
      </c>
      <c r="D467">
        <v>5</v>
      </c>
      <c r="E467">
        <v>7</v>
      </c>
      <c r="G467">
        <v>0</v>
      </c>
      <c r="H467">
        <v>672</v>
      </c>
      <c r="I467" t="s">
        <v>22</v>
      </c>
      <c r="J467">
        <v>282</v>
      </c>
      <c r="K467">
        <v>0</v>
      </c>
      <c r="L467">
        <v>16.600000000000001</v>
      </c>
      <c r="M467" t="s">
        <v>829</v>
      </c>
      <c r="N467">
        <v>10</v>
      </c>
      <c r="O467">
        <v>-8.7260000000000009</v>
      </c>
      <c r="P467">
        <v>157.48699999999999</v>
      </c>
      <c r="Q467" t="s">
        <v>725</v>
      </c>
      <c r="R467" t="s">
        <v>25</v>
      </c>
      <c r="S467" t="s">
        <v>26</v>
      </c>
      <c r="T467">
        <v>5</v>
      </c>
      <c r="U467">
        <v>6.6</v>
      </c>
      <c r="V467">
        <v>282</v>
      </c>
      <c r="W467">
        <v>0</v>
      </c>
      <c r="X467">
        <v>16.600000000000001</v>
      </c>
      <c r="Y467">
        <v>10</v>
      </c>
      <c r="Z467">
        <v>5</v>
      </c>
      <c r="AA467">
        <v>7</v>
      </c>
      <c r="AB467">
        <v>0</v>
      </c>
      <c r="AC467">
        <v>672</v>
      </c>
      <c r="AD467" s="8">
        <v>40238.908333333333</v>
      </c>
      <c r="AE467" s="8"/>
      <c r="AF467" s="8"/>
    </row>
    <row r="468" spans="1:32">
      <c r="A468" t="s">
        <v>1205</v>
      </c>
      <c r="B468">
        <v>7.1</v>
      </c>
      <c r="C468" s="8">
        <v>40238.941666666666</v>
      </c>
      <c r="D468">
        <v>5</v>
      </c>
      <c r="E468">
        <v>7</v>
      </c>
      <c r="G468">
        <v>0</v>
      </c>
      <c r="H468">
        <v>780</v>
      </c>
      <c r="I468" t="s">
        <v>22</v>
      </c>
      <c r="J468">
        <v>377</v>
      </c>
      <c r="K468">
        <v>0</v>
      </c>
      <c r="L468">
        <v>15</v>
      </c>
      <c r="M468" t="s">
        <v>829</v>
      </c>
      <c r="N468">
        <v>10</v>
      </c>
      <c r="O468">
        <v>-8.7829999999999995</v>
      </c>
      <c r="P468">
        <v>157.35400000000001</v>
      </c>
      <c r="Q468" t="s">
        <v>725</v>
      </c>
      <c r="R468" t="s">
        <v>25</v>
      </c>
      <c r="S468" t="s">
        <v>26</v>
      </c>
      <c r="T468">
        <v>5</v>
      </c>
      <c r="U468">
        <v>7.1</v>
      </c>
      <c r="V468">
        <v>377</v>
      </c>
      <c r="W468">
        <v>0</v>
      </c>
      <c r="X468">
        <v>15</v>
      </c>
      <c r="Y468">
        <v>10</v>
      </c>
      <c r="Z468">
        <v>5</v>
      </c>
      <c r="AA468">
        <v>7</v>
      </c>
      <c r="AB468">
        <v>0</v>
      </c>
      <c r="AC468">
        <v>780</v>
      </c>
      <c r="AD468" s="8">
        <v>40238.941666666666</v>
      </c>
      <c r="AE468" s="8"/>
      <c r="AF468" s="8"/>
    </row>
    <row r="469" spans="1:32">
      <c r="A469" t="s">
        <v>1141</v>
      </c>
      <c r="B469">
        <v>7</v>
      </c>
      <c r="C469" s="8">
        <v>40246.690972222219</v>
      </c>
      <c r="D469">
        <v>8</v>
      </c>
      <c r="E469">
        <v>8</v>
      </c>
      <c r="G469">
        <v>0</v>
      </c>
      <c r="H469">
        <v>1245</v>
      </c>
      <c r="I469" t="s">
        <v>22</v>
      </c>
      <c r="J469">
        <v>365</v>
      </c>
      <c r="K469">
        <v>0</v>
      </c>
      <c r="L469">
        <v>15.8</v>
      </c>
      <c r="M469" t="s">
        <v>829</v>
      </c>
      <c r="N469">
        <v>12</v>
      </c>
      <c r="O469">
        <v>-43.521999999999998</v>
      </c>
      <c r="P469">
        <v>171.83</v>
      </c>
      <c r="Q469" t="s">
        <v>1142</v>
      </c>
      <c r="R469" t="s">
        <v>25</v>
      </c>
      <c r="S469" t="s">
        <v>594</v>
      </c>
      <c r="T469">
        <v>5</v>
      </c>
      <c r="U469">
        <v>7</v>
      </c>
      <c r="V469">
        <v>365</v>
      </c>
      <c r="W469">
        <v>0</v>
      </c>
      <c r="X469">
        <v>15.8</v>
      </c>
      <c r="Y469">
        <v>12</v>
      </c>
      <c r="Z469">
        <v>8</v>
      </c>
      <c r="AA469">
        <v>8</v>
      </c>
      <c r="AB469">
        <v>0</v>
      </c>
      <c r="AC469">
        <v>1245</v>
      </c>
      <c r="AD469" s="8">
        <v>40246.690972222219</v>
      </c>
      <c r="AE469" s="8"/>
      <c r="AF469" s="8"/>
    </row>
    <row r="470" spans="1:32">
      <c r="A470" t="s">
        <v>1191</v>
      </c>
      <c r="B470">
        <v>6.5</v>
      </c>
      <c r="C470" s="8">
        <v>40271.584722222222</v>
      </c>
      <c r="D470">
        <v>0</v>
      </c>
      <c r="E470">
        <v>4</v>
      </c>
      <c r="G470">
        <v>0</v>
      </c>
      <c r="H470">
        <v>650</v>
      </c>
      <c r="I470" t="s">
        <v>22</v>
      </c>
      <c r="J470">
        <v>426</v>
      </c>
      <c r="K470">
        <v>0</v>
      </c>
      <c r="L470">
        <v>18.7</v>
      </c>
      <c r="M470" t="s">
        <v>36</v>
      </c>
      <c r="N470">
        <v>176</v>
      </c>
      <c r="O470">
        <v>-13.571</v>
      </c>
      <c r="P470">
        <v>167.227</v>
      </c>
      <c r="Q470" t="s">
        <v>382</v>
      </c>
      <c r="R470" t="s">
        <v>25</v>
      </c>
      <c r="S470" t="s">
        <v>163</v>
      </c>
      <c r="T470">
        <v>5</v>
      </c>
      <c r="U470">
        <v>6.5</v>
      </c>
      <c r="V470">
        <v>426</v>
      </c>
      <c r="W470">
        <v>0</v>
      </c>
      <c r="X470">
        <v>18.7</v>
      </c>
      <c r="Y470">
        <v>176</v>
      </c>
      <c r="Z470">
        <v>0</v>
      </c>
      <c r="AA470">
        <v>4</v>
      </c>
      <c r="AB470">
        <v>0</v>
      </c>
      <c r="AC470">
        <v>650</v>
      </c>
      <c r="AD470" s="8">
        <v>40271.584722222222</v>
      </c>
      <c r="AE470" s="8"/>
      <c r="AF470" s="8"/>
    </row>
    <row r="471" spans="1:32">
      <c r="A471" t="s">
        <v>1146</v>
      </c>
      <c r="B471">
        <v>6.5</v>
      </c>
      <c r="C471" s="8">
        <v>40276.302083333336</v>
      </c>
      <c r="D471">
        <v>5</v>
      </c>
      <c r="E471">
        <v>4</v>
      </c>
      <c r="G471">
        <v>0</v>
      </c>
      <c r="H471">
        <v>659</v>
      </c>
      <c r="I471" t="s">
        <v>22</v>
      </c>
      <c r="J471">
        <v>403</v>
      </c>
      <c r="K471">
        <v>0</v>
      </c>
      <c r="L471">
        <v>11.1</v>
      </c>
      <c r="M471" t="s">
        <v>829</v>
      </c>
      <c r="N471">
        <v>220</v>
      </c>
      <c r="O471">
        <v>-5.4859999999999998</v>
      </c>
      <c r="P471">
        <v>146.822</v>
      </c>
      <c r="Q471" t="s">
        <v>1147</v>
      </c>
      <c r="R471" t="s">
        <v>25</v>
      </c>
      <c r="S471" t="s">
        <v>64</v>
      </c>
      <c r="T471">
        <v>5</v>
      </c>
      <c r="U471">
        <v>6.5</v>
      </c>
      <c r="V471">
        <v>403</v>
      </c>
      <c r="W471">
        <v>0</v>
      </c>
      <c r="X471">
        <v>11.1</v>
      </c>
      <c r="Y471">
        <v>220</v>
      </c>
      <c r="Z471">
        <v>5</v>
      </c>
      <c r="AA471">
        <v>4</v>
      </c>
      <c r="AB471">
        <v>0</v>
      </c>
      <c r="AC471">
        <v>659</v>
      </c>
      <c r="AD471" s="8">
        <v>40276.302083333336</v>
      </c>
      <c r="AE471" s="8"/>
      <c r="AF471" s="8"/>
    </row>
    <row r="472" spans="1:32">
      <c r="A472" t="s">
        <v>1145</v>
      </c>
      <c r="B472">
        <v>7</v>
      </c>
      <c r="C472" s="8">
        <v>40276.917361111111</v>
      </c>
      <c r="D472">
        <v>4</v>
      </c>
      <c r="E472">
        <v>6</v>
      </c>
      <c r="G472">
        <v>0</v>
      </c>
      <c r="H472">
        <v>757</v>
      </c>
      <c r="I472" t="s">
        <v>22</v>
      </c>
      <c r="J472">
        <v>396</v>
      </c>
      <c r="K472">
        <v>0</v>
      </c>
      <c r="L472">
        <v>12.7</v>
      </c>
      <c r="M472" t="s">
        <v>23</v>
      </c>
      <c r="N472">
        <v>44</v>
      </c>
      <c r="O472">
        <v>-5.7460000000000004</v>
      </c>
      <c r="P472">
        <v>150.76499999999999</v>
      </c>
      <c r="Q472" t="s">
        <v>418</v>
      </c>
      <c r="R472" t="s">
        <v>25</v>
      </c>
      <c r="S472" t="s">
        <v>64</v>
      </c>
      <c r="T472">
        <v>5</v>
      </c>
      <c r="U472">
        <v>7</v>
      </c>
      <c r="V472">
        <v>396</v>
      </c>
      <c r="W472">
        <v>0</v>
      </c>
      <c r="X472">
        <v>12.7</v>
      </c>
      <c r="Y472">
        <v>44</v>
      </c>
      <c r="Z472">
        <v>4</v>
      </c>
      <c r="AA472">
        <v>6</v>
      </c>
      <c r="AB472">
        <v>0</v>
      </c>
      <c r="AC472">
        <v>757</v>
      </c>
      <c r="AD472" s="8">
        <v>40276.917361111111</v>
      </c>
      <c r="AE472" s="8"/>
      <c r="AF472" s="8"/>
    </row>
    <row r="473" spans="1:32">
      <c r="A473" t="s">
        <v>1204</v>
      </c>
      <c r="B473">
        <v>6.8</v>
      </c>
      <c r="C473" s="8">
        <v>40299.510416666664</v>
      </c>
      <c r="D473">
        <v>3</v>
      </c>
      <c r="E473">
        <v>6</v>
      </c>
      <c r="G473">
        <v>0</v>
      </c>
      <c r="H473">
        <v>713</v>
      </c>
      <c r="I473" t="s">
        <v>22</v>
      </c>
      <c r="J473">
        <v>338</v>
      </c>
      <c r="K473">
        <v>0</v>
      </c>
      <c r="L473">
        <v>15</v>
      </c>
      <c r="M473" t="s">
        <v>829</v>
      </c>
      <c r="N473">
        <v>15.4</v>
      </c>
      <c r="O473">
        <v>-9.0190000000000001</v>
      </c>
      <c r="P473">
        <v>157.55099999999999</v>
      </c>
      <c r="Q473" t="s">
        <v>725</v>
      </c>
      <c r="R473" t="s">
        <v>25</v>
      </c>
      <c r="S473" t="s">
        <v>26</v>
      </c>
      <c r="T473">
        <v>5</v>
      </c>
      <c r="U473">
        <v>6.8</v>
      </c>
      <c r="V473">
        <v>338</v>
      </c>
      <c r="W473">
        <v>0</v>
      </c>
      <c r="X473">
        <v>15</v>
      </c>
      <c r="Y473">
        <v>15.4</v>
      </c>
      <c r="Z473">
        <v>3</v>
      </c>
      <c r="AA473">
        <v>6</v>
      </c>
      <c r="AB473">
        <v>0</v>
      </c>
      <c r="AC473">
        <v>713</v>
      </c>
      <c r="AD473" s="8">
        <v>40299.510416666664</v>
      </c>
      <c r="AE473" s="8"/>
      <c r="AF473" s="8"/>
    </row>
    <row r="474" spans="1:32">
      <c r="A474" t="s">
        <v>1144</v>
      </c>
      <c r="B474">
        <v>7.3</v>
      </c>
      <c r="C474" s="8">
        <v>40459.224305555559</v>
      </c>
      <c r="D474">
        <v>7</v>
      </c>
      <c r="E474">
        <v>7</v>
      </c>
      <c r="G474">
        <v>0</v>
      </c>
      <c r="H474">
        <v>850</v>
      </c>
      <c r="I474" t="s">
        <v>22</v>
      </c>
      <c r="J474">
        <v>405</v>
      </c>
      <c r="K474">
        <v>0</v>
      </c>
      <c r="L474">
        <v>20.2</v>
      </c>
      <c r="M474" t="s">
        <v>829</v>
      </c>
      <c r="N474">
        <v>25</v>
      </c>
      <c r="O474">
        <v>-17.541</v>
      </c>
      <c r="P474">
        <v>168.06899999999999</v>
      </c>
      <c r="Q474" t="s">
        <v>785</v>
      </c>
      <c r="R474" t="s">
        <v>25</v>
      </c>
      <c r="S474" t="s">
        <v>163</v>
      </c>
      <c r="T474">
        <v>5</v>
      </c>
      <c r="U474">
        <v>7.3</v>
      </c>
      <c r="V474">
        <v>405</v>
      </c>
      <c r="W474">
        <v>0</v>
      </c>
      <c r="X474">
        <v>20.2</v>
      </c>
      <c r="Y474">
        <v>25</v>
      </c>
      <c r="Z474">
        <v>7</v>
      </c>
      <c r="AA474">
        <v>7</v>
      </c>
      <c r="AB474">
        <v>0</v>
      </c>
      <c r="AC474">
        <v>850</v>
      </c>
      <c r="AD474" s="8">
        <v>40459.224305555559</v>
      </c>
      <c r="AE474" s="8"/>
      <c r="AF474" s="8"/>
    </row>
    <row r="475" spans="1:32">
      <c r="A475" t="s">
        <v>1174</v>
      </c>
      <c r="B475">
        <v>6.9</v>
      </c>
      <c r="C475" s="8">
        <v>40486.402777777781</v>
      </c>
      <c r="D475">
        <v>4</v>
      </c>
      <c r="E475">
        <v>5</v>
      </c>
      <c r="G475">
        <v>0</v>
      </c>
      <c r="H475">
        <v>740</v>
      </c>
      <c r="I475" t="s">
        <v>22</v>
      </c>
      <c r="J475">
        <v>399</v>
      </c>
      <c r="K475">
        <v>0</v>
      </c>
      <c r="L475">
        <v>12.1</v>
      </c>
      <c r="M475" t="s">
        <v>829</v>
      </c>
      <c r="N475">
        <v>21</v>
      </c>
      <c r="O475">
        <v>-10.878</v>
      </c>
      <c r="P475">
        <v>161.11600000000001</v>
      </c>
      <c r="Q475" t="s">
        <v>428</v>
      </c>
      <c r="R475" t="s">
        <v>25</v>
      </c>
      <c r="S475" t="s">
        <v>26</v>
      </c>
      <c r="T475">
        <v>5</v>
      </c>
      <c r="U475">
        <v>6.9</v>
      </c>
      <c r="V475">
        <v>399</v>
      </c>
      <c r="W475">
        <v>0</v>
      </c>
      <c r="X475">
        <v>12.1</v>
      </c>
      <c r="Y475">
        <v>21</v>
      </c>
      <c r="Z475">
        <v>4</v>
      </c>
      <c r="AA475">
        <v>5</v>
      </c>
      <c r="AB475">
        <v>0</v>
      </c>
      <c r="AC475">
        <v>740</v>
      </c>
      <c r="AD475" s="8">
        <v>40486.402777777781</v>
      </c>
      <c r="AE475" s="8"/>
      <c r="AF475" s="8"/>
    </row>
    <row r="476" spans="1:32">
      <c r="A476" t="s">
        <v>1076</v>
      </c>
      <c r="B476">
        <v>7</v>
      </c>
      <c r="C476" s="8">
        <v>40611.954861111109</v>
      </c>
      <c r="D476">
        <v>7</v>
      </c>
      <c r="E476">
        <v>5</v>
      </c>
      <c r="G476">
        <v>0</v>
      </c>
      <c r="H476">
        <v>761</v>
      </c>
      <c r="I476" t="s">
        <v>22</v>
      </c>
      <c r="J476">
        <v>406</v>
      </c>
      <c r="K476">
        <v>0</v>
      </c>
      <c r="L476">
        <v>15.3</v>
      </c>
      <c r="M476" t="s">
        <v>23</v>
      </c>
      <c r="N476">
        <v>185.1</v>
      </c>
      <c r="O476">
        <v>-20.670999999999999</v>
      </c>
      <c r="P476">
        <v>169.71600000000001</v>
      </c>
      <c r="Q476" t="s">
        <v>61</v>
      </c>
      <c r="R476" t="s">
        <v>25</v>
      </c>
      <c r="S476" t="s">
        <v>163</v>
      </c>
      <c r="T476">
        <v>5</v>
      </c>
      <c r="U476">
        <v>7</v>
      </c>
      <c r="V476">
        <v>406</v>
      </c>
      <c r="W476">
        <v>0</v>
      </c>
      <c r="X476">
        <v>15.3</v>
      </c>
      <c r="Y476">
        <v>185.1</v>
      </c>
      <c r="Z476">
        <v>7</v>
      </c>
      <c r="AA476">
        <v>5</v>
      </c>
      <c r="AB476">
        <v>0</v>
      </c>
      <c r="AC476">
        <v>761</v>
      </c>
      <c r="AD476" s="8">
        <v>40611.954861111109</v>
      </c>
      <c r="AE476" s="8"/>
      <c r="AF476" s="8"/>
    </row>
    <row r="477" spans="1:32">
      <c r="A477" t="s">
        <v>1088</v>
      </c>
      <c r="B477">
        <v>7.6</v>
      </c>
      <c r="C477" s="8">
        <v>40701.793749999997</v>
      </c>
      <c r="D477">
        <v>3</v>
      </c>
      <c r="E477">
        <v>7</v>
      </c>
      <c r="G477">
        <v>0</v>
      </c>
      <c r="H477">
        <v>893</v>
      </c>
      <c r="I477" t="s">
        <v>22</v>
      </c>
      <c r="J477">
        <v>567</v>
      </c>
      <c r="K477">
        <v>0</v>
      </c>
      <c r="L477">
        <v>33.5</v>
      </c>
      <c r="M477" t="s">
        <v>23</v>
      </c>
      <c r="N477">
        <v>17</v>
      </c>
      <c r="O477">
        <v>-29.539000000000001</v>
      </c>
      <c r="P477">
        <v>-176.34</v>
      </c>
      <c r="Q477" t="s">
        <v>116</v>
      </c>
      <c r="R477" t="s">
        <v>25</v>
      </c>
      <c r="S477" t="s">
        <v>594</v>
      </c>
      <c r="T477">
        <v>5</v>
      </c>
      <c r="U477">
        <v>7.6</v>
      </c>
      <c r="V477">
        <v>567</v>
      </c>
      <c r="W477">
        <v>0</v>
      </c>
      <c r="X477">
        <v>33.5</v>
      </c>
      <c r="Y477">
        <v>17</v>
      </c>
      <c r="Z477">
        <v>3</v>
      </c>
      <c r="AA477">
        <v>7</v>
      </c>
      <c r="AB477">
        <v>0</v>
      </c>
      <c r="AC477">
        <v>893</v>
      </c>
      <c r="AD477" s="8">
        <v>40701.793749999997</v>
      </c>
      <c r="AE477" s="8"/>
      <c r="AF477" s="8"/>
    </row>
    <row r="478" spans="1:32">
      <c r="A478" t="s">
        <v>1091</v>
      </c>
      <c r="B478">
        <v>6.8</v>
      </c>
      <c r="C478" s="8">
        <v>40821.371527777781</v>
      </c>
      <c r="D478">
        <v>4</v>
      </c>
      <c r="E478">
        <v>5</v>
      </c>
      <c r="G478">
        <v>0</v>
      </c>
      <c r="H478">
        <v>734</v>
      </c>
      <c r="I478" t="s">
        <v>22</v>
      </c>
      <c r="J478">
        <v>519</v>
      </c>
      <c r="K478">
        <v>0</v>
      </c>
      <c r="L478">
        <v>12.5</v>
      </c>
      <c r="M478" t="s">
        <v>23</v>
      </c>
      <c r="N478">
        <v>11</v>
      </c>
      <c r="O478">
        <v>-20.244</v>
      </c>
      <c r="P478">
        <v>168.226</v>
      </c>
      <c r="Q478" t="s">
        <v>1092</v>
      </c>
      <c r="R478" t="s">
        <v>25</v>
      </c>
      <c r="S478" t="s">
        <v>1750</v>
      </c>
      <c r="T478">
        <v>5</v>
      </c>
      <c r="U478">
        <v>6.8</v>
      </c>
      <c r="V478">
        <v>519</v>
      </c>
      <c r="W478">
        <v>0</v>
      </c>
      <c r="X478">
        <v>12.5</v>
      </c>
      <c r="Y478">
        <v>11</v>
      </c>
      <c r="Z478">
        <v>4</v>
      </c>
      <c r="AA478">
        <v>5</v>
      </c>
      <c r="AB478">
        <v>0</v>
      </c>
      <c r="AC478">
        <v>734</v>
      </c>
      <c r="AD478" s="8">
        <v>40821.371527777781</v>
      </c>
      <c r="AE478" s="8"/>
      <c r="AF478" s="8"/>
    </row>
    <row r="479" spans="1:32">
      <c r="A479" t="s">
        <v>1052</v>
      </c>
      <c r="B479">
        <v>7.1</v>
      </c>
      <c r="C479" s="8">
        <v>40941.56527777778</v>
      </c>
      <c r="D479">
        <v>5</v>
      </c>
      <c r="E479">
        <v>5</v>
      </c>
      <c r="G479">
        <v>0</v>
      </c>
      <c r="H479">
        <v>793</v>
      </c>
      <c r="I479" t="s">
        <v>22</v>
      </c>
      <c r="J479">
        <v>573</v>
      </c>
      <c r="K479">
        <v>0</v>
      </c>
      <c r="L479">
        <v>12</v>
      </c>
      <c r="M479" t="s">
        <v>23</v>
      </c>
      <c r="N479">
        <v>23</v>
      </c>
      <c r="O479">
        <v>-17.827000000000002</v>
      </c>
      <c r="P479">
        <v>167.13300000000001</v>
      </c>
      <c r="Q479" t="s">
        <v>785</v>
      </c>
      <c r="R479" t="s">
        <v>25</v>
      </c>
      <c r="S479" t="s">
        <v>163</v>
      </c>
      <c r="T479">
        <v>5</v>
      </c>
      <c r="U479">
        <v>7.1</v>
      </c>
      <c r="V479">
        <v>573</v>
      </c>
      <c r="W479">
        <v>0</v>
      </c>
      <c r="X479">
        <v>12</v>
      </c>
      <c r="Y479">
        <v>23</v>
      </c>
      <c r="Z479">
        <v>5</v>
      </c>
      <c r="AA479">
        <v>5</v>
      </c>
      <c r="AB479">
        <v>0</v>
      </c>
      <c r="AC479">
        <v>793</v>
      </c>
      <c r="AD479" s="8">
        <v>40941.56527777778</v>
      </c>
      <c r="AE479" s="8"/>
      <c r="AF479" s="8"/>
    </row>
    <row r="480" spans="1:32">
      <c r="A480" t="s">
        <v>979</v>
      </c>
      <c r="B480">
        <v>8</v>
      </c>
      <c r="C480" s="8">
        <v>41427.050000000003</v>
      </c>
      <c r="D480">
        <v>8</v>
      </c>
      <c r="E480">
        <v>7</v>
      </c>
      <c r="F480" t="s">
        <v>21</v>
      </c>
      <c r="G480">
        <v>1</v>
      </c>
      <c r="H480">
        <v>993</v>
      </c>
      <c r="I480" t="s">
        <v>22</v>
      </c>
      <c r="J480">
        <v>460</v>
      </c>
      <c r="K480">
        <v>0</v>
      </c>
      <c r="L480">
        <v>20.9</v>
      </c>
      <c r="M480" t="s">
        <v>23</v>
      </c>
      <c r="N480">
        <v>24</v>
      </c>
      <c r="O480">
        <v>-10.798999999999999</v>
      </c>
      <c r="P480">
        <v>165.114</v>
      </c>
      <c r="Q480" t="s">
        <v>281</v>
      </c>
      <c r="R480" t="s">
        <v>25</v>
      </c>
      <c r="S480" t="s">
        <v>26</v>
      </c>
      <c r="T480">
        <v>5</v>
      </c>
      <c r="U480">
        <v>8</v>
      </c>
      <c r="V480">
        <v>460</v>
      </c>
      <c r="W480">
        <v>0</v>
      </c>
      <c r="X480">
        <v>20.9</v>
      </c>
      <c r="Y480">
        <v>24</v>
      </c>
      <c r="Z480">
        <v>8</v>
      </c>
      <c r="AA480">
        <v>7</v>
      </c>
      <c r="AB480">
        <v>1</v>
      </c>
      <c r="AC480">
        <v>993</v>
      </c>
      <c r="AD480" s="8">
        <v>41427.050000000003</v>
      </c>
      <c r="AE480" s="8"/>
      <c r="AF480" s="8"/>
    </row>
    <row r="481" spans="1:32">
      <c r="A481" t="s">
        <v>978</v>
      </c>
      <c r="B481">
        <v>7.1</v>
      </c>
      <c r="C481" s="8">
        <v>41427.057638888888</v>
      </c>
      <c r="D481">
        <v>0</v>
      </c>
      <c r="E481">
        <v>5</v>
      </c>
      <c r="F481" t="s">
        <v>21</v>
      </c>
      <c r="G481">
        <v>0</v>
      </c>
      <c r="H481">
        <v>776</v>
      </c>
      <c r="I481" t="s">
        <v>22</v>
      </c>
      <c r="J481">
        <v>550</v>
      </c>
      <c r="K481">
        <v>0</v>
      </c>
      <c r="L481">
        <v>18.399999999999999</v>
      </c>
      <c r="M481" t="s">
        <v>23</v>
      </c>
      <c r="N481">
        <v>10</v>
      </c>
      <c r="O481">
        <v>-11.183</v>
      </c>
      <c r="P481">
        <v>164.88200000000001</v>
      </c>
      <c r="Q481" t="s">
        <v>281</v>
      </c>
      <c r="R481" t="s">
        <v>25</v>
      </c>
      <c r="S481" t="s">
        <v>26</v>
      </c>
      <c r="T481">
        <v>5</v>
      </c>
      <c r="U481">
        <v>7.1</v>
      </c>
      <c r="V481">
        <v>550</v>
      </c>
      <c r="W481">
        <v>0</v>
      </c>
      <c r="X481">
        <v>18.399999999999999</v>
      </c>
      <c r="Y481">
        <v>10</v>
      </c>
      <c r="Z481">
        <v>0</v>
      </c>
      <c r="AA481">
        <v>5</v>
      </c>
      <c r="AB481">
        <v>0</v>
      </c>
      <c r="AC481">
        <v>776</v>
      </c>
      <c r="AD481" s="8">
        <v>41427.057638888888</v>
      </c>
      <c r="AE481" s="8"/>
      <c r="AF481" s="8"/>
    </row>
    <row r="482" spans="1:32">
      <c r="A482" t="s">
        <v>977</v>
      </c>
      <c r="B482">
        <v>7</v>
      </c>
      <c r="C482" s="8">
        <v>41427.07916666667</v>
      </c>
      <c r="D482">
        <v>0</v>
      </c>
      <c r="E482">
        <v>6</v>
      </c>
      <c r="F482" t="s">
        <v>21</v>
      </c>
      <c r="G482">
        <v>0</v>
      </c>
      <c r="H482">
        <v>754</v>
      </c>
      <c r="I482" t="s">
        <v>22</v>
      </c>
      <c r="J482">
        <v>445</v>
      </c>
      <c r="K482">
        <v>0</v>
      </c>
      <c r="L482">
        <v>17.5</v>
      </c>
      <c r="M482" t="s">
        <v>23</v>
      </c>
      <c r="N482">
        <v>8.8000000000000007</v>
      </c>
      <c r="O482">
        <v>-10.499000000000001</v>
      </c>
      <c r="P482">
        <v>165.58799999999999</v>
      </c>
      <c r="Q482" t="s">
        <v>281</v>
      </c>
      <c r="R482" t="s">
        <v>25</v>
      </c>
      <c r="S482" t="s">
        <v>26</v>
      </c>
      <c r="T482">
        <v>5</v>
      </c>
      <c r="U482">
        <v>7</v>
      </c>
      <c r="V482">
        <v>445</v>
      </c>
      <c r="W482">
        <v>0</v>
      </c>
      <c r="X482">
        <v>17.5</v>
      </c>
      <c r="Y482">
        <v>8.8000000000000007</v>
      </c>
      <c r="Z482">
        <v>0</v>
      </c>
      <c r="AA482">
        <v>6</v>
      </c>
      <c r="AB482">
        <v>0</v>
      </c>
      <c r="AC482">
        <v>754</v>
      </c>
      <c r="AD482" s="8">
        <v>41427.07916666667</v>
      </c>
      <c r="AE482" s="8"/>
      <c r="AF482" s="8"/>
    </row>
    <row r="483" spans="1:32">
      <c r="A483" t="s">
        <v>976</v>
      </c>
      <c r="B483">
        <v>6.7</v>
      </c>
      <c r="C483" s="8">
        <v>41457.790972222225</v>
      </c>
      <c r="D483">
        <v>0</v>
      </c>
      <c r="E483">
        <v>6</v>
      </c>
      <c r="F483" t="s">
        <v>21</v>
      </c>
      <c r="G483">
        <v>1</v>
      </c>
      <c r="H483">
        <v>691</v>
      </c>
      <c r="I483" t="s">
        <v>22</v>
      </c>
      <c r="J483">
        <v>387</v>
      </c>
      <c r="K483">
        <v>0</v>
      </c>
      <c r="L483">
        <v>26.5</v>
      </c>
      <c r="M483" t="s">
        <v>23</v>
      </c>
      <c r="N483">
        <v>11</v>
      </c>
      <c r="O483">
        <v>-10.997</v>
      </c>
      <c r="P483">
        <v>165.655</v>
      </c>
      <c r="Q483" t="s">
        <v>281</v>
      </c>
      <c r="R483" t="s">
        <v>25</v>
      </c>
      <c r="S483" t="s">
        <v>26</v>
      </c>
      <c r="T483">
        <v>5</v>
      </c>
      <c r="U483">
        <v>6.7</v>
      </c>
      <c r="V483">
        <v>387</v>
      </c>
      <c r="W483">
        <v>0</v>
      </c>
      <c r="X483">
        <v>26.5</v>
      </c>
      <c r="Y483">
        <v>11</v>
      </c>
      <c r="Z483">
        <v>0</v>
      </c>
      <c r="AA483">
        <v>6</v>
      </c>
      <c r="AB483">
        <v>1</v>
      </c>
      <c r="AC483">
        <v>691</v>
      </c>
      <c r="AD483" s="8">
        <v>41457.790972222225</v>
      </c>
      <c r="AE483" s="8"/>
      <c r="AF483" s="8"/>
    </row>
    <row r="484" spans="1:32">
      <c r="A484" t="s">
        <v>930</v>
      </c>
      <c r="B484">
        <v>7.3</v>
      </c>
      <c r="C484" s="8">
        <v>41462.774305555555</v>
      </c>
      <c r="D484">
        <v>0</v>
      </c>
      <c r="E484">
        <v>4</v>
      </c>
      <c r="F484" t="s">
        <v>21</v>
      </c>
      <c r="G484">
        <v>1</v>
      </c>
      <c r="H484">
        <v>820</v>
      </c>
      <c r="I484" t="s">
        <v>22</v>
      </c>
      <c r="J484">
        <v>117</v>
      </c>
      <c r="K484">
        <v>0</v>
      </c>
      <c r="L484">
        <v>24</v>
      </c>
      <c r="M484" t="s">
        <v>23</v>
      </c>
      <c r="N484">
        <v>385.5</v>
      </c>
      <c r="O484">
        <v>-3.9169999999999998</v>
      </c>
      <c r="P484">
        <v>153.92699999999999</v>
      </c>
      <c r="Q484" t="s">
        <v>466</v>
      </c>
      <c r="R484" t="s">
        <v>25</v>
      </c>
      <c r="S484" t="s">
        <v>64</v>
      </c>
      <c r="T484">
        <v>5</v>
      </c>
      <c r="U484">
        <v>7.3</v>
      </c>
      <c r="V484">
        <v>117</v>
      </c>
      <c r="W484">
        <v>0</v>
      </c>
      <c r="X484">
        <v>24</v>
      </c>
      <c r="Y484">
        <v>385.5</v>
      </c>
      <c r="Z484">
        <v>0</v>
      </c>
      <c r="AA484">
        <v>4</v>
      </c>
      <c r="AB484">
        <v>1</v>
      </c>
      <c r="AC484">
        <v>820</v>
      </c>
      <c r="AD484" s="8">
        <v>41462.774305555555</v>
      </c>
      <c r="AE484" s="8"/>
      <c r="AF484" s="8"/>
    </row>
    <row r="485" spans="1:32">
      <c r="A485" t="s">
        <v>929</v>
      </c>
      <c r="B485">
        <v>6.6</v>
      </c>
      <c r="C485" s="8">
        <v>41462.854166666664</v>
      </c>
      <c r="D485">
        <v>4</v>
      </c>
      <c r="E485">
        <v>6</v>
      </c>
      <c r="F485" t="s">
        <v>21</v>
      </c>
      <c r="G485">
        <v>0</v>
      </c>
      <c r="H485">
        <v>674</v>
      </c>
      <c r="I485" t="s">
        <v>22</v>
      </c>
      <c r="J485">
        <v>139</v>
      </c>
      <c r="K485">
        <v>0</v>
      </c>
      <c r="L485">
        <v>14</v>
      </c>
      <c r="M485" t="s">
        <v>23</v>
      </c>
      <c r="N485">
        <v>56</v>
      </c>
      <c r="O485">
        <v>-6.0289999999999999</v>
      </c>
      <c r="P485">
        <v>149.70599999999999</v>
      </c>
      <c r="Q485" t="s">
        <v>609</v>
      </c>
      <c r="R485" t="s">
        <v>25</v>
      </c>
      <c r="S485" t="s">
        <v>64</v>
      </c>
      <c r="T485">
        <v>5</v>
      </c>
      <c r="U485">
        <v>6.6</v>
      </c>
      <c r="V485">
        <v>139</v>
      </c>
      <c r="W485">
        <v>0</v>
      </c>
      <c r="X485">
        <v>14</v>
      </c>
      <c r="Y485">
        <v>56</v>
      </c>
      <c r="Z485">
        <v>4</v>
      </c>
      <c r="AA485">
        <v>6</v>
      </c>
      <c r="AB485">
        <v>0</v>
      </c>
      <c r="AC485">
        <v>674</v>
      </c>
      <c r="AD485" s="8">
        <v>41462.854166666664</v>
      </c>
      <c r="AE485" s="8"/>
    </row>
    <row r="486" spans="1:32">
      <c r="A486" t="s">
        <v>975</v>
      </c>
      <c r="B486">
        <v>6.8</v>
      </c>
      <c r="C486" s="8">
        <v>41488.466666666667</v>
      </c>
      <c r="D486">
        <v>0</v>
      </c>
      <c r="E486">
        <v>7</v>
      </c>
      <c r="F486" t="s">
        <v>21</v>
      </c>
      <c r="G486">
        <v>1</v>
      </c>
      <c r="H486">
        <v>711</v>
      </c>
      <c r="I486" t="s">
        <v>22</v>
      </c>
      <c r="J486">
        <v>400</v>
      </c>
      <c r="K486">
        <v>0</v>
      </c>
      <c r="L486">
        <v>17.5</v>
      </c>
      <c r="M486" t="s">
        <v>23</v>
      </c>
      <c r="N486">
        <v>12</v>
      </c>
      <c r="O486">
        <v>-10.837999999999999</v>
      </c>
      <c r="P486">
        <v>165.96899999999999</v>
      </c>
      <c r="Q486" t="s">
        <v>281</v>
      </c>
      <c r="R486" t="s">
        <v>25</v>
      </c>
      <c r="S486" t="s">
        <v>26</v>
      </c>
      <c r="T486">
        <v>5</v>
      </c>
      <c r="U486">
        <v>6.8</v>
      </c>
      <c r="V486">
        <v>400</v>
      </c>
      <c r="W486">
        <v>0</v>
      </c>
      <c r="X486">
        <v>17.5</v>
      </c>
      <c r="Y486">
        <v>12</v>
      </c>
      <c r="Z486">
        <v>0</v>
      </c>
      <c r="AA486">
        <v>7</v>
      </c>
      <c r="AB486">
        <v>1</v>
      </c>
      <c r="AC486">
        <v>711</v>
      </c>
      <c r="AD486" s="8">
        <v>41488.466666666667</v>
      </c>
      <c r="AE486" s="8"/>
    </row>
    <row r="487" spans="1:32">
      <c r="A487" t="s">
        <v>974</v>
      </c>
      <c r="B487">
        <v>7.1</v>
      </c>
      <c r="C487" s="8">
        <v>41488.643055555556</v>
      </c>
      <c r="D487">
        <v>9</v>
      </c>
      <c r="E487">
        <v>6</v>
      </c>
      <c r="F487" t="s">
        <v>21</v>
      </c>
      <c r="G487">
        <v>1</v>
      </c>
      <c r="H487">
        <v>780</v>
      </c>
      <c r="I487" t="s">
        <v>22</v>
      </c>
      <c r="J487">
        <v>334</v>
      </c>
      <c r="K487">
        <v>0</v>
      </c>
      <c r="L487">
        <v>16.5</v>
      </c>
      <c r="M487" t="s">
        <v>23</v>
      </c>
      <c r="N487">
        <v>21</v>
      </c>
      <c r="O487">
        <v>-10.928000000000001</v>
      </c>
      <c r="P487">
        <v>166.018</v>
      </c>
      <c r="Q487" t="s">
        <v>281</v>
      </c>
      <c r="R487" t="s">
        <v>25</v>
      </c>
      <c r="S487" t="s">
        <v>26</v>
      </c>
      <c r="T487">
        <v>5</v>
      </c>
      <c r="U487">
        <v>7.1</v>
      </c>
      <c r="V487">
        <v>334</v>
      </c>
      <c r="W487">
        <v>0</v>
      </c>
      <c r="X487">
        <v>16.5</v>
      </c>
      <c r="Y487">
        <v>21</v>
      </c>
      <c r="Z487">
        <v>9</v>
      </c>
      <c r="AA487">
        <v>6</v>
      </c>
      <c r="AB487">
        <v>1</v>
      </c>
      <c r="AC487">
        <v>780</v>
      </c>
      <c r="AD487" s="8">
        <v>41488.643055555556</v>
      </c>
      <c r="AE487" s="8"/>
    </row>
    <row r="488" spans="1:32">
      <c r="A488" t="s">
        <v>970</v>
      </c>
      <c r="B488">
        <v>6.6</v>
      </c>
      <c r="C488" s="8">
        <v>41519.876388888886</v>
      </c>
      <c r="D488">
        <v>0</v>
      </c>
      <c r="E488">
        <v>6</v>
      </c>
      <c r="F488" t="s">
        <v>21</v>
      </c>
      <c r="G488">
        <v>1</v>
      </c>
      <c r="H488">
        <v>670</v>
      </c>
      <c r="I488" t="s">
        <v>22</v>
      </c>
      <c r="J488">
        <v>421</v>
      </c>
      <c r="K488">
        <v>0</v>
      </c>
      <c r="L488">
        <v>16.600000000000001</v>
      </c>
      <c r="M488" t="s">
        <v>23</v>
      </c>
      <c r="N488">
        <v>18</v>
      </c>
      <c r="O488">
        <v>-10.994</v>
      </c>
      <c r="P488">
        <v>165.74100000000001</v>
      </c>
      <c r="Q488" t="s">
        <v>281</v>
      </c>
      <c r="R488" t="s">
        <v>25</v>
      </c>
      <c r="S488" t="s">
        <v>26</v>
      </c>
      <c r="T488">
        <v>5</v>
      </c>
      <c r="U488">
        <v>6.6</v>
      </c>
      <c r="V488">
        <v>421</v>
      </c>
      <c r="W488">
        <v>0</v>
      </c>
      <c r="X488">
        <v>16.600000000000001</v>
      </c>
      <c r="Y488">
        <v>18</v>
      </c>
      <c r="Z488">
        <v>0</v>
      </c>
      <c r="AA488">
        <v>6</v>
      </c>
      <c r="AB488">
        <v>1</v>
      </c>
      <c r="AC488">
        <v>670</v>
      </c>
      <c r="AD488" s="8">
        <v>41519.876388888886</v>
      </c>
      <c r="AE488" s="8"/>
    </row>
    <row r="489" spans="1:32">
      <c r="A489" t="s">
        <v>963</v>
      </c>
      <c r="B489">
        <v>6.5</v>
      </c>
      <c r="C489" s="8">
        <v>41550.95208333333</v>
      </c>
      <c r="D489">
        <v>0</v>
      </c>
      <c r="E489">
        <v>6</v>
      </c>
      <c r="F489" t="s">
        <v>21</v>
      </c>
      <c r="G489">
        <v>1</v>
      </c>
      <c r="H489">
        <v>650</v>
      </c>
      <c r="I489" t="s">
        <v>22</v>
      </c>
      <c r="J489">
        <v>317</v>
      </c>
      <c r="K489">
        <v>0</v>
      </c>
      <c r="L489">
        <v>14.2</v>
      </c>
      <c r="M489" t="s">
        <v>23</v>
      </c>
      <c r="N489">
        <v>28</v>
      </c>
      <c r="O489">
        <v>-6.5979999999999999</v>
      </c>
      <c r="P489">
        <v>148.17400000000001</v>
      </c>
      <c r="Q489" t="s">
        <v>803</v>
      </c>
      <c r="R489" t="s">
        <v>25</v>
      </c>
      <c r="S489" t="s">
        <v>64</v>
      </c>
      <c r="T489">
        <v>5</v>
      </c>
      <c r="U489">
        <v>6.5</v>
      </c>
      <c r="V489">
        <v>317</v>
      </c>
      <c r="W489">
        <v>0</v>
      </c>
      <c r="X489">
        <v>14.2</v>
      </c>
      <c r="Y489">
        <v>28</v>
      </c>
      <c r="Z489">
        <v>0</v>
      </c>
      <c r="AA489">
        <v>6</v>
      </c>
      <c r="AB489">
        <v>1</v>
      </c>
      <c r="AC489">
        <v>650</v>
      </c>
      <c r="AD489" s="8">
        <v>41550.95208333333</v>
      </c>
      <c r="AE489" s="8"/>
      <c r="AF489" s="8"/>
    </row>
    <row r="490" spans="1:32">
      <c r="A490" t="s">
        <v>878</v>
      </c>
      <c r="B490">
        <v>6.5</v>
      </c>
      <c r="C490" s="8">
        <v>41640.668749999997</v>
      </c>
      <c r="D490">
        <v>0</v>
      </c>
      <c r="E490">
        <v>4</v>
      </c>
      <c r="F490" t="s">
        <v>21</v>
      </c>
      <c r="G490">
        <v>1</v>
      </c>
      <c r="H490">
        <v>650</v>
      </c>
      <c r="I490" t="s">
        <v>22</v>
      </c>
      <c r="J490">
        <v>0</v>
      </c>
      <c r="K490">
        <v>3.9969999999999999</v>
      </c>
      <c r="L490">
        <v>14</v>
      </c>
      <c r="M490" t="s">
        <v>23</v>
      </c>
      <c r="N490">
        <v>187</v>
      </c>
      <c r="O490">
        <v>-13.863300000000001</v>
      </c>
      <c r="P490">
        <v>167.249</v>
      </c>
      <c r="Q490" t="s">
        <v>382</v>
      </c>
      <c r="R490" t="s">
        <v>25</v>
      </c>
      <c r="S490" t="s">
        <v>163</v>
      </c>
      <c r="T490">
        <v>5</v>
      </c>
      <c r="U490">
        <v>6.5</v>
      </c>
      <c r="V490">
        <v>0</v>
      </c>
      <c r="W490">
        <v>3.9969999999999999</v>
      </c>
      <c r="X490">
        <v>14</v>
      </c>
      <c r="Y490">
        <v>187</v>
      </c>
      <c r="Z490">
        <v>0</v>
      </c>
      <c r="AA490">
        <v>4</v>
      </c>
      <c r="AB490">
        <v>1</v>
      </c>
      <c r="AC490">
        <v>650</v>
      </c>
      <c r="AD490" s="8">
        <v>41640.668749999997</v>
      </c>
      <c r="AE490" s="8"/>
      <c r="AF490" s="8"/>
    </row>
    <row r="491" spans="1:32">
      <c r="A491" t="s">
        <v>838</v>
      </c>
      <c r="B491">
        <v>6.6</v>
      </c>
      <c r="C491" s="8">
        <v>41644.275000000001</v>
      </c>
      <c r="D491">
        <v>0</v>
      </c>
      <c r="E491">
        <v>5</v>
      </c>
      <c r="F491" t="s">
        <v>21</v>
      </c>
      <c r="G491">
        <v>1</v>
      </c>
      <c r="H491">
        <v>670</v>
      </c>
      <c r="I491" t="s">
        <v>22</v>
      </c>
      <c r="J491">
        <v>0</v>
      </c>
      <c r="K491">
        <v>3.34</v>
      </c>
      <c r="L491">
        <v>10</v>
      </c>
      <c r="M491" t="s">
        <v>23</v>
      </c>
      <c r="N491">
        <v>106</v>
      </c>
      <c r="O491">
        <v>-21.4542</v>
      </c>
      <c r="P491">
        <v>170.35499999999999</v>
      </c>
      <c r="Q491" t="s">
        <v>61</v>
      </c>
      <c r="R491" t="s">
        <v>25</v>
      </c>
      <c r="S491" t="s">
        <v>163</v>
      </c>
      <c r="T491">
        <v>5</v>
      </c>
      <c r="U491">
        <v>6.6</v>
      </c>
      <c r="V491">
        <v>0</v>
      </c>
      <c r="W491">
        <v>3.34</v>
      </c>
      <c r="X491">
        <v>10</v>
      </c>
      <c r="Y491">
        <v>106</v>
      </c>
      <c r="Z491">
        <v>0</v>
      </c>
      <c r="AA491">
        <v>5</v>
      </c>
      <c r="AB491">
        <v>1</v>
      </c>
      <c r="AC491">
        <v>670</v>
      </c>
      <c r="AD491" s="8">
        <v>41644.275000000001</v>
      </c>
      <c r="AE491" s="8"/>
      <c r="AF491" s="8"/>
    </row>
    <row r="492" spans="1:32">
      <c r="A492" t="s">
        <v>804</v>
      </c>
      <c r="B492">
        <v>7.1</v>
      </c>
      <c r="C492" s="8">
        <v>41650.789583333331</v>
      </c>
      <c r="D492">
        <v>3</v>
      </c>
      <c r="E492">
        <v>6</v>
      </c>
      <c r="F492" t="s">
        <v>21</v>
      </c>
      <c r="G492">
        <v>1</v>
      </c>
      <c r="H492">
        <v>776</v>
      </c>
      <c r="I492" t="s">
        <v>22</v>
      </c>
      <c r="J492">
        <v>0</v>
      </c>
      <c r="K492">
        <v>4.415</v>
      </c>
      <c r="L492">
        <v>13</v>
      </c>
      <c r="M492" t="s">
        <v>23</v>
      </c>
      <c r="N492">
        <v>434</v>
      </c>
      <c r="O492">
        <v>-19.690300000000001</v>
      </c>
      <c r="P492">
        <v>-177.75899999999999</v>
      </c>
      <c r="Q492" t="s">
        <v>612</v>
      </c>
      <c r="R492" t="s">
        <v>25</v>
      </c>
      <c r="S492" t="s">
        <v>31</v>
      </c>
      <c r="T492">
        <v>5</v>
      </c>
      <c r="U492">
        <v>7.1</v>
      </c>
      <c r="V492">
        <v>0</v>
      </c>
      <c r="W492">
        <v>4.415</v>
      </c>
      <c r="X492">
        <v>13</v>
      </c>
      <c r="Y492">
        <v>434</v>
      </c>
      <c r="Z492">
        <v>3</v>
      </c>
      <c r="AA492">
        <v>6</v>
      </c>
      <c r="AB492">
        <v>1</v>
      </c>
      <c r="AC492">
        <v>776</v>
      </c>
      <c r="AD492" s="8">
        <v>41650.789583333331</v>
      </c>
      <c r="AE492" s="8"/>
      <c r="AF492" s="8"/>
    </row>
    <row r="493" spans="1:32">
      <c r="A493" t="s">
        <v>819</v>
      </c>
      <c r="B493">
        <v>6.5</v>
      </c>
      <c r="C493" s="8">
        <v>41736.625</v>
      </c>
      <c r="D493">
        <v>0</v>
      </c>
      <c r="E493">
        <v>4</v>
      </c>
      <c r="F493" t="s">
        <v>21</v>
      </c>
      <c r="G493">
        <v>1</v>
      </c>
      <c r="H493">
        <v>650</v>
      </c>
      <c r="I493" t="s">
        <v>22</v>
      </c>
      <c r="J493">
        <v>0</v>
      </c>
      <c r="K493">
        <v>2.1240000000000001</v>
      </c>
      <c r="L493">
        <v>15</v>
      </c>
      <c r="M493" t="s">
        <v>23</v>
      </c>
      <c r="N493">
        <v>20</v>
      </c>
      <c r="O493">
        <v>-6.2304000000000004</v>
      </c>
      <c r="P493">
        <v>152.80699999999999</v>
      </c>
      <c r="Q493" t="s">
        <v>466</v>
      </c>
      <c r="R493" t="s">
        <v>25</v>
      </c>
      <c r="S493" t="s">
        <v>64</v>
      </c>
      <c r="T493">
        <v>5</v>
      </c>
      <c r="U493">
        <v>6.5</v>
      </c>
      <c r="V493">
        <v>0</v>
      </c>
      <c r="W493">
        <v>2.1240000000000001</v>
      </c>
      <c r="X493">
        <v>15</v>
      </c>
      <c r="Y493">
        <v>20</v>
      </c>
      <c r="Z493">
        <v>0</v>
      </c>
      <c r="AA493">
        <v>4</v>
      </c>
      <c r="AB493">
        <v>1</v>
      </c>
      <c r="AC493">
        <v>650</v>
      </c>
      <c r="AD493" s="8">
        <v>41736.625</v>
      </c>
      <c r="AE493" s="8"/>
      <c r="AF493" s="8"/>
    </row>
    <row r="494" spans="1:32">
      <c r="A494" t="s">
        <v>876</v>
      </c>
      <c r="B494">
        <v>6.5</v>
      </c>
      <c r="C494" s="8">
        <v>41822.361111111109</v>
      </c>
      <c r="D494">
        <v>0</v>
      </c>
      <c r="E494">
        <v>5</v>
      </c>
      <c r="F494" t="s">
        <v>21</v>
      </c>
      <c r="G494">
        <v>1</v>
      </c>
      <c r="H494">
        <v>650</v>
      </c>
      <c r="I494" t="s">
        <v>22</v>
      </c>
      <c r="J494">
        <v>0</v>
      </c>
      <c r="K494">
        <v>0.40899999999999997</v>
      </c>
      <c r="L494">
        <v>20</v>
      </c>
      <c r="M494" t="s">
        <v>23</v>
      </c>
      <c r="N494">
        <v>122</v>
      </c>
      <c r="O494">
        <v>-15.069100000000001</v>
      </c>
      <c r="P494">
        <v>167.37200000000001</v>
      </c>
      <c r="Q494" t="s">
        <v>162</v>
      </c>
      <c r="R494" t="s">
        <v>25</v>
      </c>
      <c r="S494" t="s">
        <v>163</v>
      </c>
      <c r="T494">
        <v>5</v>
      </c>
      <c r="U494">
        <v>6.5</v>
      </c>
      <c r="V494">
        <v>0</v>
      </c>
      <c r="W494">
        <v>0.40899999999999997</v>
      </c>
      <c r="X494">
        <v>20</v>
      </c>
      <c r="Y494">
        <v>122</v>
      </c>
      <c r="Z494">
        <v>0</v>
      </c>
      <c r="AA494">
        <v>5</v>
      </c>
      <c r="AB494">
        <v>1</v>
      </c>
      <c r="AC494">
        <v>650</v>
      </c>
      <c r="AD494" s="8">
        <v>41822.361111111109</v>
      </c>
      <c r="AE494" s="8"/>
      <c r="AF494" s="8"/>
    </row>
    <row r="495" spans="1:32">
      <c r="A495" t="s">
        <v>802</v>
      </c>
      <c r="B495">
        <v>6.6</v>
      </c>
      <c r="C495" s="8">
        <v>41831.147916666669</v>
      </c>
      <c r="D495">
        <v>2</v>
      </c>
      <c r="E495">
        <v>6</v>
      </c>
      <c r="F495" t="s">
        <v>21</v>
      </c>
      <c r="G495">
        <v>1</v>
      </c>
      <c r="H495">
        <v>671</v>
      </c>
      <c r="I495" t="s">
        <v>22</v>
      </c>
      <c r="J495">
        <v>0</v>
      </c>
      <c r="K495">
        <v>3.5569999999999999</v>
      </c>
      <c r="L495">
        <v>13</v>
      </c>
      <c r="M495" t="s">
        <v>23</v>
      </c>
      <c r="N495">
        <v>53.19</v>
      </c>
      <c r="O495">
        <v>-5.9873000000000003</v>
      </c>
      <c r="P495">
        <v>148.232</v>
      </c>
      <c r="Q495" t="s">
        <v>803</v>
      </c>
      <c r="R495" t="s">
        <v>25</v>
      </c>
      <c r="S495" t="s">
        <v>64</v>
      </c>
      <c r="T495">
        <v>5</v>
      </c>
      <c r="U495">
        <v>6.6</v>
      </c>
      <c r="V495">
        <v>0</v>
      </c>
      <c r="W495">
        <v>3.5569999999999999</v>
      </c>
      <c r="X495">
        <v>13</v>
      </c>
      <c r="Y495">
        <v>53.19</v>
      </c>
      <c r="Z495">
        <v>2</v>
      </c>
      <c r="AA495">
        <v>6</v>
      </c>
      <c r="AB495">
        <v>1</v>
      </c>
      <c r="AC495">
        <v>671</v>
      </c>
      <c r="AD495" s="8">
        <v>41831.147916666669</v>
      </c>
      <c r="AE495" s="8"/>
      <c r="AF495" s="8"/>
    </row>
    <row r="496" spans="1:32">
      <c r="A496" t="s">
        <v>789</v>
      </c>
      <c r="B496">
        <v>6.6</v>
      </c>
      <c r="C496" s="8">
        <v>41832.056944444441</v>
      </c>
      <c r="D496">
        <v>1</v>
      </c>
      <c r="E496">
        <v>5</v>
      </c>
      <c r="F496" t="s">
        <v>21</v>
      </c>
      <c r="G496">
        <v>1</v>
      </c>
      <c r="H496">
        <v>670</v>
      </c>
      <c r="I496" t="s">
        <v>22</v>
      </c>
      <c r="J496">
        <v>0</v>
      </c>
      <c r="K496">
        <v>3.246</v>
      </c>
      <c r="L496">
        <v>12</v>
      </c>
      <c r="M496" t="s">
        <v>23</v>
      </c>
      <c r="N496">
        <v>23</v>
      </c>
      <c r="O496">
        <v>-6.5107999999999997</v>
      </c>
      <c r="P496">
        <v>154.46</v>
      </c>
      <c r="Q496" t="s">
        <v>562</v>
      </c>
      <c r="R496" t="s">
        <v>25</v>
      </c>
      <c r="S496" t="s">
        <v>64</v>
      </c>
      <c r="T496">
        <v>5</v>
      </c>
      <c r="U496">
        <v>6.6</v>
      </c>
      <c r="V496">
        <v>0</v>
      </c>
      <c r="W496">
        <v>3.246</v>
      </c>
      <c r="X496">
        <v>12</v>
      </c>
      <c r="Y496">
        <v>23</v>
      </c>
      <c r="Z496">
        <v>1</v>
      </c>
      <c r="AA496">
        <v>5</v>
      </c>
      <c r="AB496">
        <v>1</v>
      </c>
      <c r="AC496">
        <v>670</v>
      </c>
      <c r="AD496" s="8">
        <v>41832.056944444441</v>
      </c>
      <c r="AE496" s="8"/>
      <c r="AF496" s="8"/>
    </row>
    <row r="497" spans="1:32">
      <c r="A497" t="s">
        <v>858</v>
      </c>
      <c r="B497">
        <v>7.1</v>
      </c>
      <c r="C497" s="8">
        <v>41947.296527777777</v>
      </c>
      <c r="D497">
        <v>0</v>
      </c>
      <c r="E497">
        <v>7</v>
      </c>
      <c r="F497" t="s">
        <v>21</v>
      </c>
      <c r="G497">
        <v>1</v>
      </c>
      <c r="H497">
        <v>776</v>
      </c>
      <c r="I497" t="s">
        <v>22</v>
      </c>
      <c r="J497">
        <v>0</v>
      </c>
      <c r="K497">
        <v>3.7290000000000001</v>
      </c>
      <c r="L497">
        <v>21</v>
      </c>
      <c r="M497" t="s">
        <v>23</v>
      </c>
      <c r="N497">
        <v>60.53</v>
      </c>
      <c r="O497">
        <v>-6.5857999999999999</v>
      </c>
      <c r="P497">
        <v>155.048</v>
      </c>
      <c r="Q497" t="s">
        <v>562</v>
      </c>
      <c r="R497" t="s">
        <v>25</v>
      </c>
      <c r="S497" t="s">
        <v>64</v>
      </c>
      <c r="T497">
        <v>5</v>
      </c>
      <c r="U497">
        <v>7.1</v>
      </c>
      <c r="V497">
        <v>0</v>
      </c>
      <c r="W497">
        <v>3.7290000000000001</v>
      </c>
      <c r="X497">
        <v>21</v>
      </c>
      <c r="Y497">
        <v>60.53</v>
      </c>
      <c r="Z497">
        <v>0</v>
      </c>
      <c r="AA497">
        <v>7</v>
      </c>
      <c r="AB497">
        <v>1</v>
      </c>
      <c r="AC497">
        <v>776</v>
      </c>
      <c r="AD497" s="8">
        <v>41947.296527777777</v>
      </c>
      <c r="AE497" s="8"/>
      <c r="AF497" s="8"/>
    </row>
    <row r="498" spans="1:32">
      <c r="A498" t="s">
        <v>857</v>
      </c>
      <c r="B498">
        <v>6.5</v>
      </c>
      <c r="C498" s="8">
        <v>41947.344444444447</v>
      </c>
      <c r="D498">
        <v>0</v>
      </c>
      <c r="E498">
        <v>6</v>
      </c>
      <c r="F498" t="s">
        <v>21</v>
      </c>
      <c r="G498">
        <v>1</v>
      </c>
      <c r="H498">
        <v>650</v>
      </c>
      <c r="I498" t="s">
        <v>22</v>
      </c>
      <c r="J498">
        <v>0</v>
      </c>
      <c r="K498">
        <v>3.7869999999999999</v>
      </c>
      <c r="L498">
        <v>16</v>
      </c>
      <c r="M498" t="s">
        <v>23</v>
      </c>
      <c r="N498">
        <v>20</v>
      </c>
      <c r="O498">
        <v>-6.7877999999999998</v>
      </c>
      <c r="P498">
        <v>154.94999999999999</v>
      </c>
      <c r="Q498" t="s">
        <v>562</v>
      </c>
      <c r="R498" t="s">
        <v>25</v>
      </c>
      <c r="S498" t="s">
        <v>64</v>
      </c>
      <c r="T498">
        <v>5</v>
      </c>
      <c r="U498">
        <v>6.5</v>
      </c>
      <c r="V498">
        <v>0</v>
      </c>
      <c r="W498">
        <v>3.7869999999999999</v>
      </c>
      <c r="X498">
        <v>16</v>
      </c>
      <c r="Y498">
        <v>20</v>
      </c>
      <c r="Z498">
        <v>0</v>
      </c>
      <c r="AA498">
        <v>6</v>
      </c>
      <c r="AB498">
        <v>1</v>
      </c>
      <c r="AC498">
        <v>650</v>
      </c>
      <c r="AD498" s="8">
        <v>41947.344444444447</v>
      </c>
      <c r="AE498" s="8"/>
      <c r="AF498" s="8"/>
    </row>
    <row r="499" spans="1:32">
      <c r="A499" t="s">
        <v>853</v>
      </c>
      <c r="B499">
        <v>7.6</v>
      </c>
      <c r="C499" s="8">
        <v>41977.843055555553</v>
      </c>
      <c r="D499">
        <v>0</v>
      </c>
      <c r="E499">
        <v>7</v>
      </c>
      <c r="F499" t="s">
        <v>21</v>
      </c>
      <c r="G499">
        <v>1</v>
      </c>
      <c r="H499">
        <v>889</v>
      </c>
      <c r="I499" t="s">
        <v>22</v>
      </c>
      <c r="J499">
        <v>0</v>
      </c>
      <c r="K499">
        <v>2.8279999999999998</v>
      </c>
      <c r="L499">
        <v>13</v>
      </c>
      <c r="M499" t="s">
        <v>23</v>
      </c>
      <c r="N499">
        <v>22.56</v>
      </c>
      <c r="O499">
        <v>-11.270099999999999</v>
      </c>
      <c r="P499">
        <v>162.148</v>
      </c>
      <c r="Q499" t="s">
        <v>428</v>
      </c>
      <c r="R499" t="s">
        <v>25</v>
      </c>
      <c r="S499" t="s">
        <v>26</v>
      </c>
      <c r="T499">
        <v>5</v>
      </c>
      <c r="U499">
        <v>7.6</v>
      </c>
      <c r="V499">
        <v>0</v>
      </c>
      <c r="W499">
        <v>2.8279999999999998</v>
      </c>
      <c r="X499">
        <v>13</v>
      </c>
      <c r="Y499">
        <v>22.56</v>
      </c>
      <c r="Z499">
        <v>0</v>
      </c>
      <c r="AA499">
        <v>7</v>
      </c>
      <c r="AB499">
        <v>1</v>
      </c>
      <c r="AC499">
        <v>889</v>
      </c>
      <c r="AD499" s="8">
        <v>41977.843055555553</v>
      </c>
      <c r="AE499" s="8"/>
      <c r="AF499" s="8"/>
    </row>
    <row r="500" spans="1:32">
      <c r="A500" t="s">
        <v>759</v>
      </c>
      <c r="B500">
        <v>6.8</v>
      </c>
      <c r="C500" s="8">
        <v>42009.337500000001</v>
      </c>
      <c r="D500">
        <v>5</v>
      </c>
      <c r="E500">
        <v>6</v>
      </c>
      <c r="F500" t="s">
        <v>21</v>
      </c>
      <c r="G500">
        <v>1</v>
      </c>
      <c r="H500">
        <v>714</v>
      </c>
      <c r="I500" t="s">
        <v>22</v>
      </c>
      <c r="J500">
        <v>0</v>
      </c>
      <c r="K500">
        <v>1.0740000000000001</v>
      </c>
      <c r="L500">
        <v>23</v>
      </c>
      <c r="M500" t="s">
        <v>23</v>
      </c>
      <c r="N500">
        <v>44</v>
      </c>
      <c r="O500">
        <v>-5.2004999999999999</v>
      </c>
      <c r="P500">
        <v>151.77699999999999</v>
      </c>
      <c r="Q500" t="s">
        <v>466</v>
      </c>
      <c r="R500" t="s">
        <v>25</v>
      </c>
      <c r="S500" t="s">
        <v>64</v>
      </c>
      <c r="T500">
        <v>5</v>
      </c>
      <c r="U500">
        <v>6.8</v>
      </c>
      <c r="V500">
        <v>0</v>
      </c>
      <c r="W500">
        <v>1.0740000000000001</v>
      </c>
      <c r="X500">
        <v>23</v>
      </c>
      <c r="Y500">
        <v>44</v>
      </c>
      <c r="Z500">
        <v>5</v>
      </c>
      <c r="AA500">
        <v>6</v>
      </c>
      <c r="AB500">
        <v>1</v>
      </c>
      <c r="AC500">
        <v>714</v>
      </c>
      <c r="AD500" s="8">
        <v>42009.337500000001</v>
      </c>
      <c r="AE500" s="8"/>
      <c r="AF500" s="8"/>
    </row>
    <row r="501" spans="1:32">
      <c r="A501" t="s">
        <v>758</v>
      </c>
      <c r="B501">
        <v>7.5</v>
      </c>
      <c r="C501" s="8">
        <v>42129.072222222225</v>
      </c>
      <c r="D501">
        <v>7</v>
      </c>
      <c r="E501">
        <v>8</v>
      </c>
      <c r="F501" t="s">
        <v>21</v>
      </c>
      <c r="G501">
        <v>1</v>
      </c>
      <c r="H501">
        <v>869</v>
      </c>
      <c r="I501" t="s">
        <v>22</v>
      </c>
      <c r="J501">
        <v>0</v>
      </c>
      <c r="K501">
        <v>1.2949999999999999</v>
      </c>
      <c r="L501">
        <v>22</v>
      </c>
      <c r="M501" t="s">
        <v>23</v>
      </c>
      <c r="N501">
        <v>55</v>
      </c>
      <c r="O501">
        <v>-5.4623999999999997</v>
      </c>
      <c r="P501">
        <v>151.875</v>
      </c>
      <c r="Q501" t="s">
        <v>466</v>
      </c>
      <c r="R501" t="s">
        <v>25</v>
      </c>
      <c r="S501" t="s">
        <v>64</v>
      </c>
      <c r="T501">
        <v>5</v>
      </c>
      <c r="U501">
        <v>7.5</v>
      </c>
      <c r="V501">
        <v>0</v>
      </c>
      <c r="W501">
        <v>1.2949999999999999</v>
      </c>
      <c r="X501">
        <v>22</v>
      </c>
      <c r="Y501">
        <v>55</v>
      </c>
      <c r="Z501">
        <v>7</v>
      </c>
      <c r="AA501">
        <v>8</v>
      </c>
      <c r="AB501">
        <v>1</v>
      </c>
      <c r="AC501">
        <v>869</v>
      </c>
      <c r="AD501" s="8">
        <v>42129.072222222225</v>
      </c>
      <c r="AE501" s="8"/>
      <c r="AF501" s="8"/>
    </row>
    <row r="502" spans="1:32">
      <c r="A502" t="s">
        <v>757</v>
      </c>
      <c r="B502">
        <v>7.1</v>
      </c>
      <c r="C502" s="8">
        <v>42190.298611111109</v>
      </c>
      <c r="D502">
        <v>1</v>
      </c>
      <c r="E502">
        <v>6</v>
      </c>
      <c r="F502" t="s">
        <v>21</v>
      </c>
      <c r="G502">
        <v>1</v>
      </c>
      <c r="H502">
        <v>776</v>
      </c>
      <c r="I502" t="s">
        <v>22</v>
      </c>
      <c r="J502">
        <v>0</v>
      </c>
      <c r="K502">
        <v>3.835</v>
      </c>
      <c r="L502">
        <v>11</v>
      </c>
      <c r="M502" t="s">
        <v>23</v>
      </c>
      <c r="N502">
        <v>10</v>
      </c>
      <c r="O502">
        <v>-7.2175000000000002</v>
      </c>
      <c r="P502">
        <v>154.55699999999999</v>
      </c>
      <c r="Q502" t="s">
        <v>562</v>
      </c>
      <c r="R502" t="s">
        <v>25</v>
      </c>
      <c r="S502" t="s">
        <v>64</v>
      </c>
      <c r="T502">
        <v>5</v>
      </c>
      <c r="U502">
        <v>7.1</v>
      </c>
      <c r="V502">
        <v>0</v>
      </c>
      <c r="W502">
        <v>3.835</v>
      </c>
      <c r="X502">
        <v>11</v>
      </c>
      <c r="Y502">
        <v>10</v>
      </c>
      <c r="Z502">
        <v>1</v>
      </c>
      <c r="AA502">
        <v>6</v>
      </c>
      <c r="AB502">
        <v>1</v>
      </c>
      <c r="AC502">
        <v>776</v>
      </c>
      <c r="AD502" s="8">
        <v>42190.298611111109</v>
      </c>
      <c r="AE502" s="8"/>
      <c r="AF502" s="8"/>
    </row>
    <row r="503" spans="1:32">
      <c r="A503" t="s">
        <v>738</v>
      </c>
      <c r="B503">
        <v>6.7</v>
      </c>
      <c r="C503" s="8">
        <v>42284.175000000003</v>
      </c>
      <c r="D503">
        <v>4</v>
      </c>
      <c r="E503">
        <v>5</v>
      </c>
      <c r="F503" t="s">
        <v>21</v>
      </c>
      <c r="G503">
        <v>1</v>
      </c>
      <c r="H503">
        <v>691</v>
      </c>
      <c r="I503" t="s">
        <v>22</v>
      </c>
      <c r="J503">
        <v>0</v>
      </c>
      <c r="K503">
        <v>1.5289999999999999</v>
      </c>
      <c r="L503">
        <v>11</v>
      </c>
      <c r="M503" t="s">
        <v>23</v>
      </c>
      <c r="N503">
        <v>12</v>
      </c>
      <c r="O503">
        <v>-9.3070000000000004</v>
      </c>
      <c r="P503">
        <v>158.40299999999999</v>
      </c>
      <c r="Q503" t="s">
        <v>24</v>
      </c>
      <c r="R503" t="s">
        <v>25</v>
      </c>
      <c r="S503" t="s">
        <v>26</v>
      </c>
      <c r="T503">
        <v>5</v>
      </c>
      <c r="U503">
        <v>6.7</v>
      </c>
      <c r="V503">
        <v>0</v>
      </c>
      <c r="W503">
        <v>1.5289999999999999</v>
      </c>
      <c r="X503">
        <v>11</v>
      </c>
      <c r="Y503">
        <v>12</v>
      </c>
      <c r="Z503">
        <v>4</v>
      </c>
      <c r="AA503">
        <v>5</v>
      </c>
      <c r="AB503">
        <v>1</v>
      </c>
      <c r="AC503">
        <v>691</v>
      </c>
      <c r="AD503" s="8">
        <v>42284.175000000003</v>
      </c>
      <c r="AE503" s="8"/>
    </row>
    <row r="504" spans="1:32">
      <c r="A504" t="s">
        <v>726</v>
      </c>
      <c r="B504">
        <v>6.6</v>
      </c>
      <c r="C504" s="8">
        <v>42285.175000000003</v>
      </c>
      <c r="D504">
        <v>3</v>
      </c>
      <c r="E504">
        <v>5</v>
      </c>
      <c r="F504" t="s">
        <v>21</v>
      </c>
      <c r="G504">
        <v>1</v>
      </c>
      <c r="H504">
        <v>671</v>
      </c>
      <c r="I504" t="s">
        <v>22</v>
      </c>
      <c r="J504">
        <v>0</v>
      </c>
      <c r="K504">
        <v>1.8720000000000001</v>
      </c>
      <c r="L504">
        <v>20</v>
      </c>
      <c r="M504" t="s">
        <v>23</v>
      </c>
      <c r="N504">
        <v>22</v>
      </c>
      <c r="O504">
        <v>-9.3437999999999999</v>
      </c>
      <c r="P504">
        <v>158.053</v>
      </c>
      <c r="Q504" t="s">
        <v>24</v>
      </c>
      <c r="R504" t="s">
        <v>25</v>
      </c>
      <c r="S504" t="s">
        <v>26</v>
      </c>
      <c r="T504">
        <v>5</v>
      </c>
      <c r="U504">
        <v>6.6</v>
      </c>
      <c r="V504">
        <v>0</v>
      </c>
      <c r="W504">
        <v>1.8720000000000001</v>
      </c>
      <c r="X504">
        <v>20</v>
      </c>
      <c r="Y504">
        <v>22</v>
      </c>
      <c r="Z504">
        <v>3</v>
      </c>
      <c r="AA504">
        <v>5</v>
      </c>
      <c r="AB504">
        <v>1</v>
      </c>
      <c r="AC504">
        <v>671</v>
      </c>
      <c r="AD504" s="8">
        <v>42285.175000000003</v>
      </c>
      <c r="AE504" s="8"/>
      <c r="AF504" s="8"/>
    </row>
    <row r="505" spans="1:32">
      <c r="A505" t="s">
        <v>724</v>
      </c>
      <c r="B505">
        <v>6.5</v>
      </c>
      <c r="C505" s="8">
        <v>42346.78402777778</v>
      </c>
      <c r="D505">
        <v>0</v>
      </c>
      <c r="E505">
        <v>5</v>
      </c>
      <c r="F505" t="s">
        <v>21</v>
      </c>
      <c r="G505">
        <v>1</v>
      </c>
      <c r="H505">
        <v>650</v>
      </c>
      <c r="I505" t="s">
        <v>22</v>
      </c>
      <c r="J505">
        <v>0</v>
      </c>
      <c r="K505">
        <v>2.0449999999999999</v>
      </c>
      <c r="L505">
        <v>16</v>
      </c>
      <c r="M505" t="s">
        <v>23</v>
      </c>
      <c r="N505">
        <v>6.43</v>
      </c>
      <c r="O505">
        <v>-9.3292999999999999</v>
      </c>
      <c r="P505">
        <v>157.87700000000001</v>
      </c>
      <c r="Q505" t="s">
        <v>725</v>
      </c>
      <c r="R505" t="s">
        <v>25</v>
      </c>
      <c r="S505" t="s">
        <v>26</v>
      </c>
      <c r="T505">
        <v>5</v>
      </c>
      <c r="U505">
        <v>6.5</v>
      </c>
      <c r="V505">
        <v>0</v>
      </c>
      <c r="W505">
        <v>2.0449999999999999</v>
      </c>
      <c r="X505">
        <v>16</v>
      </c>
      <c r="Y505">
        <v>6.43</v>
      </c>
      <c r="Z505">
        <v>0</v>
      </c>
      <c r="AA505">
        <v>5</v>
      </c>
      <c r="AB505">
        <v>1</v>
      </c>
      <c r="AC505">
        <v>650</v>
      </c>
      <c r="AD505" s="8">
        <v>42346.78402777778</v>
      </c>
      <c r="AE505" s="8"/>
      <c r="AF505" s="8"/>
    </row>
    <row r="506" spans="1:32">
      <c r="A506" t="s">
        <v>613</v>
      </c>
      <c r="B506">
        <v>7</v>
      </c>
      <c r="C506" s="8">
        <v>42378.692361111112</v>
      </c>
      <c r="D506">
        <v>5</v>
      </c>
      <c r="E506">
        <v>6</v>
      </c>
      <c r="F506" t="s">
        <v>21</v>
      </c>
      <c r="G506">
        <v>1</v>
      </c>
      <c r="H506">
        <v>897</v>
      </c>
      <c r="I506" t="s">
        <v>22</v>
      </c>
      <c r="J506">
        <v>0</v>
      </c>
      <c r="K506">
        <v>0.69799999999999995</v>
      </c>
      <c r="L506">
        <v>21</v>
      </c>
      <c r="M506" t="s">
        <v>23</v>
      </c>
      <c r="N506">
        <v>19</v>
      </c>
      <c r="O506">
        <v>-37.358600000000003</v>
      </c>
      <c r="P506">
        <v>179.14599999999999</v>
      </c>
      <c r="Q506" t="s">
        <v>216</v>
      </c>
      <c r="R506" t="s">
        <v>25</v>
      </c>
      <c r="S506" t="s">
        <v>594</v>
      </c>
      <c r="T506">
        <v>5</v>
      </c>
      <c r="U506">
        <v>7</v>
      </c>
      <c r="V506">
        <v>0</v>
      </c>
      <c r="W506">
        <v>0.69799999999999995</v>
      </c>
      <c r="X506">
        <v>21</v>
      </c>
      <c r="Y506">
        <v>19</v>
      </c>
      <c r="Z506">
        <v>5</v>
      </c>
      <c r="AA506">
        <v>6</v>
      </c>
      <c r="AB506">
        <v>1</v>
      </c>
      <c r="AC506">
        <v>897</v>
      </c>
      <c r="AD506" s="8">
        <v>42378.692361111112</v>
      </c>
      <c r="AE506" s="8"/>
      <c r="AF506" s="8"/>
    </row>
    <row r="507" spans="1:32">
      <c r="A507" t="s">
        <v>652</v>
      </c>
      <c r="B507">
        <v>6.9</v>
      </c>
      <c r="C507" s="8">
        <v>42433.349305555559</v>
      </c>
      <c r="D507">
        <v>7</v>
      </c>
      <c r="E507">
        <v>6</v>
      </c>
      <c r="F507" t="s">
        <v>21</v>
      </c>
      <c r="G507">
        <v>1</v>
      </c>
      <c r="H507">
        <v>734</v>
      </c>
      <c r="I507" t="s">
        <v>22</v>
      </c>
      <c r="J507">
        <v>0</v>
      </c>
      <c r="K507">
        <v>1.1659999999999999</v>
      </c>
      <c r="L507">
        <v>25</v>
      </c>
      <c r="M507" t="s">
        <v>23</v>
      </c>
      <c r="N507">
        <v>26</v>
      </c>
      <c r="O507">
        <v>-14.323499999999999</v>
      </c>
      <c r="P507">
        <v>166.85499999999999</v>
      </c>
      <c r="Q507" t="s">
        <v>162</v>
      </c>
      <c r="R507" t="s">
        <v>25</v>
      </c>
      <c r="S507" t="s">
        <v>163</v>
      </c>
      <c r="T507">
        <v>5</v>
      </c>
      <c r="U507">
        <v>6.9</v>
      </c>
      <c r="V507">
        <v>0</v>
      </c>
      <c r="W507">
        <v>1.1659999999999999</v>
      </c>
      <c r="X507">
        <v>25</v>
      </c>
      <c r="Y507">
        <v>26</v>
      </c>
      <c r="Z507">
        <v>7</v>
      </c>
      <c r="AA507">
        <v>6</v>
      </c>
      <c r="AB507">
        <v>1</v>
      </c>
      <c r="AC507">
        <v>734</v>
      </c>
      <c r="AD507" s="8">
        <v>42433.349305555559</v>
      </c>
      <c r="AE507" s="8"/>
      <c r="AF507" s="8"/>
    </row>
    <row r="508" spans="1:32">
      <c r="A508" t="s">
        <v>651</v>
      </c>
      <c r="B508">
        <v>6.7</v>
      </c>
      <c r="C508" s="8">
        <v>42525.290277777778</v>
      </c>
      <c r="D508">
        <v>7</v>
      </c>
      <c r="E508">
        <v>6</v>
      </c>
      <c r="F508" t="s">
        <v>21</v>
      </c>
      <c r="G508">
        <v>1</v>
      </c>
      <c r="H508">
        <v>691</v>
      </c>
      <c r="I508" t="s">
        <v>22</v>
      </c>
      <c r="J508">
        <v>0</v>
      </c>
      <c r="K508">
        <v>6.6970000000000001</v>
      </c>
      <c r="L508">
        <v>19</v>
      </c>
      <c r="M508" t="s">
        <v>23</v>
      </c>
      <c r="N508">
        <v>24</v>
      </c>
      <c r="O508">
        <v>-14.068300000000001</v>
      </c>
      <c r="P508">
        <v>166.624</v>
      </c>
      <c r="Q508" t="s">
        <v>382</v>
      </c>
      <c r="R508" t="s">
        <v>25</v>
      </c>
      <c r="S508" t="s">
        <v>163</v>
      </c>
      <c r="T508">
        <v>5</v>
      </c>
      <c r="U508">
        <v>6.7</v>
      </c>
      <c r="V508">
        <v>0</v>
      </c>
      <c r="W508">
        <v>6.6970000000000001</v>
      </c>
      <c r="X508">
        <v>19</v>
      </c>
      <c r="Y508">
        <v>24</v>
      </c>
      <c r="Z508">
        <v>7</v>
      </c>
      <c r="AA508">
        <v>6</v>
      </c>
      <c r="AB508">
        <v>1</v>
      </c>
      <c r="AC508">
        <v>691</v>
      </c>
      <c r="AD508" s="8">
        <v>42525.290277777778</v>
      </c>
      <c r="AE508" s="8"/>
      <c r="AF508" s="8"/>
    </row>
    <row r="509" spans="1:32">
      <c r="A509" t="s">
        <v>650</v>
      </c>
      <c r="B509">
        <v>6.7</v>
      </c>
      <c r="C509" s="8">
        <v>42555.147222222222</v>
      </c>
      <c r="D509">
        <v>7</v>
      </c>
      <c r="E509">
        <v>5</v>
      </c>
      <c r="F509" t="s">
        <v>21</v>
      </c>
      <c r="G509">
        <v>1</v>
      </c>
      <c r="H509">
        <v>692</v>
      </c>
      <c r="I509" t="s">
        <v>22</v>
      </c>
      <c r="J509">
        <v>0</v>
      </c>
      <c r="K509">
        <v>6.7869999999999999</v>
      </c>
      <c r="L509">
        <v>25</v>
      </c>
      <c r="M509" t="s">
        <v>23</v>
      </c>
      <c r="N509">
        <v>27.59</v>
      </c>
      <c r="O509">
        <v>-13.980499999999999</v>
      </c>
      <c r="P509">
        <v>166.59399999999999</v>
      </c>
      <c r="Q509" t="s">
        <v>382</v>
      </c>
      <c r="R509" t="s">
        <v>25</v>
      </c>
      <c r="S509" t="s">
        <v>163</v>
      </c>
      <c r="T509">
        <v>5</v>
      </c>
      <c r="U509">
        <v>6.7</v>
      </c>
      <c r="V509">
        <v>0</v>
      </c>
      <c r="W509">
        <v>6.7869999999999999</v>
      </c>
      <c r="X509">
        <v>25</v>
      </c>
      <c r="Y509">
        <v>27.59</v>
      </c>
      <c r="Z509">
        <v>7</v>
      </c>
      <c r="AA509">
        <v>5</v>
      </c>
      <c r="AB509">
        <v>1</v>
      </c>
      <c r="AC509">
        <v>692</v>
      </c>
      <c r="AD509" s="8">
        <v>42555.147222222222</v>
      </c>
      <c r="AE509" s="8"/>
      <c r="AF509" s="8"/>
    </row>
    <row r="510" spans="1:32">
      <c r="A510" t="s">
        <v>578</v>
      </c>
      <c r="B510">
        <v>7.8</v>
      </c>
      <c r="C510" s="8">
        <v>42594.734722222223</v>
      </c>
      <c r="D510">
        <v>9</v>
      </c>
      <c r="E510">
        <v>8</v>
      </c>
      <c r="F510" t="s">
        <v>21</v>
      </c>
      <c r="G510">
        <v>1</v>
      </c>
      <c r="H510">
        <v>961</v>
      </c>
      <c r="I510" t="s">
        <v>22</v>
      </c>
      <c r="J510">
        <v>0</v>
      </c>
      <c r="K510">
        <v>1.8360000000000001</v>
      </c>
      <c r="L510">
        <v>13</v>
      </c>
      <c r="M510" t="s">
        <v>23</v>
      </c>
      <c r="N510">
        <v>40</v>
      </c>
      <c r="O510">
        <v>-10.6812</v>
      </c>
      <c r="P510">
        <v>161.327</v>
      </c>
      <c r="Q510" t="s">
        <v>428</v>
      </c>
      <c r="R510" t="s">
        <v>25</v>
      </c>
      <c r="S510" t="s">
        <v>26</v>
      </c>
      <c r="T510">
        <v>5</v>
      </c>
      <c r="U510">
        <v>7.8</v>
      </c>
      <c r="V510">
        <v>0</v>
      </c>
      <c r="W510">
        <v>1.8360000000000001</v>
      </c>
      <c r="X510">
        <v>13</v>
      </c>
      <c r="Y510">
        <v>40</v>
      </c>
      <c r="Z510">
        <v>9</v>
      </c>
      <c r="AA510">
        <v>8</v>
      </c>
      <c r="AB510">
        <v>1</v>
      </c>
      <c r="AC510">
        <v>961</v>
      </c>
      <c r="AD510" s="8">
        <v>42594.734722222223</v>
      </c>
      <c r="AE510" s="8"/>
      <c r="AF510" s="8"/>
    </row>
    <row r="511" spans="1:32">
      <c r="A511" t="s">
        <v>577</v>
      </c>
      <c r="B511">
        <v>6.5</v>
      </c>
      <c r="C511" s="8">
        <v>42594.913888888892</v>
      </c>
      <c r="D511">
        <v>0</v>
      </c>
      <c r="E511">
        <v>5</v>
      </c>
      <c r="F511" t="s">
        <v>21</v>
      </c>
      <c r="G511">
        <v>0</v>
      </c>
      <c r="H511">
        <v>650</v>
      </c>
      <c r="I511" t="s">
        <v>22</v>
      </c>
      <c r="J511">
        <v>0</v>
      </c>
      <c r="K511">
        <v>1.9370000000000001</v>
      </c>
      <c r="L511">
        <v>18</v>
      </c>
      <c r="M511" t="s">
        <v>23</v>
      </c>
      <c r="N511">
        <v>12.26</v>
      </c>
      <c r="O511">
        <v>-10.8416</v>
      </c>
      <c r="P511">
        <v>161.31399999999999</v>
      </c>
      <c r="Q511" t="s">
        <v>428</v>
      </c>
      <c r="R511" t="s">
        <v>25</v>
      </c>
      <c r="S511" t="s">
        <v>26</v>
      </c>
      <c r="T511">
        <v>5</v>
      </c>
      <c r="U511">
        <v>6.5</v>
      </c>
      <c r="V511">
        <v>0</v>
      </c>
      <c r="W511">
        <v>1.9370000000000001</v>
      </c>
      <c r="X511">
        <v>18</v>
      </c>
      <c r="Y511">
        <v>12.26</v>
      </c>
      <c r="Z511">
        <v>0</v>
      </c>
      <c r="AA511">
        <v>5</v>
      </c>
      <c r="AB511">
        <v>0</v>
      </c>
      <c r="AC511">
        <v>650</v>
      </c>
      <c r="AD511" s="8">
        <v>42594.913888888892</v>
      </c>
      <c r="AE511" s="8"/>
      <c r="AF511" s="8"/>
    </row>
    <row r="512" spans="1:32">
      <c r="A512" t="s">
        <v>576</v>
      </c>
      <c r="B512">
        <v>6.9</v>
      </c>
      <c r="C512" s="8">
        <v>42625.798611111109</v>
      </c>
      <c r="D512">
        <v>8</v>
      </c>
      <c r="E512">
        <v>6</v>
      </c>
      <c r="F512" t="s">
        <v>21</v>
      </c>
      <c r="G512">
        <v>1</v>
      </c>
      <c r="H512">
        <v>737</v>
      </c>
      <c r="I512" t="s">
        <v>22</v>
      </c>
      <c r="J512">
        <v>0</v>
      </c>
      <c r="K512">
        <v>1.7470000000000001</v>
      </c>
      <c r="L512">
        <v>26</v>
      </c>
      <c r="M512" t="s">
        <v>23</v>
      </c>
      <c r="N512">
        <v>19.73</v>
      </c>
      <c r="O512">
        <v>-10.749000000000001</v>
      </c>
      <c r="P512">
        <v>161.13200000000001</v>
      </c>
      <c r="Q512" t="s">
        <v>428</v>
      </c>
      <c r="R512" t="s">
        <v>25</v>
      </c>
      <c r="S512" t="s">
        <v>26</v>
      </c>
      <c r="T512">
        <v>5</v>
      </c>
      <c r="U512">
        <v>6.9</v>
      </c>
      <c r="V512">
        <v>0</v>
      </c>
      <c r="W512">
        <v>1.7470000000000001</v>
      </c>
      <c r="X512">
        <v>26</v>
      </c>
      <c r="Y512">
        <v>19.73</v>
      </c>
      <c r="Z512">
        <v>8</v>
      </c>
      <c r="AA512">
        <v>6</v>
      </c>
      <c r="AB512">
        <v>1</v>
      </c>
      <c r="AC512">
        <v>737</v>
      </c>
      <c r="AD512" s="8">
        <v>42625.798611111109</v>
      </c>
      <c r="AE512" s="8"/>
      <c r="AF512" s="8"/>
    </row>
    <row r="513" spans="1:32">
      <c r="A513" t="s">
        <v>621</v>
      </c>
      <c r="B513">
        <v>7.2</v>
      </c>
      <c r="C513" s="8">
        <v>42712.05972222222</v>
      </c>
      <c r="D513">
        <v>6</v>
      </c>
      <c r="E513">
        <v>5</v>
      </c>
      <c r="F513" t="s">
        <v>21</v>
      </c>
      <c r="G513">
        <v>1</v>
      </c>
      <c r="H513">
        <v>799</v>
      </c>
      <c r="I513" t="s">
        <v>22</v>
      </c>
      <c r="J513">
        <v>0</v>
      </c>
      <c r="K513">
        <v>4.8230000000000004</v>
      </c>
      <c r="L513">
        <v>14</v>
      </c>
      <c r="M513" t="s">
        <v>23</v>
      </c>
      <c r="N513">
        <v>16.37</v>
      </c>
      <c r="O513">
        <v>-22.476500000000001</v>
      </c>
      <c r="P513">
        <v>173.11699999999999</v>
      </c>
      <c r="Q513" t="s">
        <v>94</v>
      </c>
      <c r="R513" t="s">
        <v>25</v>
      </c>
      <c r="S513" t="s">
        <v>1750</v>
      </c>
      <c r="T513">
        <v>5</v>
      </c>
      <c r="U513">
        <v>7.2</v>
      </c>
      <c r="V513">
        <v>0</v>
      </c>
      <c r="W513">
        <v>4.8230000000000004</v>
      </c>
      <c r="X513">
        <v>14</v>
      </c>
      <c r="Y513">
        <v>16.37</v>
      </c>
      <c r="Z513">
        <v>6</v>
      </c>
      <c r="AA513">
        <v>5</v>
      </c>
      <c r="AB513">
        <v>1</v>
      </c>
      <c r="AC513">
        <v>799</v>
      </c>
      <c r="AD513" s="8">
        <v>42712.05972222222</v>
      </c>
      <c r="AE513" s="8"/>
      <c r="AF513" s="8"/>
    </row>
    <row r="514" spans="1:32">
      <c r="A514" t="s">
        <v>503</v>
      </c>
      <c r="B514">
        <v>6.6</v>
      </c>
      <c r="C514" s="8">
        <v>42746.099305555559</v>
      </c>
      <c r="D514">
        <v>3</v>
      </c>
      <c r="E514">
        <v>5</v>
      </c>
      <c r="F514" t="s">
        <v>21</v>
      </c>
      <c r="G514">
        <v>1</v>
      </c>
      <c r="H514">
        <v>674</v>
      </c>
      <c r="I514" t="s">
        <v>22</v>
      </c>
      <c r="J514">
        <v>0</v>
      </c>
      <c r="K514">
        <v>0.78800000000000003</v>
      </c>
      <c r="L514">
        <v>29</v>
      </c>
      <c r="M514" t="s">
        <v>23</v>
      </c>
      <c r="N514">
        <v>22</v>
      </c>
      <c r="O514">
        <v>-21.648399999999999</v>
      </c>
      <c r="P514">
        <v>168.85900000000001</v>
      </c>
      <c r="Q514" t="s">
        <v>97</v>
      </c>
      <c r="R514" t="s">
        <v>25</v>
      </c>
      <c r="S514" t="s">
        <v>1744</v>
      </c>
      <c r="T514">
        <v>5</v>
      </c>
      <c r="U514">
        <v>6.6</v>
      </c>
      <c r="V514">
        <v>0</v>
      </c>
      <c r="W514">
        <v>0.78800000000000003</v>
      </c>
      <c r="X514">
        <v>29</v>
      </c>
      <c r="Y514">
        <v>22</v>
      </c>
      <c r="Z514">
        <v>3</v>
      </c>
      <c r="AA514">
        <v>5</v>
      </c>
      <c r="AB514">
        <v>1</v>
      </c>
      <c r="AC514">
        <v>674</v>
      </c>
      <c r="AD514" s="8">
        <v>42746.099305555559</v>
      </c>
      <c r="AE514" s="8"/>
      <c r="AF514" s="8"/>
    </row>
    <row r="515" spans="1:32">
      <c r="A515" t="s">
        <v>567</v>
      </c>
      <c r="B515">
        <v>6.9</v>
      </c>
      <c r="C515" s="8">
        <v>42795.911111111112</v>
      </c>
      <c r="D515">
        <v>6</v>
      </c>
      <c r="E515">
        <v>4</v>
      </c>
      <c r="F515" t="s">
        <v>21</v>
      </c>
      <c r="G515">
        <v>1</v>
      </c>
      <c r="H515">
        <v>742</v>
      </c>
      <c r="I515" t="s">
        <v>22</v>
      </c>
      <c r="J515">
        <v>0</v>
      </c>
      <c r="K515">
        <v>2.4950000000000001</v>
      </c>
      <c r="L515">
        <v>13</v>
      </c>
      <c r="M515" t="s">
        <v>23</v>
      </c>
      <c r="N515">
        <v>12</v>
      </c>
      <c r="O515">
        <v>-19.3733</v>
      </c>
      <c r="P515">
        <v>176.05199999999999</v>
      </c>
      <c r="Q515" t="s">
        <v>568</v>
      </c>
      <c r="R515" t="s">
        <v>25</v>
      </c>
      <c r="S515" t="s">
        <v>31</v>
      </c>
      <c r="T515">
        <v>5</v>
      </c>
      <c r="U515">
        <v>6.9</v>
      </c>
      <c r="V515">
        <v>0</v>
      </c>
      <c r="W515">
        <v>2.4950000000000001</v>
      </c>
      <c r="X515">
        <v>13</v>
      </c>
      <c r="Y515">
        <v>12</v>
      </c>
      <c r="Z515">
        <v>6</v>
      </c>
      <c r="AA515">
        <v>4</v>
      </c>
      <c r="AB515">
        <v>1</v>
      </c>
      <c r="AC515">
        <v>742</v>
      </c>
      <c r="AD515" s="8">
        <v>42795.911111111112</v>
      </c>
      <c r="AE515" s="8"/>
      <c r="AF515" s="8"/>
    </row>
    <row r="516" spans="1:32">
      <c r="A516" t="s">
        <v>501</v>
      </c>
      <c r="B516">
        <v>6.8</v>
      </c>
      <c r="C516" s="8">
        <v>42836.375</v>
      </c>
      <c r="D516">
        <v>5</v>
      </c>
      <c r="E516">
        <v>5</v>
      </c>
      <c r="F516" t="s">
        <v>21</v>
      </c>
      <c r="G516">
        <v>1</v>
      </c>
      <c r="H516">
        <v>727</v>
      </c>
      <c r="I516" t="s">
        <v>22</v>
      </c>
      <c r="J516">
        <v>0</v>
      </c>
      <c r="K516">
        <v>4.8520000000000003</v>
      </c>
      <c r="L516">
        <v>21</v>
      </c>
      <c r="M516" t="s">
        <v>23</v>
      </c>
      <c r="N516">
        <v>10</v>
      </c>
      <c r="O516">
        <v>-15.319699999999999</v>
      </c>
      <c r="P516">
        <v>-173.16800000000001</v>
      </c>
      <c r="Q516" t="s">
        <v>502</v>
      </c>
      <c r="R516" t="s">
        <v>25</v>
      </c>
      <c r="S516" t="s">
        <v>1022</v>
      </c>
      <c r="T516">
        <v>5</v>
      </c>
      <c r="U516">
        <v>6.8</v>
      </c>
      <c r="V516">
        <v>0</v>
      </c>
      <c r="W516">
        <v>4.8520000000000003</v>
      </c>
      <c r="X516">
        <v>21</v>
      </c>
      <c r="Y516">
        <v>10</v>
      </c>
      <c r="Z516">
        <v>5</v>
      </c>
      <c r="AA516">
        <v>5</v>
      </c>
      <c r="AB516">
        <v>1</v>
      </c>
      <c r="AC516">
        <v>727</v>
      </c>
      <c r="AD516" s="8">
        <v>42836.375</v>
      </c>
      <c r="AE516" s="8"/>
      <c r="AF516" s="8"/>
    </row>
    <row r="517" spans="1:32">
      <c r="A517" t="s">
        <v>499</v>
      </c>
      <c r="B517">
        <v>6.5</v>
      </c>
      <c r="C517" s="8">
        <v>42927.893055555556</v>
      </c>
      <c r="D517">
        <v>6</v>
      </c>
      <c r="E517">
        <v>5</v>
      </c>
      <c r="F517" t="s">
        <v>21</v>
      </c>
      <c r="G517">
        <v>1</v>
      </c>
      <c r="H517">
        <v>661</v>
      </c>
      <c r="I517" t="s">
        <v>22</v>
      </c>
      <c r="J517">
        <v>0</v>
      </c>
      <c r="K517">
        <v>4.4489999999999998</v>
      </c>
      <c r="L517">
        <v>10</v>
      </c>
      <c r="M517" t="s">
        <v>23</v>
      </c>
      <c r="N517">
        <v>110.57</v>
      </c>
      <c r="O517">
        <v>-4.2432999999999996</v>
      </c>
      <c r="P517">
        <v>143.48500000000001</v>
      </c>
      <c r="Q517" t="s">
        <v>500</v>
      </c>
      <c r="R517" t="s">
        <v>25</v>
      </c>
      <c r="S517" t="s">
        <v>64</v>
      </c>
      <c r="T517">
        <v>5</v>
      </c>
      <c r="U517">
        <v>6.5</v>
      </c>
      <c r="V517">
        <v>0</v>
      </c>
      <c r="W517">
        <v>4.4489999999999998</v>
      </c>
      <c r="X517">
        <v>10</v>
      </c>
      <c r="Y517">
        <v>110.57</v>
      </c>
      <c r="Z517">
        <v>6</v>
      </c>
      <c r="AA517">
        <v>5</v>
      </c>
      <c r="AB517">
        <v>1</v>
      </c>
      <c r="AC517">
        <v>661</v>
      </c>
      <c r="AD517" s="8">
        <v>42927.893055555556</v>
      </c>
      <c r="AE517" s="8"/>
      <c r="AF517" s="8"/>
    </row>
    <row r="518" spans="1:32">
      <c r="A518" t="s">
        <v>540</v>
      </c>
      <c r="B518">
        <v>6.8</v>
      </c>
      <c r="C518" s="8">
        <v>42983.577777777777</v>
      </c>
      <c r="D518">
        <v>6</v>
      </c>
      <c r="E518">
        <v>5</v>
      </c>
      <c r="F518" t="s">
        <v>21</v>
      </c>
      <c r="G518">
        <v>1</v>
      </c>
      <c r="H518">
        <v>713</v>
      </c>
      <c r="I518" t="s">
        <v>22</v>
      </c>
      <c r="J518">
        <v>0</v>
      </c>
      <c r="K518">
        <v>7.4950000000000001</v>
      </c>
      <c r="L518">
        <v>19</v>
      </c>
      <c r="M518" t="s">
        <v>23</v>
      </c>
      <c r="N518">
        <v>169</v>
      </c>
      <c r="O518">
        <v>-14.5884</v>
      </c>
      <c r="P518">
        <v>167.37700000000001</v>
      </c>
      <c r="Q518" t="s">
        <v>162</v>
      </c>
      <c r="R518" t="s">
        <v>25</v>
      </c>
      <c r="S518" t="s">
        <v>163</v>
      </c>
      <c r="T518">
        <v>5</v>
      </c>
      <c r="U518">
        <v>6.8</v>
      </c>
      <c r="V518">
        <v>0</v>
      </c>
      <c r="W518">
        <v>7.4950000000000001</v>
      </c>
      <c r="X518">
        <v>19</v>
      </c>
      <c r="Y518">
        <v>169</v>
      </c>
      <c r="Z518">
        <v>6</v>
      </c>
      <c r="AA518">
        <v>5</v>
      </c>
      <c r="AB518">
        <v>1</v>
      </c>
      <c r="AC518">
        <v>713</v>
      </c>
      <c r="AD518" s="8">
        <v>42983.577777777777</v>
      </c>
      <c r="AE518" s="8"/>
      <c r="AF518" s="8"/>
    </row>
    <row r="519" spans="1:32">
      <c r="A519" t="s">
        <v>524</v>
      </c>
      <c r="B519">
        <v>6.6</v>
      </c>
      <c r="C519" s="8">
        <v>43046.291666666664</v>
      </c>
      <c r="D519">
        <v>5</v>
      </c>
      <c r="E519">
        <v>4</v>
      </c>
      <c r="F519" t="s">
        <v>21</v>
      </c>
      <c r="G519">
        <v>1</v>
      </c>
      <c r="H519">
        <v>704</v>
      </c>
      <c r="I519" t="s">
        <v>22</v>
      </c>
      <c r="J519">
        <v>0</v>
      </c>
      <c r="K519">
        <v>3.7730000000000001</v>
      </c>
      <c r="L519">
        <v>37</v>
      </c>
      <c r="M519" t="s">
        <v>23</v>
      </c>
      <c r="N519">
        <v>10</v>
      </c>
      <c r="O519">
        <v>-49.483699999999999</v>
      </c>
      <c r="P519">
        <v>164.01599999999999</v>
      </c>
      <c r="Q519" t="s">
        <v>525</v>
      </c>
      <c r="R519" t="s">
        <v>25</v>
      </c>
      <c r="S519" t="s">
        <v>594</v>
      </c>
      <c r="T519">
        <v>5</v>
      </c>
      <c r="U519">
        <v>6.6</v>
      </c>
      <c r="V519">
        <v>0</v>
      </c>
      <c r="W519">
        <v>3.7730000000000001</v>
      </c>
      <c r="X519">
        <v>37</v>
      </c>
      <c r="Y519">
        <v>10</v>
      </c>
      <c r="Z519">
        <v>5</v>
      </c>
      <c r="AA519">
        <v>4</v>
      </c>
      <c r="AB519">
        <v>1</v>
      </c>
      <c r="AC519">
        <v>704</v>
      </c>
      <c r="AD519" s="8">
        <v>43046.291666666664</v>
      </c>
      <c r="AE519" s="8"/>
      <c r="AF519" s="8"/>
    </row>
    <row r="520" spans="1:32">
      <c r="A520" t="s">
        <v>392</v>
      </c>
      <c r="B520">
        <v>7.5</v>
      </c>
      <c r="C520" s="8">
        <v>43232.179166666669</v>
      </c>
      <c r="D520">
        <v>3</v>
      </c>
      <c r="E520">
        <v>6</v>
      </c>
      <c r="F520" t="s">
        <v>21</v>
      </c>
      <c r="G520">
        <v>1</v>
      </c>
      <c r="H520">
        <v>871</v>
      </c>
      <c r="I520" t="s">
        <v>22</v>
      </c>
      <c r="J520">
        <v>0</v>
      </c>
      <c r="K520">
        <v>2.4049999999999998</v>
      </c>
      <c r="L520">
        <v>18</v>
      </c>
      <c r="M520" t="s">
        <v>23</v>
      </c>
      <c r="N520">
        <v>10</v>
      </c>
      <c r="O520">
        <v>-21.9496</v>
      </c>
      <c r="P520">
        <v>169.42699999999999</v>
      </c>
      <c r="Q520" t="s">
        <v>97</v>
      </c>
      <c r="R520" t="s">
        <v>25</v>
      </c>
      <c r="S520" t="s">
        <v>1744</v>
      </c>
      <c r="T520">
        <v>5</v>
      </c>
      <c r="U520">
        <v>7.5</v>
      </c>
      <c r="V520">
        <v>0</v>
      </c>
      <c r="W520">
        <v>2.4049999999999998</v>
      </c>
      <c r="X520">
        <v>18</v>
      </c>
      <c r="Y520">
        <v>10</v>
      </c>
      <c r="Z520">
        <v>3</v>
      </c>
      <c r="AA520">
        <v>6</v>
      </c>
      <c r="AB520">
        <v>1</v>
      </c>
      <c r="AC520">
        <v>871</v>
      </c>
      <c r="AD520" s="8">
        <v>43232.179166666669</v>
      </c>
      <c r="AE520" s="8"/>
      <c r="AF520" s="8"/>
    </row>
    <row r="521" spans="1:32">
      <c r="A521" t="s">
        <v>391</v>
      </c>
      <c r="B521">
        <v>6.6</v>
      </c>
      <c r="C521" s="8">
        <v>43232.279861111114</v>
      </c>
      <c r="D521">
        <v>0</v>
      </c>
      <c r="E521">
        <v>4</v>
      </c>
      <c r="F521" t="s">
        <v>21</v>
      </c>
      <c r="G521">
        <v>1</v>
      </c>
      <c r="H521">
        <v>670</v>
      </c>
      <c r="I521" t="s">
        <v>22</v>
      </c>
      <c r="J521">
        <v>0</v>
      </c>
      <c r="K521">
        <v>2.6789999999999998</v>
      </c>
      <c r="L521">
        <v>31</v>
      </c>
      <c r="M521" t="s">
        <v>23</v>
      </c>
      <c r="N521">
        <v>10</v>
      </c>
      <c r="O521">
        <v>-22.062899999999999</v>
      </c>
      <c r="P521">
        <v>169.733</v>
      </c>
      <c r="Q521" t="s">
        <v>97</v>
      </c>
      <c r="R521" t="s">
        <v>25</v>
      </c>
      <c r="S521" t="s">
        <v>1744</v>
      </c>
      <c r="T521">
        <v>5</v>
      </c>
      <c r="U521">
        <v>6.6</v>
      </c>
      <c r="V521">
        <v>0</v>
      </c>
      <c r="W521">
        <v>2.6789999999999998</v>
      </c>
      <c r="X521">
        <v>31</v>
      </c>
      <c r="Y521">
        <v>10</v>
      </c>
      <c r="Z521">
        <v>0</v>
      </c>
      <c r="AA521">
        <v>4</v>
      </c>
      <c r="AB521">
        <v>1</v>
      </c>
      <c r="AC521">
        <v>670</v>
      </c>
      <c r="AD521" s="8">
        <v>43232.279861111114</v>
      </c>
      <c r="AE521" s="8"/>
      <c r="AF521" s="8"/>
    </row>
    <row r="522" spans="1:32">
      <c r="A522" t="s">
        <v>467</v>
      </c>
      <c r="B522">
        <v>6.7</v>
      </c>
      <c r="C522" s="8">
        <v>43254.592361111114</v>
      </c>
      <c r="D522">
        <v>8</v>
      </c>
      <c r="E522">
        <v>7</v>
      </c>
      <c r="F522" t="s">
        <v>21</v>
      </c>
      <c r="G522">
        <v>1</v>
      </c>
      <c r="H522">
        <v>697</v>
      </c>
      <c r="I522" t="s">
        <v>22</v>
      </c>
      <c r="J522">
        <v>0</v>
      </c>
      <c r="K522">
        <v>5.4569999999999999</v>
      </c>
      <c r="L522">
        <v>19</v>
      </c>
      <c r="M522" t="s">
        <v>23</v>
      </c>
      <c r="N522">
        <v>20.49</v>
      </c>
      <c r="O522">
        <v>-6.3042999999999996</v>
      </c>
      <c r="P522">
        <v>142.61199999999999</v>
      </c>
      <c r="Q522" t="s">
        <v>468</v>
      </c>
      <c r="R522" t="s">
        <v>25</v>
      </c>
      <c r="S522" t="s">
        <v>64</v>
      </c>
      <c r="T522">
        <v>5</v>
      </c>
      <c r="U522">
        <v>6.7</v>
      </c>
      <c r="V522">
        <v>0</v>
      </c>
      <c r="W522">
        <v>5.4569999999999999</v>
      </c>
      <c r="X522">
        <v>19</v>
      </c>
      <c r="Y522">
        <v>20.49</v>
      </c>
      <c r="Z522">
        <v>8</v>
      </c>
      <c r="AA522">
        <v>7</v>
      </c>
      <c r="AB522">
        <v>1</v>
      </c>
      <c r="AC522">
        <v>697</v>
      </c>
      <c r="AD522" s="8">
        <v>43254.592361111114</v>
      </c>
      <c r="AE522" s="8"/>
      <c r="AF522" s="8"/>
    </row>
    <row r="523" spans="1:32">
      <c r="A523" t="s">
        <v>429</v>
      </c>
      <c r="B523">
        <v>7.9</v>
      </c>
      <c r="C523" s="8">
        <v>43260.65902777778</v>
      </c>
      <c r="D523">
        <v>7</v>
      </c>
      <c r="E523">
        <v>4</v>
      </c>
      <c r="F523" t="s">
        <v>21</v>
      </c>
      <c r="G523">
        <v>1</v>
      </c>
      <c r="H523">
        <v>979</v>
      </c>
      <c r="I523" t="s">
        <v>22</v>
      </c>
      <c r="J523">
        <v>0</v>
      </c>
      <c r="K523">
        <v>1.431</v>
      </c>
      <c r="L523">
        <v>12</v>
      </c>
      <c r="M523" t="s">
        <v>23</v>
      </c>
      <c r="N523">
        <v>670.81</v>
      </c>
      <c r="O523">
        <v>-18.474299999999999</v>
      </c>
      <c r="P523">
        <v>179.35</v>
      </c>
      <c r="Q523" t="s">
        <v>398</v>
      </c>
      <c r="R523" t="s">
        <v>25</v>
      </c>
      <c r="S523" t="s">
        <v>31</v>
      </c>
      <c r="T523">
        <v>5</v>
      </c>
      <c r="U523">
        <v>7.9</v>
      </c>
      <c r="V523">
        <v>0</v>
      </c>
      <c r="W523">
        <v>1.431</v>
      </c>
      <c r="X523">
        <v>12</v>
      </c>
      <c r="Y523">
        <v>670.81</v>
      </c>
      <c r="Z523">
        <v>7</v>
      </c>
      <c r="AA523">
        <v>4</v>
      </c>
      <c r="AB523">
        <v>1</v>
      </c>
      <c r="AC523">
        <v>979</v>
      </c>
      <c r="AD523" s="8">
        <v>43260.65902777778</v>
      </c>
      <c r="AE523" s="8"/>
      <c r="AF523" s="8"/>
    </row>
    <row r="524" spans="1:32">
      <c r="A524" t="s">
        <v>465</v>
      </c>
      <c r="B524">
        <v>6.8</v>
      </c>
      <c r="C524" s="8">
        <v>43315.73541666667</v>
      </c>
      <c r="D524">
        <v>6</v>
      </c>
      <c r="E524">
        <v>6</v>
      </c>
      <c r="F524" t="s">
        <v>21</v>
      </c>
      <c r="G524">
        <v>1</v>
      </c>
      <c r="H524">
        <v>719</v>
      </c>
      <c r="I524" t="s">
        <v>22</v>
      </c>
      <c r="J524">
        <v>0</v>
      </c>
      <c r="K524">
        <v>1.0489999999999999</v>
      </c>
      <c r="L524">
        <v>16</v>
      </c>
      <c r="M524" t="s">
        <v>23</v>
      </c>
      <c r="N524">
        <v>22.86</v>
      </c>
      <c r="O524">
        <v>-4.3761999999999999</v>
      </c>
      <c r="P524">
        <v>153.19999999999999</v>
      </c>
      <c r="Q524" t="s">
        <v>466</v>
      </c>
      <c r="R524" t="s">
        <v>25</v>
      </c>
      <c r="S524" t="s">
        <v>64</v>
      </c>
      <c r="T524">
        <v>5</v>
      </c>
      <c r="U524">
        <v>6.8</v>
      </c>
      <c r="V524">
        <v>0</v>
      </c>
      <c r="W524">
        <v>1.0489999999999999</v>
      </c>
      <c r="X524">
        <v>16</v>
      </c>
      <c r="Y524">
        <v>22.86</v>
      </c>
      <c r="Z524">
        <v>6</v>
      </c>
      <c r="AA524">
        <v>6</v>
      </c>
      <c r="AB524">
        <v>1</v>
      </c>
      <c r="AC524">
        <v>719</v>
      </c>
      <c r="AD524" s="8">
        <v>43315.73541666667</v>
      </c>
      <c r="AE524" s="8"/>
      <c r="AF524" s="8"/>
    </row>
    <row r="525" spans="1:32">
      <c r="A525" t="s">
        <v>427</v>
      </c>
      <c r="B525">
        <v>6.5</v>
      </c>
      <c r="C525" s="8">
        <v>43352.813194444447</v>
      </c>
      <c r="D525">
        <v>3</v>
      </c>
      <c r="E525">
        <v>6</v>
      </c>
      <c r="F525" t="s">
        <v>21</v>
      </c>
      <c r="G525">
        <v>1</v>
      </c>
      <c r="H525">
        <v>651</v>
      </c>
      <c r="I525" t="s">
        <v>22</v>
      </c>
      <c r="J525">
        <v>0</v>
      </c>
      <c r="K525">
        <v>1.6379999999999999</v>
      </c>
      <c r="L525">
        <v>25</v>
      </c>
      <c r="M525" t="s">
        <v>23</v>
      </c>
      <c r="N525">
        <v>68</v>
      </c>
      <c r="O525">
        <v>-10.0207</v>
      </c>
      <c r="P525">
        <v>161.50299999999999</v>
      </c>
      <c r="Q525" t="s">
        <v>428</v>
      </c>
      <c r="R525" t="s">
        <v>25</v>
      </c>
      <c r="S525" t="s">
        <v>26</v>
      </c>
      <c r="T525">
        <v>5</v>
      </c>
      <c r="U525">
        <v>6.5</v>
      </c>
      <c r="V525">
        <v>0</v>
      </c>
      <c r="W525">
        <v>1.6379999999999999</v>
      </c>
      <c r="X525">
        <v>25</v>
      </c>
      <c r="Y525">
        <v>68</v>
      </c>
      <c r="Z525">
        <v>3</v>
      </c>
      <c r="AA525">
        <v>6</v>
      </c>
      <c r="AB525">
        <v>1</v>
      </c>
      <c r="AC525">
        <v>651</v>
      </c>
      <c r="AD525" s="8">
        <v>43352.813194444447</v>
      </c>
      <c r="AE525" s="8"/>
      <c r="AF525" s="8"/>
    </row>
    <row r="526" spans="1:32">
      <c r="A526" t="s">
        <v>426</v>
      </c>
      <c r="B526">
        <v>6.9</v>
      </c>
      <c r="C526" s="8">
        <v>43382.179861111108</v>
      </c>
      <c r="D526">
        <v>3</v>
      </c>
      <c r="E526">
        <v>4</v>
      </c>
      <c r="F526" t="s">
        <v>21</v>
      </c>
      <c r="G526">
        <v>0</v>
      </c>
      <c r="H526">
        <v>735</v>
      </c>
      <c r="I526" t="s">
        <v>22</v>
      </c>
      <c r="J526">
        <v>0</v>
      </c>
      <c r="K526">
        <v>2.7850000000000001</v>
      </c>
      <c r="L526">
        <v>18</v>
      </c>
      <c r="M526" t="s">
        <v>23</v>
      </c>
      <c r="N526">
        <v>115</v>
      </c>
      <c r="O526">
        <v>-31.744700000000002</v>
      </c>
      <c r="P526">
        <v>-179.37299999999999</v>
      </c>
      <c r="Q526" t="s">
        <v>116</v>
      </c>
      <c r="R526" t="s">
        <v>25</v>
      </c>
      <c r="S526" t="s">
        <v>594</v>
      </c>
      <c r="T526">
        <v>5</v>
      </c>
      <c r="U526">
        <v>6.9</v>
      </c>
      <c r="V526">
        <v>0</v>
      </c>
      <c r="W526">
        <v>2.7850000000000001</v>
      </c>
      <c r="X526">
        <v>18</v>
      </c>
      <c r="Y526">
        <v>115</v>
      </c>
      <c r="Z526">
        <v>3</v>
      </c>
      <c r="AA526">
        <v>4</v>
      </c>
      <c r="AB526">
        <v>0</v>
      </c>
      <c r="AC526">
        <v>735</v>
      </c>
      <c r="AD526" s="8">
        <v>43382.179861111108</v>
      </c>
      <c r="AE526" s="8"/>
      <c r="AF526" s="8"/>
    </row>
    <row r="527" spans="1:32">
      <c r="A527" t="s">
        <v>417</v>
      </c>
      <c r="B527">
        <v>7</v>
      </c>
      <c r="C527" s="8">
        <v>43383.866666666669</v>
      </c>
      <c r="D527">
        <v>6</v>
      </c>
      <c r="E527">
        <v>6</v>
      </c>
      <c r="F527" t="s">
        <v>21</v>
      </c>
      <c r="G527">
        <v>1</v>
      </c>
      <c r="H527">
        <v>758</v>
      </c>
      <c r="I527" t="s">
        <v>22</v>
      </c>
      <c r="J527">
        <v>0</v>
      </c>
      <c r="K527">
        <v>1.778</v>
      </c>
      <c r="L527">
        <v>18</v>
      </c>
      <c r="M527" t="s">
        <v>23</v>
      </c>
      <c r="N527">
        <v>39</v>
      </c>
      <c r="O527">
        <v>-5.7012</v>
      </c>
      <c r="P527">
        <v>151.20500000000001</v>
      </c>
      <c r="Q527" t="s">
        <v>418</v>
      </c>
      <c r="R527" t="s">
        <v>25</v>
      </c>
      <c r="S527" t="s">
        <v>64</v>
      </c>
      <c r="T527">
        <v>5</v>
      </c>
      <c r="U527">
        <v>7</v>
      </c>
      <c r="V527">
        <v>0</v>
      </c>
      <c r="W527">
        <v>1.778</v>
      </c>
      <c r="X527">
        <v>18</v>
      </c>
      <c r="Y527">
        <v>39</v>
      </c>
      <c r="Z527">
        <v>6</v>
      </c>
      <c r="AA527">
        <v>6</v>
      </c>
      <c r="AB527">
        <v>1</v>
      </c>
      <c r="AC527">
        <v>758</v>
      </c>
      <c r="AD527" s="8">
        <v>43383.866666666669</v>
      </c>
      <c r="AE527" s="8"/>
      <c r="AF527" s="8"/>
    </row>
    <row r="528" spans="1:32">
      <c r="A528" t="s">
        <v>324</v>
      </c>
      <c r="B528">
        <v>6.6</v>
      </c>
      <c r="C528" s="8">
        <v>43474.662499999999</v>
      </c>
      <c r="D528">
        <v>2</v>
      </c>
      <c r="E528">
        <v>3</v>
      </c>
      <c r="G528">
        <v>1</v>
      </c>
      <c r="H528">
        <v>671</v>
      </c>
      <c r="I528" t="s">
        <v>22</v>
      </c>
      <c r="J528">
        <v>0</v>
      </c>
      <c r="K528">
        <v>4.1210000000000004</v>
      </c>
      <c r="L528">
        <v>19</v>
      </c>
      <c r="M528" t="s">
        <v>23</v>
      </c>
      <c r="N528">
        <v>591</v>
      </c>
      <c r="O528">
        <v>-20.364100000000001</v>
      </c>
      <c r="P528">
        <v>-178.57</v>
      </c>
      <c r="Q528" t="s">
        <v>310</v>
      </c>
      <c r="R528" t="s">
        <v>25</v>
      </c>
      <c r="S528" t="s">
        <v>31</v>
      </c>
      <c r="T528">
        <v>5</v>
      </c>
      <c r="U528">
        <v>6.6</v>
      </c>
      <c r="V528">
        <v>0</v>
      </c>
      <c r="W528">
        <v>4.1210000000000004</v>
      </c>
      <c r="X528">
        <v>19</v>
      </c>
      <c r="Y528">
        <v>591</v>
      </c>
      <c r="Z528">
        <v>2</v>
      </c>
      <c r="AA528">
        <v>3</v>
      </c>
      <c r="AB528">
        <v>1</v>
      </c>
      <c r="AC528">
        <v>671</v>
      </c>
      <c r="AD528" s="8">
        <v>43474.662499999999</v>
      </c>
      <c r="AE528" s="8"/>
      <c r="AF528" s="8"/>
    </row>
    <row r="529" spans="1:32">
      <c r="A529" t="s">
        <v>311</v>
      </c>
      <c r="B529">
        <v>6.6</v>
      </c>
      <c r="C529" s="8">
        <v>43566.946527777778</v>
      </c>
      <c r="D529">
        <v>4</v>
      </c>
      <c r="E529">
        <v>4</v>
      </c>
      <c r="F529" t="s">
        <v>21</v>
      </c>
      <c r="G529">
        <v>1</v>
      </c>
      <c r="H529">
        <v>673</v>
      </c>
      <c r="I529" t="s">
        <v>22</v>
      </c>
      <c r="J529">
        <v>0</v>
      </c>
      <c r="K529">
        <v>5.0860000000000003</v>
      </c>
      <c r="L529">
        <v>48</v>
      </c>
      <c r="M529" t="s">
        <v>23</v>
      </c>
      <c r="N529">
        <v>10</v>
      </c>
      <c r="O529">
        <v>-18.5747</v>
      </c>
      <c r="P529">
        <v>-175.27199999999999</v>
      </c>
      <c r="Q529" t="s">
        <v>33</v>
      </c>
      <c r="R529" t="s">
        <v>25</v>
      </c>
      <c r="S529" t="s">
        <v>1022</v>
      </c>
      <c r="T529">
        <v>5</v>
      </c>
      <c r="U529">
        <v>6.6</v>
      </c>
      <c r="V529">
        <v>0</v>
      </c>
      <c r="W529">
        <v>5.0860000000000003</v>
      </c>
      <c r="X529">
        <v>48</v>
      </c>
      <c r="Y529">
        <v>10</v>
      </c>
      <c r="Z529">
        <v>4</v>
      </c>
      <c r="AA529">
        <v>4</v>
      </c>
      <c r="AB529">
        <v>1</v>
      </c>
      <c r="AC529">
        <v>673</v>
      </c>
      <c r="AD529" s="8">
        <v>43566.946527777778</v>
      </c>
      <c r="AE529" s="8"/>
      <c r="AF529" s="8"/>
    </row>
    <row r="530" spans="1:32">
      <c r="A530" t="s">
        <v>362</v>
      </c>
      <c r="B530">
        <v>7.1</v>
      </c>
      <c r="C530" s="8">
        <v>43621.888194444444</v>
      </c>
      <c r="D530">
        <v>7</v>
      </c>
      <c r="E530">
        <v>6</v>
      </c>
      <c r="F530" t="s">
        <v>45</v>
      </c>
      <c r="G530">
        <v>1</v>
      </c>
      <c r="H530">
        <v>826</v>
      </c>
      <c r="I530" t="s">
        <v>22</v>
      </c>
      <c r="J530">
        <v>0</v>
      </c>
      <c r="K530">
        <v>2.5139999999999998</v>
      </c>
      <c r="L530">
        <v>16</v>
      </c>
      <c r="M530" t="s">
        <v>23</v>
      </c>
      <c r="N530">
        <v>146</v>
      </c>
      <c r="O530">
        <v>-6.9745999999999997</v>
      </c>
      <c r="P530">
        <v>146.44900000000001</v>
      </c>
      <c r="Q530" t="s">
        <v>363</v>
      </c>
      <c r="R530" t="s">
        <v>25</v>
      </c>
      <c r="S530" t="s">
        <v>64</v>
      </c>
      <c r="T530">
        <v>5</v>
      </c>
      <c r="U530">
        <v>7.1</v>
      </c>
      <c r="V530">
        <v>0</v>
      </c>
      <c r="W530">
        <v>2.5139999999999998</v>
      </c>
      <c r="X530">
        <v>16</v>
      </c>
      <c r="Y530">
        <v>146</v>
      </c>
      <c r="Z530">
        <v>7</v>
      </c>
      <c r="AA530">
        <v>6</v>
      </c>
      <c r="AB530">
        <v>1</v>
      </c>
      <c r="AC530">
        <v>826</v>
      </c>
      <c r="AD530" s="8">
        <v>43621.888194444444</v>
      </c>
      <c r="AE530" s="8"/>
      <c r="AF530" s="8"/>
    </row>
    <row r="531" spans="1:32">
      <c r="A531" t="s">
        <v>309</v>
      </c>
      <c r="B531">
        <v>6.5</v>
      </c>
      <c r="C531" s="8">
        <v>43688.447222222225</v>
      </c>
      <c r="D531">
        <v>0</v>
      </c>
      <c r="E531">
        <v>2</v>
      </c>
      <c r="F531" t="s">
        <v>21</v>
      </c>
      <c r="G531">
        <v>0</v>
      </c>
      <c r="H531">
        <v>650</v>
      </c>
      <c r="I531" t="s">
        <v>22</v>
      </c>
      <c r="J531">
        <v>0</v>
      </c>
      <c r="K531">
        <v>4.7649999999999997</v>
      </c>
      <c r="L531">
        <v>25</v>
      </c>
      <c r="M531" t="s">
        <v>23</v>
      </c>
      <c r="N531">
        <v>577</v>
      </c>
      <c r="O531">
        <v>-21.944900000000001</v>
      </c>
      <c r="P531">
        <v>-179.511</v>
      </c>
      <c r="Q531" t="s">
        <v>310</v>
      </c>
      <c r="R531" t="s">
        <v>25</v>
      </c>
      <c r="S531" t="s">
        <v>31</v>
      </c>
      <c r="T531">
        <v>5</v>
      </c>
      <c r="U531">
        <v>6.5</v>
      </c>
      <c r="V531">
        <v>0</v>
      </c>
      <c r="W531">
        <v>4.7649999999999997</v>
      </c>
      <c r="X531">
        <v>25</v>
      </c>
      <c r="Y531">
        <v>577</v>
      </c>
      <c r="Z531">
        <v>0</v>
      </c>
      <c r="AA531">
        <v>2</v>
      </c>
      <c r="AB531">
        <v>0</v>
      </c>
      <c r="AC531">
        <v>650</v>
      </c>
      <c r="AD531" s="8">
        <v>43688.447222222225</v>
      </c>
      <c r="AE531" s="8"/>
      <c r="AF531" s="8"/>
    </row>
    <row r="532" spans="1:32">
      <c r="A532" t="s">
        <v>280</v>
      </c>
      <c r="B532">
        <v>6.6</v>
      </c>
      <c r="C532" s="8">
        <v>44170.945138888892</v>
      </c>
      <c r="D532">
        <v>4</v>
      </c>
      <c r="E532">
        <v>6</v>
      </c>
      <c r="F532" t="s">
        <v>21</v>
      </c>
      <c r="G532">
        <v>1</v>
      </c>
      <c r="H532">
        <v>671</v>
      </c>
      <c r="I532" t="s">
        <v>22</v>
      </c>
      <c r="J532">
        <v>0</v>
      </c>
      <c r="K532">
        <v>3.403</v>
      </c>
      <c r="L532">
        <v>12</v>
      </c>
      <c r="M532" t="s">
        <v>23</v>
      </c>
      <c r="N532">
        <v>107</v>
      </c>
      <c r="O532">
        <v>-12.0662</v>
      </c>
      <c r="P532">
        <v>166.648</v>
      </c>
      <c r="Q532" t="s">
        <v>281</v>
      </c>
      <c r="R532" t="s">
        <v>25</v>
      </c>
      <c r="S532" t="s">
        <v>26</v>
      </c>
      <c r="T532">
        <v>5</v>
      </c>
      <c r="U532">
        <v>6.6</v>
      </c>
      <c r="V532">
        <v>0</v>
      </c>
      <c r="W532">
        <v>3.403</v>
      </c>
      <c r="X532">
        <v>12</v>
      </c>
      <c r="Y532">
        <v>107</v>
      </c>
      <c r="Z532">
        <v>4</v>
      </c>
      <c r="AA532">
        <v>6</v>
      </c>
      <c r="AB532">
        <v>1</v>
      </c>
      <c r="AC532">
        <v>671</v>
      </c>
      <c r="AD532" s="8">
        <v>44170.945138888892</v>
      </c>
      <c r="AE532" s="8"/>
      <c r="AF532" s="8"/>
    </row>
    <row r="533" spans="1:32">
      <c r="A533" t="s">
        <v>148</v>
      </c>
      <c r="B533">
        <v>7.3</v>
      </c>
      <c r="C533" s="8">
        <v>44237.270138888889</v>
      </c>
      <c r="D533">
        <v>4</v>
      </c>
      <c r="E533">
        <v>4</v>
      </c>
      <c r="F533" t="s">
        <v>21</v>
      </c>
      <c r="G533">
        <v>1</v>
      </c>
      <c r="H533">
        <v>826</v>
      </c>
      <c r="I533" t="s">
        <v>22</v>
      </c>
      <c r="J533">
        <v>0</v>
      </c>
      <c r="K533">
        <v>4.4930000000000003</v>
      </c>
      <c r="L533">
        <v>32</v>
      </c>
      <c r="M533" t="s">
        <v>23</v>
      </c>
      <c r="N533">
        <v>527</v>
      </c>
      <c r="O533">
        <v>-21.1036</v>
      </c>
      <c r="P533">
        <v>174.89500000000001</v>
      </c>
      <c r="Q533" t="s">
        <v>147</v>
      </c>
      <c r="R533" t="s">
        <v>25</v>
      </c>
      <c r="S533" t="s">
        <v>163</v>
      </c>
      <c r="T533">
        <v>5</v>
      </c>
      <c r="U533">
        <v>7.3</v>
      </c>
      <c r="V533">
        <v>0</v>
      </c>
      <c r="W533">
        <v>4.4930000000000003</v>
      </c>
      <c r="X533">
        <v>32</v>
      </c>
      <c r="Y533">
        <v>527</v>
      </c>
      <c r="Z533">
        <v>4</v>
      </c>
      <c r="AA533">
        <v>4</v>
      </c>
      <c r="AB533">
        <v>1</v>
      </c>
      <c r="AC533">
        <v>826</v>
      </c>
      <c r="AD533" s="8">
        <v>44237.270138888889</v>
      </c>
      <c r="AE533" s="8"/>
      <c r="AF533" s="8"/>
    </row>
    <row r="534" spans="1:32">
      <c r="A534" t="s">
        <v>215</v>
      </c>
      <c r="B534">
        <v>7.3</v>
      </c>
      <c r="C534" s="8">
        <v>44289.560416666667</v>
      </c>
      <c r="D534">
        <v>7</v>
      </c>
      <c r="E534">
        <v>6</v>
      </c>
      <c r="F534" t="s">
        <v>21</v>
      </c>
      <c r="G534">
        <v>1</v>
      </c>
      <c r="H534">
        <v>932</v>
      </c>
      <c r="I534" t="s">
        <v>22</v>
      </c>
      <c r="J534">
        <v>0</v>
      </c>
      <c r="K534">
        <v>0.91800000000000004</v>
      </c>
      <c r="L534">
        <v>24</v>
      </c>
      <c r="M534" t="s">
        <v>23</v>
      </c>
      <c r="N534">
        <v>10</v>
      </c>
      <c r="O534">
        <v>-37.595999999999997</v>
      </c>
      <c r="P534">
        <v>179.54400000000001</v>
      </c>
      <c r="Q534" t="s">
        <v>216</v>
      </c>
      <c r="R534" t="s">
        <v>25</v>
      </c>
      <c r="S534" t="s">
        <v>594</v>
      </c>
      <c r="T534">
        <v>5</v>
      </c>
      <c r="U534">
        <v>7.3</v>
      </c>
      <c r="V534">
        <v>0</v>
      </c>
      <c r="W534">
        <v>0.91800000000000004</v>
      </c>
      <c r="X534">
        <v>24</v>
      </c>
      <c r="Y534">
        <v>10</v>
      </c>
      <c r="Z534">
        <v>7</v>
      </c>
      <c r="AA534">
        <v>6</v>
      </c>
      <c r="AB534">
        <v>1</v>
      </c>
      <c r="AC534">
        <v>932</v>
      </c>
      <c r="AD534" s="8">
        <v>44289.560416666667</v>
      </c>
      <c r="AE534" s="8"/>
      <c r="AF534" s="8"/>
    </row>
    <row r="535" spans="1:32">
      <c r="A535" t="s">
        <v>214</v>
      </c>
      <c r="B535">
        <v>7.4</v>
      </c>
      <c r="C535" s="8">
        <v>44289.736805555556</v>
      </c>
      <c r="D535">
        <v>3</v>
      </c>
      <c r="E535">
        <v>7</v>
      </c>
      <c r="F535" t="s">
        <v>21</v>
      </c>
      <c r="G535">
        <v>1</v>
      </c>
      <c r="H535">
        <v>843</v>
      </c>
      <c r="I535" t="s">
        <v>22</v>
      </c>
      <c r="J535">
        <v>0</v>
      </c>
      <c r="K535">
        <v>0.437</v>
      </c>
      <c r="L535">
        <v>30</v>
      </c>
      <c r="M535" t="s">
        <v>23</v>
      </c>
      <c r="N535">
        <v>43</v>
      </c>
      <c r="O535">
        <v>-29.613099999999999</v>
      </c>
      <c r="P535">
        <v>-177.84200000000001</v>
      </c>
      <c r="Q535" t="s">
        <v>110</v>
      </c>
      <c r="R535" t="s">
        <v>25</v>
      </c>
      <c r="S535" t="s">
        <v>594</v>
      </c>
      <c r="T535">
        <v>5</v>
      </c>
      <c r="U535">
        <v>7.4</v>
      </c>
      <c r="V535">
        <v>0</v>
      </c>
      <c r="W535">
        <v>0.437</v>
      </c>
      <c r="X535">
        <v>30</v>
      </c>
      <c r="Y535">
        <v>43</v>
      </c>
      <c r="Z535">
        <v>3</v>
      </c>
      <c r="AA535">
        <v>7</v>
      </c>
      <c r="AB535">
        <v>1</v>
      </c>
      <c r="AC535">
        <v>843</v>
      </c>
      <c r="AD535" s="8">
        <v>44289.736805555556</v>
      </c>
      <c r="AE535" s="8"/>
      <c r="AF535" s="8"/>
    </row>
    <row r="536" spans="1:32">
      <c r="A536" t="s">
        <v>213</v>
      </c>
      <c r="B536">
        <v>8.1</v>
      </c>
      <c r="C536" s="8">
        <v>44289.811111111114</v>
      </c>
      <c r="D536">
        <v>9</v>
      </c>
      <c r="E536">
        <v>8</v>
      </c>
      <c r="F536" t="s">
        <v>21</v>
      </c>
      <c r="G536">
        <v>1</v>
      </c>
      <c r="H536">
        <v>1021</v>
      </c>
      <c r="I536" t="s">
        <v>22</v>
      </c>
      <c r="J536">
        <v>0</v>
      </c>
      <c r="K536">
        <v>0.73899999999999999</v>
      </c>
      <c r="L536">
        <v>21</v>
      </c>
      <c r="M536" t="s">
        <v>23</v>
      </c>
      <c r="N536">
        <v>28.93</v>
      </c>
      <c r="O536">
        <v>-29.746600000000001</v>
      </c>
      <c r="P536">
        <v>-177.22399999999999</v>
      </c>
      <c r="Q536" t="s">
        <v>110</v>
      </c>
      <c r="R536" t="s">
        <v>25</v>
      </c>
      <c r="S536" t="s">
        <v>594</v>
      </c>
      <c r="T536">
        <v>5</v>
      </c>
      <c r="U536">
        <v>8.1</v>
      </c>
      <c r="V536">
        <v>0</v>
      </c>
      <c r="W536">
        <v>0.73899999999999999</v>
      </c>
      <c r="X536">
        <v>21</v>
      </c>
      <c r="Y536">
        <v>28.93</v>
      </c>
      <c r="Z536">
        <v>9</v>
      </c>
      <c r="AA536">
        <v>8</v>
      </c>
      <c r="AB536">
        <v>1</v>
      </c>
      <c r="AC536">
        <v>1021</v>
      </c>
      <c r="AD536" s="8">
        <v>44289.811111111114</v>
      </c>
      <c r="AE536" s="8"/>
      <c r="AF536" s="8"/>
    </row>
    <row r="537" spans="1:32">
      <c r="A537" t="s">
        <v>114</v>
      </c>
      <c r="B537">
        <v>6.5</v>
      </c>
      <c r="C537" s="8">
        <v>44289.966666666667</v>
      </c>
      <c r="D537">
        <v>0</v>
      </c>
      <c r="E537">
        <v>4</v>
      </c>
      <c r="F537" t="s">
        <v>21</v>
      </c>
      <c r="G537">
        <v>0</v>
      </c>
      <c r="H537">
        <v>650</v>
      </c>
      <c r="I537" t="s">
        <v>22</v>
      </c>
      <c r="J537">
        <v>0</v>
      </c>
      <c r="K537">
        <v>11.763999999999999</v>
      </c>
      <c r="L537">
        <v>25</v>
      </c>
      <c r="M537" t="s">
        <v>36</v>
      </c>
      <c r="N537">
        <v>24</v>
      </c>
      <c r="O537">
        <v>-28.479199999999999</v>
      </c>
      <c r="P537">
        <v>-176.619</v>
      </c>
      <c r="Q537" t="s">
        <v>116</v>
      </c>
      <c r="R537" t="s">
        <v>25</v>
      </c>
      <c r="S537" t="s">
        <v>594</v>
      </c>
      <c r="T537">
        <v>5</v>
      </c>
      <c r="U537">
        <v>6.5</v>
      </c>
      <c r="V537">
        <v>0</v>
      </c>
      <c r="W537">
        <v>11.763999999999999</v>
      </c>
      <c r="X537">
        <v>25</v>
      </c>
      <c r="Y537">
        <v>24</v>
      </c>
      <c r="Z537">
        <v>0</v>
      </c>
      <c r="AA537">
        <v>4</v>
      </c>
      <c r="AB537">
        <v>0</v>
      </c>
      <c r="AC537">
        <v>650</v>
      </c>
      <c r="AD537" s="8">
        <v>44289.966666666667</v>
      </c>
      <c r="AE537" s="8"/>
      <c r="AF537" s="8"/>
    </row>
    <row r="538" spans="1:32">
      <c r="A538" t="s">
        <v>146</v>
      </c>
      <c r="B538">
        <v>6.9</v>
      </c>
      <c r="C538" s="8">
        <v>44449.456944444442</v>
      </c>
      <c r="D538">
        <v>4</v>
      </c>
      <c r="E538">
        <v>3</v>
      </c>
      <c r="F538" t="s">
        <v>21</v>
      </c>
      <c r="G538">
        <v>1</v>
      </c>
      <c r="H538">
        <v>740</v>
      </c>
      <c r="I538" t="s">
        <v>22</v>
      </c>
      <c r="J538">
        <v>0</v>
      </c>
      <c r="K538">
        <v>4.7779999999999996</v>
      </c>
      <c r="L538">
        <v>31</v>
      </c>
      <c r="M538" t="s">
        <v>23</v>
      </c>
      <c r="N538">
        <v>535</v>
      </c>
      <c r="O538">
        <v>-21.170400000000001</v>
      </c>
      <c r="P538">
        <v>174.54</v>
      </c>
      <c r="Q538" t="s">
        <v>147</v>
      </c>
      <c r="R538" t="s">
        <v>25</v>
      </c>
      <c r="S538" t="s">
        <v>163</v>
      </c>
      <c r="T538">
        <v>5</v>
      </c>
      <c r="U538">
        <v>6.9</v>
      </c>
      <c r="V538">
        <v>0</v>
      </c>
      <c r="W538">
        <v>4.7779999999999996</v>
      </c>
      <c r="X538">
        <v>31</v>
      </c>
      <c r="Y538">
        <v>535</v>
      </c>
      <c r="Z538">
        <v>4</v>
      </c>
      <c r="AA538">
        <v>3</v>
      </c>
      <c r="AB538">
        <v>1</v>
      </c>
      <c r="AC538">
        <v>740</v>
      </c>
      <c r="AD538" s="8">
        <v>44449.456944444442</v>
      </c>
      <c r="AE538" s="8"/>
      <c r="AF538" s="8"/>
    </row>
    <row r="539" spans="1:32">
      <c r="A539" t="s">
        <v>219</v>
      </c>
      <c r="B539">
        <v>7.7</v>
      </c>
      <c r="C539" s="8">
        <v>44471.554861111108</v>
      </c>
      <c r="D539">
        <v>9</v>
      </c>
      <c r="E539">
        <v>4</v>
      </c>
      <c r="F539" t="s">
        <v>21</v>
      </c>
      <c r="G539">
        <v>1</v>
      </c>
      <c r="H539">
        <v>918</v>
      </c>
      <c r="I539" t="s">
        <v>22</v>
      </c>
      <c r="J539">
        <v>0</v>
      </c>
      <c r="K539">
        <v>7.9889999999999999</v>
      </c>
      <c r="L539">
        <v>15</v>
      </c>
      <c r="M539" t="s">
        <v>23</v>
      </c>
      <c r="N539">
        <v>10</v>
      </c>
      <c r="O539">
        <v>-23.278700000000001</v>
      </c>
      <c r="P539">
        <v>171.489</v>
      </c>
      <c r="Q539" t="s">
        <v>94</v>
      </c>
      <c r="R539" t="s">
        <v>25</v>
      </c>
      <c r="S539" t="s">
        <v>1750</v>
      </c>
      <c r="T539">
        <v>5</v>
      </c>
      <c r="U539">
        <v>7.7</v>
      </c>
      <c r="V539">
        <v>0</v>
      </c>
      <c r="W539">
        <v>7.9889999999999999</v>
      </c>
      <c r="X539">
        <v>15</v>
      </c>
      <c r="Y539">
        <v>10</v>
      </c>
      <c r="Z539">
        <v>9</v>
      </c>
      <c r="AA539">
        <v>4</v>
      </c>
      <c r="AB539">
        <v>1</v>
      </c>
      <c r="AC539">
        <v>918</v>
      </c>
      <c r="AD539" s="8">
        <v>44471.554861111108</v>
      </c>
      <c r="AE539" s="8"/>
      <c r="AF539" s="8"/>
    </row>
    <row r="540" spans="1:32">
      <c r="A540" t="s">
        <v>109</v>
      </c>
      <c r="B540">
        <v>6.6</v>
      </c>
      <c r="C540" s="8">
        <v>44595.536111111112</v>
      </c>
      <c r="D540">
        <v>2</v>
      </c>
      <c r="E540">
        <v>7</v>
      </c>
      <c r="F540" t="s">
        <v>21</v>
      </c>
      <c r="G540">
        <v>1</v>
      </c>
      <c r="H540">
        <v>670</v>
      </c>
      <c r="I540" t="s">
        <v>22</v>
      </c>
      <c r="J540">
        <v>0</v>
      </c>
      <c r="K540">
        <v>0.82699999999999996</v>
      </c>
      <c r="L540">
        <v>46</v>
      </c>
      <c r="M540" t="s">
        <v>23</v>
      </c>
      <c r="N540">
        <v>24</v>
      </c>
      <c r="O540">
        <v>-30.052800000000001</v>
      </c>
      <c r="P540">
        <v>-177.74</v>
      </c>
      <c r="Q540" t="s">
        <v>110</v>
      </c>
      <c r="R540" t="s">
        <v>25</v>
      </c>
      <c r="S540" t="s">
        <v>594</v>
      </c>
      <c r="T540">
        <v>5</v>
      </c>
      <c r="U540">
        <v>6.6</v>
      </c>
      <c r="V540">
        <v>0</v>
      </c>
      <c r="W540">
        <v>0.82699999999999996</v>
      </c>
      <c r="X540">
        <v>46</v>
      </c>
      <c r="Y540">
        <v>24</v>
      </c>
      <c r="Z540">
        <v>2</v>
      </c>
      <c r="AA540">
        <v>7</v>
      </c>
      <c r="AB540">
        <v>1</v>
      </c>
      <c r="AC540">
        <v>670</v>
      </c>
      <c r="AD540" s="8">
        <v>44595.536111111112</v>
      </c>
      <c r="AE540" s="8"/>
      <c r="AF540" s="8"/>
    </row>
    <row r="541" spans="1:32">
      <c r="A541" t="s">
        <v>38</v>
      </c>
      <c r="B541">
        <v>6.8</v>
      </c>
      <c r="C541" s="8">
        <v>44815.401388888888</v>
      </c>
      <c r="D541">
        <v>1</v>
      </c>
      <c r="E541">
        <v>3</v>
      </c>
      <c r="F541" t="s">
        <v>21</v>
      </c>
      <c r="G541">
        <v>1</v>
      </c>
      <c r="H541">
        <v>711</v>
      </c>
      <c r="I541" t="s">
        <v>22</v>
      </c>
      <c r="J541">
        <v>136</v>
      </c>
      <c r="K541">
        <v>4.6779999999999999</v>
      </c>
      <c r="L541">
        <v>22</v>
      </c>
      <c r="M541" t="s">
        <v>23</v>
      </c>
      <c r="N541">
        <v>630.37900000000002</v>
      </c>
      <c r="O541">
        <v>-25.9678</v>
      </c>
      <c r="P541">
        <v>178.363</v>
      </c>
      <c r="Q541" t="s">
        <v>37</v>
      </c>
      <c r="R541" t="s">
        <v>25</v>
      </c>
      <c r="S541" t="s">
        <v>31</v>
      </c>
      <c r="T541">
        <v>5</v>
      </c>
      <c r="U541">
        <v>6.8</v>
      </c>
      <c r="V541">
        <v>136</v>
      </c>
      <c r="W541">
        <v>4.6779999999999999</v>
      </c>
      <c r="X541">
        <v>22</v>
      </c>
      <c r="Y541">
        <v>630.37900000000002</v>
      </c>
      <c r="Z541">
        <v>1</v>
      </c>
      <c r="AA541">
        <v>3</v>
      </c>
      <c r="AB541">
        <v>1</v>
      </c>
      <c r="AC541">
        <v>711</v>
      </c>
      <c r="AD541" s="8">
        <v>44815.401388888888</v>
      </c>
      <c r="AE541" s="8"/>
      <c r="AF541" s="8"/>
    </row>
    <row r="542" spans="1:32">
      <c r="A542" t="s">
        <v>35</v>
      </c>
      <c r="B542">
        <v>7</v>
      </c>
      <c r="C542" s="8">
        <v>44815.410416666666</v>
      </c>
      <c r="D542">
        <v>4</v>
      </c>
      <c r="E542">
        <v>3</v>
      </c>
      <c r="F542" t="s">
        <v>21</v>
      </c>
      <c r="G542">
        <v>1</v>
      </c>
      <c r="H542">
        <v>755</v>
      </c>
      <c r="I542" t="s">
        <v>22</v>
      </c>
      <c r="J542">
        <v>142</v>
      </c>
      <c r="K542">
        <v>4.5780000000000003</v>
      </c>
      <c r="L542">
        <v>26</v>
      </c>
      <c r="M542" t="s">
        <v>36</v>
      </c>
      <c r="N542">
        <v>660</v>
      </c>
      <c r="O542">
        <v>-26.0442</v>
      </c>
      <c r="P542">
        <v>178.381</v>
      </c>
      <c r="Q542" t="s">
        <v>37</v>
      </c>
      <c r="R542" t="s">
        <v>25</v>
      </c>
      <c r="S542" t="s">
        <v>31</v>
      </c>
      <c r="T542">
        <v>5</v>
      </c>
      <c r="U542">
        <v>7</v>
      </c>
      <c r="V542">
        <v>142</v>
      </c>
      <c r="W542">
        <v>4.5780000000000003</v>
      </c>
      <c r="X542">
        <v>26</v>
      </c>
      <c r="Y542">
        <v>660</v>
      </c>
      <c r="Z542">
        <v>4</v>
      </c>
      <c r="AA542">
        <v>3</v>
      </c>
      <c r="AB542">
        <v>1</v>
      </c>
      <c r="AC542">
        <v>755</v>
      </c>
      <c r="AD542" s="8">
        <v>44815.410416666666</v>
      </c>
      <c r="AE542" s="8"/>
      <c r="AF542" s="8"/>
    </row>
    <row r="543" spans="1:32">
      <c r="A543" t="s">
        <v>62</v>
      </c>
      <c r="B543">
        <v>7.6</v>
      </c>
      <c r="C543" s="8">
        <v>44843.990972222222</v>
      </c>
      <c r="D543">
        <v>8</v>
      </c>
      <c r="E543">
        <v>8</v>
      </c>
      <c r="F543" t="s">
        <v>45</v>
      </c>
      <c r="G543">
        <v>1</v>
      </c>
      <c r="H543">
        <v>965</v>
      </c>
      <c r="I543" t="s">
        <v>22</v>
      </c>
      <c r="J543">
        <v>272</v>
      </c>
      <c r="K543">
        <v>3.1579999999999999</v>
      </c>
      <c r="L543">
        <v>12</v>
      </c>
      <c r="M543" t="s">
        <v>23</v>
      </c>
      <c r="N543">
        <v>116</v>
      </c>
      <c r="O543">
        <v>-6.2237</v>
      </c>
      <c r="P543">
        <v>146.471</v>
      </c>
      <c r="Q543" t="s">
        <v>63</v>
      </c>
      <c r="R543" t="s">
        <v>25</v>
      </c>
      <c r="S543" t="s">
        <v>64</v>
      </c>
      <c r="T543">
        <v>5</v>
      </c>
      <c r="U543">
        <v>7.6</v>
      </c>
      <c r="V543">
        <v>272</v>
      </c>
      <c r="W543">
        <v>3.1579999999999999</v>
      </c>
      <c r="X543">
        <v>12</v>
      </c>
      <c r="Y543">
        <v>116</v>
      </c>
      <c r="Z543">
        <v>8</v>
      </c>
      <c r="AA543">
        <v>8</v>
      </c>
      <c r="AB543">
        <v>1</v>
      </c>
      <c r="AC543">
        <v>965</v>
      </c>
      <c r="AD543" s="8">
        <v>44843.990972222222</v>
      </c>
      <c r="AE543" s="8"/>
      <c r="AF543" s="8"/>
    </row>
    <row r="544" spans="1:32">
      <c r="A544" t="s">
        <v>32</v>
      </c>
      <c r="B544">
        <v>7.3</v>
      </c>
      <c r="C544" s="8">
        <v>44876.45</v>
      </c>
      <c r="D544">
        <v>5</v>
      </c>
      <c r="E544">
        <v>5</v>
      </c>
      <c r="F544" t="s">
        <v>21</v>
      </c>
      <c r="G544">
        <v>1</v>
      </c>
      <c r="H544">
        <v>833</v>
      </c>
      <c r="I544" t="s">
        <v>22</v>
      </c>
      <c r="J544">
        <v>149</v>
      </c>
      <c r="K544">
        <v>1.865</v>
      </c>
      <c r="L544">
        <v>21</v>
      </c>
      <c r="M544" t="s">
        <v>23</v>
      </c>
      <c r="N544">
        <v>37</v>
      </c>
      <c r="O544">
        <v>-19.291799999999999</v>
      </c>
      <c r="P544">
        <v>-172.12899999999999</v>
      </c>
      <c r="Q544" t="s">
        <v>33</v>
      </c>
      <c r="R544" t="s">
        <v>25</v>
      </c>
      <c r="S544" t="s">
        <v>1022</v>
      </c>
      <c r="T544">
        <v>5</v>
      </c>
      <c r="U544">
        <v>7.3</v>
      </c>
      <c r="V544">
        <v>149</v>
      </c>
      <c r="W544">
        <v>1.865</v>
      </c>
      <c r="X544">
        <v>21</v>
      </c>
      <c r="Y544">
        <v>37</v>
      </c>
      <c r="Z544">
        <v>5</v>
      </c>
      <c r="AA544">
        <v>5</v>
      </c>
      <c r="AB544">
        <v>1</v>
      </c>
      <c r="AC544">
        <v>833</v>
      </c>
      <c r="AD544" s="8">
        <v>44876.45</v>
      </c>
      <c r="AE544" s="8"/>
      <c r="AF544" s="8"/>
    </row>
    <row r="545" spans="1:32">
      <c r="A545" t="s">
        <v>30</v>
      </c>
      <c r="B545">
        <v>7</v>
      </c>
      <c r="C545" s="8">
        <v>44906.29791666667</v>
      </c>
      <c r="D545">
        <v>3</v>
      </c>
      <c r="E545">
        <v>3</v>
      </c>
      <c r="F545" t="s">
        <v>21</v>
      </c>
      <c r="G545">
        <v>1</v>
      </c>
      <c r="H545">
        <v>755</v>
      </c>
      <c r="I545" t="s">
        <v>22</v>
      </c>
      <c r="J545">
        <v>147</v>
      </c>
      <c r="K545">
        <v>3.125</v>
      </c>
      <c r="L545">
        <v>18</v>
      </c>
      <c r="M545" t="s">
        <v>23</v>
      </c>
      <c r="N545">
        <v>579</v>
      </c>
      <c r="O545">
        <v>-20.050799999999999</v>
      </c>
      <c r="P545">
        <v>-178.346</v>
      </c>
      <c r="R545" t="s">
        <v>25</v>
      </c>
      <c r="S545" t="s">
        <v>31</v>
      </c>
      <c r="T545">
        <v>5</v>
      </c>
      <c r="U545">
        <v>7</v>
      </c>
      <c r="V545">
        <v>147</v>
      </c>
      <c r="W545">
        <v>3.125</v>
      </c>
      <c r="X545">
        <v>18</v>
      </c>
      <c r="Y545">
        <v>579</v>
      </c>
      <c r="Z545">
        <v>3</v>
      </c>
      <c r="AA545">
        <v>3</v>
      </c>
      <c r="AB545">
        <v>1</v>
      </c>
      <c r="AC545">
        <v>755</v>
      </c>
      <c r="AD545" s="8">
        <v>44906.29791666667</v>
      </c>
      <c r="AE545" s="8"/>
      <c r="AF545" s="8"/>
    </row>
    <row r="546" spans="1:32">
      <c r="A546" t="s">
        <v>1123</v>
      </c>
      <c r="B546">
        <v>7</v>
      </c>
      <c r="C546" s="8" t="s">
        <v>1124</v>
      </c>
      <c r="D546">
        <v>2</v>
      </c>
      <c r="E546">
        <v>5</v>
      </c>
      <c r="G546">
        <v>0</v>
      </c>
      <c r="H546">
        <v>755</v>
      </c>
      <c r="I546" t="s">
        <v>22</v>
      </c>
      <c r="J546">
        <v>578</v>
      </c>
      <c r="K546">
        <v>0</v>
      </c>
      <c r="L546">
        <v>13.3</v>
      </c>
      <c r="M546" t="s">
        <v>23</v>
      </c>
      <c r="N546">
        <v>9</v>
      </c>
      <c r="O546">
        <v>-20.628</v>
      </c>
      <c r="P546">
        <v>168.471</v>
      </c>
      <c r="Q546" t="s">
        <v>97</v>
      </c>
      <c r="R546" t="s">
        <v>25</v>
      </c>
      <c r="S546" t="s">
        <v>1744</v>
      </c>
      <c r="T546">
        <v>5</v>
      </c>
      <c r="U546">
        <v>7</v>
      </c>
      <c r="V546">
        <v>578</v>
      </c>
      <c r="W546">
        <v>0</v>
      </c>
      <c r="X546">
        <v>13.3</v>
      </c>
      <c r="Y546">
        <v>9</v>
      </c>
      <c r="Z546">
        <v>2</v>
      </c>
      <c r="AA546">
        <v>5</v>
      </c>
      <c r="AB546">
        <v>0</v>
      </c>
      <c r="AC546">
        <v>755</v>
      </c>
      <c r="AD546" s="8">
        <v>40556</v>
      </c>
      <c r="AE546" s="8"/>
      <c r="AF546" s="8"/>
    </row>
    <row r="547" spans="1:32">
      <c r="A547" t="s">
        <v>851</v>
      </c>
      <c r="B547">
        <v>7.4</v>
      </c>
      <c r="C547" s="8" t="s">
        <v>852</v>
      </c>
      <c r="D547">
        <v>0</v>
      </c>
      <c r="E547">
        <v>6</v>
      </c>
      <c r="F547" t="s">
        <v>21</v>
      </c>
      <c r="G547">
        <v>1</v>
      </c>
      <c r="H547">
        <v>842</v>
      </c>
      <c r="I547" t="s">
        <v>22</v>
      </c>
      <c r="J547">
        <v>0</v>
      </c>
      <c r="K547">
        <v>2.8849999999999998</v>
      </c>
      <c r="L547">
        <v>17</v>
      </c>
      <c r="M547" t="s">
        <v>23</v>
      </c>
      <c r="N547">
        <v>39</v>
      </c>
      <c r="O547">
        <v>-11.4633</v>
      </c>
      <c r="P547">
        <v>162.05099999999999</v>
      </c>
      <c r="Q547" t="s">
        <v>428</v>
      </c>
      <c r="R547" t="s">
        <v>25</v>
      </c>
      <c r="S547" t="s">
        <v>26</v>
      </c>
      <c r="T547">
        <v>5</v>
      </c>
      <c r="U547">
        <v>7.4</v>
      </c>
      <c r="V547">
        <v>0</v>
      </c>
      <c r="W547">
        <v>2.8849999999999998</v>
      </c>
      <c r="X547">
        <v>17</v>
      </c>
      <c r="Y547">
        <v>39</v>
      </c>
      <c r="Z547">
        <v>0</v>
      </c>
      <c r="AA547">
        <v>6</v>
      </c>
      <c r="AB547">
        <v>1</v>
      </c>
      <c r="AC547">
        <v>842</v>
      </c>
      <c r="AD547" s="8">
        <v>41742</v>
      </c>
      <c r="AE547" s="8"/>
      <c r="AF547" s="8"/>
    </row>
    <row r="548" spans="1:32">
      <c r="A548" t="s">
        <v>849</v>
      </c>
      <c r="B548">
        <v>6.6</v>
      </c>
      <c r="C548" s="8" t="s">
        <v>850</v>
      </c>
      <c r="D548">
        <v>0</v>
      </c>
      <c r="E548">
        <v>6</v>
      </c>
      <c r="F548" t="s">
        <v>21</v>
      </c>
      <c r="G548">
        <v>0</v>
      </c>
      <c r="H548">
        <v>670</v>
      </c>
      <c r="I548" t="s">
        <v>22</v>
      </c>
      <c r="J548">
        <v>0</v>
      </c>
      <c r="K548">
        <v>2.6659999999999999</v>
      </c>
      <c r="L548">
        <v>22</v>
      </c>
      <c r="M548" t="s">
        <v>23</v>
      </c>
      <c r="N548">
        <v>10</v>
      </c>
      <c r="O548">
        <v>-11.128399999999999</v>
      </c>
      <c r="P548">
        <v>162.05199999999999</v>
      </c>
      <c r="Q548" t="s">
        <v>428</v>
      </c>
      <c r="R548" t="s">
        <v>25</v>
      </c>
      <c r="S548" t="s">
        <v>26</v>
      </c>
      <c r="T548">
        <v>5</v>
      </c>
      <c r="U548">
        <v>6.6</v>
      </c>
      <c r="V548">
        <v>0</v>
      </c>
      <c r="W548">
        <v>2.6659999999999999</v>
      </c>
      <c r="X548">
        <v>22</v>
      </c>
      <c r="Y548">
        <v>10</v>
      </c>
      <c r="Z548">
        <v>0</v>
      </c>
      <c r="AA548">
        <v>6</v>
      </c>
      <c r="AB548">
        <v>0</v>
      </c>
      <c r="AC548">
        <v>670</v>
      </c>
      <c r="AD548" s="8">
        <v>41742</v>
      </c>
      <c r="AE548" s="8"/>
      <c r="AF548" s="8"/>
    </row>
    <row r="549" spans="1:32">
      <c r="A549" t="s">
        <v>598</v>
      </c>
      <c r="B549">
        <v>7.8</v>
      </c>
      <c r="C549" s="8" t="s">
        <v>599</v>
      </c>
      <c r="D549">
        <v>9</v>
      </c>
      <c r="E549">
        <v>9</v>
      </c>
      <c r="F549" t="s">
        <v>66</v>
      </c>
      <c r="G549">
        <v>1</v>
      </c>
      <c r="H549">
        <v>1545</v>
      </c>
      <c r="I549" t="s">
        <v>22</v>
      </c>
      <c r="J549">
        <v>0</v>
      </c>
      <c r="K549">
        <v>0.48099999999999998</v>
      </c>
      <c r="L549">
        <v>21</v>
      </c>
      <c r="M549" t="s">
        <v>23</v>
      </c>
      <c r="N549">
        <v>15.11</v>
      </c>
      <c r="O549">
        <v>-42.737299999999998</v>
      </c>
      <c r="P549">
        <v>173.054</v>
      </c>
      <c r="Q549" t="s">
        <v>593</v>
      </c>
      <c r="R549" t="s">
        <v>25</v>
      </c>
      <c r="S549" t="s">
        <v>594</v>
      </c>
      <c r="T549">
        <v>5</v>
      </c>
      <c r="U549">
        <v>7.8</v>
      </c>
      <c r="V549">
        <v>0</v>
      </c>
      <c r="W549">
        <v>0.48099999999999998</v>
      </c>
      <c r="X549">
        <v>21</v>
      </c>
      <c r="Y549">
        <v>15.11</v>
      </c>
      <c r="Z549">
        <v>9</v>
      </c>
      <c r="AA549">
        <v>9</v>
      </c>
      <c r="AB549">
        <v>1</v>
      </c>
      <c r="AC549">
        <v>1545</v>
      </c>
      <c r="AD549" s="8">
        <v>42687</v>
      </c>
      <c r="AE549" s="8"/>
      <c r="AF549" s="8"/>
    </row>
    <row r="550" spans="1:32">
      <c r="A550" t="s">
        <v>595</v>
      </c>
      <c r="B550">
        <v>6.5</v>
      </c>
      <c r="C550" s="8" t="s">
        <v>596</v>
      </c>
      <c r="D550">
        <v>6</v>
      </c>
      <c r="E550">
        <v>7</v>
      </c>
      <c r="F550" t="s">
        <v>45</v>
      </c>
      <c r="G550">
        <v>1</v>
      </c>
      <c r="H550">
        <v>656</v>
      </c>
      <c r="I550" t="s">
        <v>22</v>
      </c>
      <c r="J550">
        <v>0</v>
      </c>
      <c r="K550">
        <v>0.13500000000000001</v>
      </c>
      <c r="L550">
        <v>58</v>
      </c>
      <c r="M550" t="s">
        <v>23</v>
      </c>
      <c r="N550">
        <v>10</v>
      </c>
      <c r="O550">
        <v>-42.320500000000003</v>
      </c>
      <c r="P550">
        <v>173.66900000000001</v>
      </c>
      <c r="Q550" t="s">
        <v>597</v>
      </c>
      <c r="R550" t="s">
        <v>25</v>
      </c>
      <c r="S550" t="s">
        <v>594</v>
      </c>
      <c r="T550">
        <v>5</v>
      </c>
      <c r="U550">
        <v>6.5</v>
      </c>
      <c r="V550">
        <v>0</v>
      </c>
      <c r="W550">
        <v>0.13500000000000001</v>
      </c>
      <c r="X550">
        <v>58</v>
      </c>
      <c r="Y550">
        <v>10</v>
      </c>
      <c r="Z550">
        <v>6</v>
      </c>
      <c r="AA550">
        <v>7</v>
      </c>
      <c r="AB550">
        <v>1</v>
      </c>
      <c r="AC550">
        <v>656</v>
      </c>
      <c r="AD550" s="8">
        <v>42687</v>
      </c>
      <c r="AE550" s="8"/>
      <c r="AF550" s="8"/>
    </row>
    <row r="551" spans="1:32">
      <c r="A551" t="s">
        <v>960</v>
      </c>
      <c r="B551">
        <v>6.6</v>
      </c>
      <c r="C551" s="8" t="s">
        <v>961</v>
      </c>
      <c r="D551">
        <v>0</v>
      </c>
      <c r="E551">
        <v>5</v>
      </c>
      <c r="F551" t="s">
        <v>21</v>
      </c>
      <c r="G551">
        <v>1</v>
      </c>
      <c r="H551">
        <v>670</v>
      </c>
      <c r="I551" t="s">
        <v>22</v>
      </c>
      <c r="J551">
        <v>491</v>
      </c>
      <c r="K551">
        <v>0</v>
      </c>
      <c r="L551">
        <v>11.5</v>
      </c>
      <c r="M551" t="s">
        <v>23</v>
      </c>
      <c r="N551">
        <v>31</v>
      </c>
      <c r="O551">
        <v>-6.4749999999999996</v>
      </c>
      <c r="P551">
        <v>154.607</v>
      </c>
      <c r="Q551" t="s">
        <v>562</v>
      </c>
      <c r="R551" t="s">
        <v>25</v>
      </c>
      <c r="S551" t="s">
        <v>64</v>
      </c>
      <c r="T551">
        <v>5</v>
      </c>
      <c r="U551">
        <v>6.6</v>
      </c>
      <c r="V551">
        <v>491</v>
      </c>
      <c r="W551">
        <v>0</v>
      </c>
      <c r="X551">
        <v>11.5</v>
      </c>
      <c r="Y551">
        <v>31</v>
      </c>
      <c r="Z551">
        <v>0</v>
      </c>
      <c r="AA551">
        <v>5</v>
      </c>
      <c r="AB551">
        <v>1</v>
      </c>
      <c r="AC551">
        <v>670</v>
      </c>
      <c r="AD551" s="8">
        <v>41378</v>
      </c>
      <c r="AE551" s="8"/>
      <c r="AF551" s="8"/>
    </row>
    <row r="552" spans="1:32">
      <c r="A552" t="s">
        <v>945</v>
      </c>
      <c r="B552">
        <v>6.8</v>
      </c>
      <c r="C552" s="8" t="s">
        <v>946</v>
      </c>
      <c r="D552">
        <v>0</v>
      </c>
      <c r="E552">
        <v>3</v>
      </c>
      <c r="F552" t="s">
        <v>21</v>
      </c>
      <c r="G552">
        <v>0</v>
      </c>
      <c r="H552">
        <v>711</v>
      </c>
      <c r="I552" t="s">
        <v>22</v>
      </c>
      <c r="J552">
        <v>131</v>
      </c>
      <c r="K552">
        <v>0</v>
      </c>
      <c r="L552">
        <v>18</v>
      </c>
      <c r="M552" t="s">
        <v>23</v>
      </c>
      <c r="N552">
        <v>602.20000000000005</v>
      </c>
      <c r="O552">
        <v>18.728000000000002</v>
      </c>
      <c r="P552">
        <v>145.28800000000001</v>
      </c>
      <c r="Q552" t="s">
        <v>624</v>
      </c>
      <c r="R552" t="s">
        <v>25</v>
      </c>
      <c r="S552" t="s">
        <v>1750</v>
      </c>
      <c r="T552">
        <v>5</v>
      </c>
      <c r="U552">
        <v>6.8</v>
      </c>
      <c r="V552">
        <v>131</v>
      </c>
      <c r="W552">
        <v>0</v>
      </c>
      <c r="X552">
        <v>18</v>
      </c>
      <c r="Y552">
        <v>602.20000000000005</v>
      </c>
      <c r="Z552">
        <v>0</v>
      </c>
      <c r="AA552">
        <v>3</v>
      </c>
      <c r="AB552">
        <v>0</v>
      </c>
      <c r="AC552">
        <v>711</v>
      </c>
      <c r="AD552" s="8">
        <v>41408</v>
      </c>
      <c r="AE552" s="8"/>
      <c r="AF552" s="8"/>
    </row>
    <row r="553" spans="1:32">
      <c r="A553" t="s">
        <v>359</v>
      </c>
      <c r="B553">
        <v>7.6</v>
      </c>
      <c r="C553" s="8" t="s">
        <v>360</v>
      </c>
      <c r="D553">
        <v>7</v>
      </c>
      <c r="E553">
        <v>7</v>
      </c>
      <c r="F553" t="s">
        <v>21</v>
      </c>
      <c r="G553">
        <v>1</v>
      </c>
      <c r="H553">
        <v>929</v>
      </c>
      <c r="I553" t="s">
        <v>22</v>
      </c>
      <c r="J553">
        <v>0</v>
      </c>
      <c r="K553">
        <v>0.45300000000000001</v>
      </c>
      <c r="L553">
        <v>16</v>
      </c>
      <c r="M553" t="s">
        <v>23</v>
      </c>
      <c r="N553">
        <v>10</v>
      </c>
      <c r="O553">
        <v>-4.0510000000000002</v>
      </c>
      <c r="P553">
        <v>152.59700000000001</v>
      </c>
      <c r="Q553" t="s">
        <v>361</v>
      </c>
      <c r="R553" t="s">
        <v>25</v>
      </c>
      <c r="S553" t="s">
        <v>64</v>
      </c>
      <c r="T553">
        <v>5</v>
      </c>
      <c r="U553">
        <v>7.6</v>
      </c>
      <c r="V553">
        <v>0</v>
      </c>
      <c r="W553">
        <v>0.45300000000000001</v>
      </c>
      <c r="X553">
        <v>16</v>
      </c>
      <c r="Y553">
        <v>10</v>
      </c>
      <c r="Z553">
        <v>7</v>
      </c>
      <c r="AA553">
        <v>7</v>
      </c>
      <c r="AB553">
        <v>1</v>
      </c>
      <c r="AC553">
        <v>929</v>
      </c>
      <c r="AD553" s="8">
        <v>43599</v>
      </c>
      <c r="AE553" s="8"/>
      <c r="AF553" s="8"/>
    </row>
    <row r="554" spans="1:32">
      <c r="A554" t="s">
        <v>338</v>
      </c>
      <c r="B554">
        <v>6.6</v>
      </c>
      <c r="C554" s="8" t="s">
        <v>339</v>
      </c>
      <c r="D554">
        <v>5</v>
      </c>
      <c r="E554">
        <v>5</v>
      </c>
      <c r="F554" t="s">
        <v>21</v>
      </c>
      <c r="G554">
        <v>0</v>
      </c>
      <c r="H554">
        <v>791</v>
      </c>
      <c r="I554" t="s">
        <v>22</v>
      </c>
      <c r="J554">
        <v>0</v>
      </c>
      <c r="K554">
        <v>2.9780000000000002</v>
      </c>
      <c r="L554">
        <v>32</v>
      </c>
      <c r="M554" t="s">
        <v>23</v>
      </c>
      <c r="N554">
        <v>10</v>
      </c>
      <c r="O554">
        <v>-18.2242</v>
      </c>
      <c r="P554">
        <v>120.358</v>
      </c>
      <c r="Q554" t="s">
        <v>340</v>
      </c>
      <c r="R554" t="s">
        <v>25</v>
      </c>
      <c r="S554" t="s">
        <v>1737</v>
      </c>
      <c r="T554">
        <v>5</v>
      </c>
      <c r="U554">
        <v>6.6</v>
      </c>
      <c r="V554">
        <v>0</v>
      </c>
      <c r="W554">
        <v>2.9780000000000002</v>
      </c>
      <c r="X554">
        <v>32</v>
      </c>
      <c r="Y554">
        <v>10</v>
      </c>
      <c r="Z554">
        <v>5</v>
      </c>
      <c r="AA554">
        <v>5</v>
      </c>
      <c r="AB554">
        <v>0</v>
      </c>
      <c r="AC554">
        <v>791</v>
      </c>
      <c r="AD554" s="8">
        <v>43660</v>
      </c>
      <c r="AE554" s="8"/>
      <c r="AF554" s="8"/>
    </row>
    <row r="555" spans="1:32">
      <c r="A555" t="s">
        <v>1638</v>
      </c>
      <c r="B555">
        <v>6.5</v>
      </c>
      <c r="C555" s="8" t="s">
        <v>1639</v>
      </c>
      <c r="D555">
        <v>0</v>
      </c>
      <c r="E555">
        <v>4</v>
      </c>
      <c r="G555">
        <v>0</v>
      </c>
      <c r="H555">
        <v>650</v>
      </c>
      <c r="I555" t="s">
        <v>22</v>
      </c>
      <c r="J555">
        <v>260</v>
      </c>
      <c r="K555">
        <v>0</v>
      </c>
      <c r="L555">
        <v>0</v>
      </c>
      <c r="M555" t="s">
        <v>829</v>
      </c>
      <c r="N555">
        <v>30</v>
      </c>
      <c r="O555">
        <v>14.101000000000001</v>
      </c>
      <c r="P555">
        <v>146.19900000000001</v>
      </c>
      <c r="Q555" t="s">
        <v>1640</v>
      </c>
      <c r="R555" t="s">
        <v>25</v>
      </c>
      <c r="S555" t="s">
        <v>1750</v>
      </c>
      <c r="T555">
        <v>5</v>
      </c>
      <c r="U555">
        <v>6.5</v>
      </c>
      <c r="V555">
        <v>260</v>
      </c>
      <c r="W555">
        <v>0</v>
      </c>
      <c r="X555">
        <v>0</v>
      </c>
      <c r="Y555">
        <v>30</v>
      </c>
      <c r="Z555">
        <v>0</v>
      </c>
      <c r="AA555">
        <v>4</v>
      </c>
      <c r="AB555">
        <v>0</v>
      </c>
      <c r="AC555">
        <v>650</v>
      </c>
      <c r="AD555" s="8">
        <v>37482</v>
      </c>
      <c r="AE555" s="8"/>
      <c r="AF555" s="8"/>
    </row>
    <row r="556" spans="1:32">
      <c r="A556" t="s">
        <v>59</v>
      </c>
      <c r="B556">
        <v>7</v>
      </c>
      <c r="C556" s="8" t="s">
        <v>60</v>
      </c>
      <c r="D556">
        <v>7</v>
      </c>
      <c r="E556">
        <v>5</v>
      </c>
      <c r="F556" t="s">
        <v>21</v>
      </c>
      <c r="G556">
        <v>1</v>
      </c>
      <c r="H556">
        <v>761</v>
      </c>
      <c r="I556" t="s">
        <v>22</v>
      </c>
      <c r="J556">
        <v>192</v>
      </c>
      <c r="K556">
        <v>2.9769999999999999</v>
      </c>
      <c r="L556">
        <v>45</v>
      </c>
      <c r="M556" t="s">
        <v>23</v>
      </c>
      <c r="N556">
        <v>137</v>
      </c>
      <c r="O556">
        <v>-21.207699999999999</v>
      </c>
      <c r="P556">
        <v>170.239</v>
      </c>
      <c r="Q556" t="s">
        <v>61</v>
      </c>
      <c r="R556" t="s">
        <v>25</v>
      </c>
      <c r="S556" t="s">
        <v>163</v>
      </c>
      <c r="T556">
        <v>5</v>
      </c>
      <c r="U556">
        <v>7</v>
      </c>
      <c r="V556">
        <v>192</v>
      </c>
      <c r="W556">
        <v>2.9769999999999999</v>
      </c>
      <c r="X556">
        <v>45</v>
      </c>
      <c r="Y556">
        <v>137</v>
      </c>
      <c r="Z556">
        <v>7</v>
      </c>
      <c r="AA556">
        <v>5</v>
      </c>
      <c r="AB556">
        <v>1</v>
      </c>
      <c r="AC556">
        <v>761</v>
      </c>
      <c r="AD556" s="8">
        <v>44818</v>
      </c>
      <c r="AE556" s="8"/>
      <c r="AF556" s="8"/>
    </row>
    <row r="557" spans="1:32">
      <c r="A557" t="s">
        <v>1067</v>
      </c>
      <c r="B557">
        <v>6.5</v>
      </c>
      <c r="C557" s="8" t="s">
        <v>1068</v>
      </c>
      <c r="D557">
        <v>3</v>
      </c>
      <c r="E557">
        <v>6</v>
      </c>
      <c r="G557">
        <v>0</v>
      </c>
      <c r="H557">
        <v>655</v>
      </c>
      <c r="I557" t="s">
        <v>22</v>
      </c>
      <c r="J557">
        <v>423</v>
      </c>
      <c r="K557">
        <v>0</v>
      </c>
      <c r="L557">
        <v>12.6</v>
      </c>
      <c r="M557" t="s">
        <v>23</v>
      </c>
      <c r="N557">
        <v>37</v>
      </c>
      <c r="O557">
        <v>-6.57</v>
      </c>
      <c r="P557">
        <v>147.881</v>
      </c>
      <c r="Q557" t="s">
        <v>803</v>
      </c>
      <c r="R557" t="s">
        <v>25</v>
      </c>
      <c r="S557" t="s">
        <v>64</v>
      </c>
      <c r="T557">
        <v>5</v>
      </c>
      <c r="U557">
        <v>6.5</v>
      </c>
      <c r="V557">
        <v>423</v>
      </c>
      <c r="W557">
        <v>0</v>
      </c>
      <c r="X557">
        <v>12.6</v>
      </c>
      <c r="Y557">
        <v>37</v>
      </c>
      <c r="Z557">
        <v>3</v>
      </c>
      <c r="AA557">
        <v>6</v>
      </c>
      <c r="AB557">
        <v>0</v>
      </c>
      <c r="AC557">
        <v>655</v>
      </c>
      <c r="AD557" s="8">
        <v>40830</v>
      </c>
      <c r="AE557" s="8"/>
      <c r="AF557" s="8"/>
    </row>
    <row r="558" spans="1:32">
      <c r="A558" t="s">
        <v>591</v>
      </c>
      <c r="B558">
        <v>6.5</v>
      </c>
      <c r="C558" s="8" t="s">
        <v>592</v>
      </c>
      <c r="D558">
        <v>7</v>
      </c>
      <c r="E558">
        <v>7</v>
      </c>
      <c r="F558" t="s">
        <v>45</v>
      </c>
      <c r="G558">
        <v>1</v>
      </c>
      <c r="H558">
        <v>664</v>
      </c>
      <c r="I558" t="s">
        <v>22</v>
      </c>
      <c r="J558">
        <v>0</v>
      </c>
      <c r="K558">
        <v>0.28299999999999997</v>
      </c>
      <c r="L558">
        <v>56</v>
      </c>
      <c r="M558" t="s">
        <v>23</v>
      </c>
      <c r="N558">
        <v>9</v>
      </c>
      <c r="O558">
        <v>-42.605800000000002</v>
      </c>
      <c r="P558">
        <v>173.25399999999999</v>
      </c>
      <c r="Q558" t="s">
        <v>593</v>
      </c>
      <c r="R558" t="s">
        <v>25</v>
      </c>
      <c r="S558" t="s">
        <v>594</v>
      </c>
      <c r="T558">
        <v>5</v>
      </c>
      <c r="U558">
        <v>6.5</v>
      </c>
      <c r="V558">
        <v>0</v>
      </c>
      <c r="W558">
        <v>0.28299999999999997</v>
      </c>
      <c r="X558">
        <v>56</v>
      </c>
      <c r="Y558">
        <v>9</v>
      </c>
      <c r="Z558">
        <v>7</v>
      </c>
      <c r="AA558">
        <v>7</v>
      </c>
      <c r="AB558">
        <v>1</v>
      </c>
      <c r="AC558">
        <v>664</v>
      </c>
      <c r="AD558" s="8">
        <v>42688</v>
      </c>
      <c r="AE558" s="8"/>
      <c r="AF558" s="8"/>
    </row>
    <row r="559" spans="1:32">
      <c r="A559" t="s">
        <v>1056</v>
      </c>
      <c r="B559">
        <v>7.1</v>
      </c>
      <c r="C559" s="8" t="s">
        <v>1057</v>
      </c>
      <c r="D559">
        <v>6</v>
      </c>
      <c r="E559">
        <v>6</v>
      </c>
      <c r="G559">
        <v>0</v>
      </c>
      <c r="H559">
        <v>834</v>
      </c>
      <c r="I559" t="s">
        <v>22</v>
      </c>
      <c r="J559">
        <v>485</v>
      </c>
      <c r="K559">
        <v>0</v>
      </c>
      <c r="L559">
        <v>10.6</v>
      </c>
      <c r="M559" t="s">
        <v>23</v>
      </c>
      <c r="N559">
        <v>135</v>
      </c>
      <c r="O559">
        <v>-7.5510000000000002</v>
      </c>
      <c r="P559">
        <v>146.809</v>
      </c>
      <c r="Q559" t="s">
        <v>1058</v>
      </c>
      <c r="R559" t="s">
        <v>25</v>
      </c>
      <c r="S559" t="s">
        <v>64</v>
      </c>
      <c r="T559">
        <v>5</v>
      </c>
      <c r="U559">
        <v>7.1</v>
      </c>
      <c r="V559">
        <v>485</v>
      </c>
      <c r="W559">
        <v>0</v>
      </c>
      <c r="X559">
        <v>10.6</v>
      </c>
      <c r="Y559">
        <v>135</v>
      </c>
      <c r="Z559">
        <v>6</v>
      </c>
      <c r="AA559">
        <v>6</v>
      </c>
      <c r="AB559">
        <v>0</v>
      </c>
      <c r="AC559">
        <v>834</v>
      </c>
      <c r="AD559" s="8">
        <v>40891</v>
      </c>
      <c r="AE559" s="8"/>
      <c r="AF559" s="8"/>
    </row>
    <row r="560" spans="1:32">
      <c r="A560" t="s">
        <v>380</v>
      </c>
      <c r="B560">
        <v>6.6</v>
      </c>
      <c r="C560" s="8" t="s">
        <v>381</v>
      </c>
      <c r="D560">
        <v>5</v>
      </c>
      <c r="E560">
        <v>4</v>
      </c>
      <c r="F560" t="s">
        <v>21</v>
      </c>
      <c r="G560">
        <v>1</v>
      </c>
      <c r="H560">
        <v>671</v>
      </c>
      <c r="I560" t="s">
        <v>22</v>
      </c>
      <c r="J560">
        <v>0</v>
      </c>
      <c r="K560">
        <v>7.8179999999999996</v>
      </c>
      <c r="L560">
        <v>18</v>
      </c>
      <c r="M560" t="s">
        <v>23</v>
      </c>
      <c r="N560">
        <v>35</v>
      </c>
      <c r="O560">
        <v>-13.336</v>
      </c>
      <c r="P560">
        <v>166.875</v>
      </c>
      <c r="Q560" t="s">
        <v>382</v>
      </c>
      <c r="R560" t="s">
        <v>25</v>
      </c>
      <c r="S560" t="s">
        <v>163</v>
      </c>
      <c r="T560">
        <v>5</v>
      </c>
      <c r="U560">
        <v>6.6</v>
      </c>
      <c r="V560">
        <v>0</v>
      </c>
      <c r="W560">
        <v>7.8179999999999996</v>
      </c>
      <c r="X560">
        <v>18</v>
      </c>
      <c r="Y560">
        <v>35</v>
      </c>
      <c r="Z560">
        <v>5</v>
      </c>
      <c r="AA560">
        <v>4</v>
      </c>
      <c r="AB560">
        <v>1</v>
      </c>
      <c r="AC560">
        <v>671</v>
      </c>
      <c r="AD560" s="8">
        <v>43480</v>
      </c>
      <c r="AE560" s="8"/>
      <c r="AF560" s="8"/>
    </row>
    <row r="561" spans="1:32">
      <c r="A561" t="s">
        <v>350</v>
      </c>
      <c r="B561">
        <v>7.3</v>
      </c>
      <c r="C561" s="8" t="s">
        <v>351</v>
      </c>
      <c r="D561">
        <v>8</v>
      </c>
      <c r="E561">
        <v>6</v>
      </c>
      <c r="F561" t="s">
        <v>21</v>
      </c>
      <c r="G561">
        <v>1</v>
      </c>
      <c r="H561">
        <v>830</v>
      </c>
      <c r="I561" t="s">
        <v>22</v>
      </c>
      <c r="J561">
        <v>0</v>
      </c>
      <c r="K561">
        <v>1.4019999999999999</v>
      </c>
      <c r="L561">
        <v>11</v>
      </c>
      <c r="M561" t="s">
        <v>23</v>
      </c>
      <c r="N561">
        <v>46</v>
      </c>
      <c r="O561">
        <v>-30.644100000000002</v>
      </c>
      <c r="P561">
        <v>-178.1</v>
      </c>
      <c r="Q561" t="s">
        <v>352</v>
      </c>
      <c r="R561" t="s">
        <v>25</v>
      </c>
      <c r="S561" t="s">
        <v>594</v>
      </c>
      <c r="T561">
        <v>5</v>
      </c>
      <c r="U561">
        <v>7.3</v>
      </c>
      <c r="V561">
        <v>0</v>
      </c>
      <c r="W561">
        <v>1.4019999999999999</v>
      </c>
      <c r="X561">
        <v>11</v>
      </c>
      <c r="Y561">
        <v>46</v>
      </c>
      <c r="Z561">
        <v>8</v>
      </c>
      <c r="AA561">
        <v>6</v>
      </c>
      <c r="AB561">
        <v>1</v>
      </c>
      <c r="AC561">
        <v>830</v>
      </c>
      <c r="AD561" s="8">
        <v>43631</v>
      </c>
      <c r="AE561" s="8"/>
      <c r="AF561" s="8"/>
    </row>
    <row r="562" spans="1:32">
      <c r="A562" t="s">
        <v>1599</v>
      </c>
      <c r="B562">
        <v>6.5</v>
      </c>
      <c r="C562" s="8" t="s">
        <v>1600</v>
      </c>
      <c r="D562">
        <v>0</v>
      </c>
      <c r="E562">
        <v>6</v>
      </c>
      <c r="G562">
        <v>0</v>
      </c>
      <c r="H562">
        <v>650</v>
      </c>
      <c r="I562" t="s">
        <v>22</v>
      </c>
      <c r="J562">
        <v>156</v>
      </c>
      <c r="K562">
        <v>0</v>
      </c>
      <c r="L562">
        <v>31.4</v>
      </c>
      <c r="M562" t="s">
        <v>36</v>
      </c>
      <c r="N562">
        <v>33</v>
      </c>
      <c r="O562">
        <v>-3.8279999999999998</v>
      </c>
      <c r="P562">
        <v>152.17400000000001</v>
      </c>
      <c r="Q562" t="s">
        <v>616</v>
      </c>
      <c r="R562" t="s">
        <v>25</v>
      </c>
      <c r="S562" t="s">
        <v>64</v>
      </c>
      <c r="T562">
        <v>5</v>
      </c>
      <c r="U562">
        <v>6.5</v>
      </c>
      <c r="V562">
        <v>156</v>
      </c>
      <c r="W562">
        <v>0</v>
      </c>
      <c r="X562">
        <v>31.4</v>
      </c>
      <c r="Y562">
        <v>33</v>
      </c>
      <c r="Z562">
        <v>0</v>
      </c>
      <c r="AA562">
        <v>6</v>
      </c>
      <c r="AB562">
        <v>0</v>
      </c>
      <c r="AC562">
        <v>650</v>
      </c>
      <c r="AD562" s="8">
        <v>37817</v>
      </c>
      <c r="AE562" s="8"/>
      <c r="AF562" s="8"/>
    </row>
    <row r="563" spans="1:32">
      <c r="A563" t="s">
        <v>1239</v>
      </c>
      <c r="B563">
        <v>7.8</v>
      </c>
      <c r="C563" s="8" t="s">
        <v>1240</v>
      </c>
      <c r="D563">
        <v>6</v>
      </c>
      <c r="E563">
        <v>8</v>
      </c>
      <c r="G563">
        <v>0</v>
      </c>
      <c r="H563">
        <v>1165</v>
      </c>
      <c r="I563" t="s">
        <v>22</v>
      </c>
      <c r="J563">
        <v>434</v>
      </c>
      <c r="K563">
        <v>0</v>
      </c>
      <c r="L563">
        <v>16.8</v>
      </c>
      <c r="M563" t="s">
        <v>829</v>
      </c>
      <c r="N563">
        <v>12</v>
      </c>
      <c r="O563">
        <v>-45.762</v>
      </c>
      <c r="P563">
        <v>166.56200000000001</v>
      </c>
      <c r="Q563" t="s">
        <v>1241</v>
      </c>
      <c r="R563" t="s">
        <v>25</v>
      </c>
      <c r="S563" t="s">
        <v>594</v>
      </c>
      <c r="T563">
        <v>5</v>
      </c>
      <c r="U563">
        <v>7.8</v>
      </c>
      <c r="V563">
        <v>434</v>
      </c>
      <c r="W563">
        <v>0</v>
      </c>
      <c r="X563">
        <v>16.8</v>
      </c>
      <c r="Y563">
        <v>12</v>
      </c>
      <c r="Z563">
        <v>6</v>
      </c>
      <c r="AA563">
        <v>8</v>
      </c>
      <c r="AB563">
        <v>0</v>
      </c>
      <c r="AC563">
        <v>1165</v>
      </c>
      <c r="AD563" s="8">
        <v>40009</v>
      </c>
      <c r="AE563" s="8"/>
      <c r="AF563" s="8"/>
    </row>
    <row r="564" spans="1:32">
      <c r="A564" t="s">
        <v>1336</v>
      </c>
      <c r="B564">
        <v>6.8</v>
      </c>
      <c r="C564" s="8" t="s">
        <v>1337</v>
      </c>
      <c r="D564">
        <v>4</v>
      </c>
      <c r="E564">
        <v>7</v>
      </c>
      <c r="G564">
        <v>0</v>
      </c>
      <c r="H564">
        <v>744</v>
      </c>
      <c r="I564" t="s">
        <v>22</v>
      </c>
      <c r="J564">
        <v>338</v>
      </c>
      <c r="K564">
        <v>0</v>
      </c>
      <c r="L564">
        <v>19</v>
      </c>
      <c r="M564" t="s">
        <v>829</v>
      </c>
      <c r="N564">
        <v>18</v>
      </c>
      <c r="O564">
        <v>-44.795999999999999</v>
      </c>
      <c r="P564">
        <v>167.553</v>
      </c>
      <c r="Q564" t="s">
        <v>1241</v>
      </c>
      <c r="R564" t="s">
        <v>25</v>
      </c>
      <c r="S564" t="s">
        <v>594</v>
      </c>
      <c r="T564">
        <v>5</v>
      </c>
      <c r="U564">
        <v>6.8</v>
      </c>
      <c r="V564">
        <v>338</v>
      </c>
      <c r="W564">
        <v>0</v>
      </c>
      <c r="X564">
        <v>19</v>
      </c>
      <c r="Y564">
        <v>18</v>
      </c>
      <c r="Z564">
        <v>4</v>
      </c>
      <c r="AA564">
        <v>7</v>
      </c>
      <c r="AB564">
        <v>0</v>
      </c>
      <c r="AC564">
        <v>744</v>
      </c>
      <c r="AD564" s="8">
        <v>39370</v>
      </c>
      <c r="AE564" s="8"/>
      <c r="AF564" s="8"/>
    </row>
    <row r="565" spans="1:32">
      <c r="A565" t="s">
        <v>38</v>
      </c>
      <c r="B565">
        <v>6.8</v>
      </c>
      <c r="C565" s="8" t="s">
        <v>111</v>
      </c>
      <c r="D565">
        <v>2</v>
      </c>
      <c r="E565">
        <v>3</v>
      </c>
      <c r="F565" t="s">
        <v>21</v>
      </c>
      <c r="G565">
        <v>1</v>
      </c>
      <c r="H565">
        <v>712</v>
      </c>
      <c r="I565" t="s">
        <v>22</v>
      </c>
      <c r="J565">
        <v>0</v>
      </c>
      <c r="K565">
        <v>5.78</v>
      </c>
      <c r="L565">
        <v>12</v>
      </c>
      <c r="M565" t="s">
        <v>23</v>
      </c>
      <c r="N565">
        <v>535</v>
      </c>
      <c r="O565">
        <v>-23.7852</v>
      </c>
      <c r="P565">
        <v>-179.96799999999999</v>
      </c>
      <c r="Q565" t="s">
        <v>37</v>
      </c>
      <c r="R565" t="s">
        <v>25</v>
      </c>
      <c r="S565" t="s">
        <v>31</v>
      </c>
      <c r="T565">
        <v>5</v>
      </c>
      <c r="U565">
        <v>6.8</v>
      </c>
      <c r="V565">
        <v>0</v>
      </c>
      <c r="W565">
        <v>5.78</v>
      </c>
      <c r="X565">
        <v>12</v>
      </c>
      <c r="Y565">
        <v>535</v>
      </c>
      <c r="Z565">
        <v>2</v>
      </c>
      <c r="AA565">
        <v>3</v>
      </c>
      <c r="AB565">
        <v>1</v>
      </c>
      <c r="AC565">
        <v>712</v>
      </c>
      <c r="AD565" s="8">
        <v>44608</v>
      </c>
      <c r="AE565" s="8"/>
      <c r="AF565" s="8"/>
    </row>
    <row r="566" spans="1:32">
      <c r="A566" t="s">
        <v>954</v>
      </c>
      <c r="B566">
        <v>6.6</v>
      </c>
      <c r="C566" s="8" t="s">
        <v>955</v>
      </c>
      <c r="D566">
        <v>7</v>
      </c>
      <c r="E566">
        <v>7</v>
      </c>
      <c r="F566" t="s">
        <v>21</v>
      </c>
      <c r="G566">
        <v>1</v>
      </c>
      <c r="H566">
        <v>672</v>
      </c>
      <c r="I566" t="s">
        <v>22</v>
      </c>
      <c r="J566">
        <v>445</v>
      </c>
      <c r="K566">
        <v>0</v>
      </c>
      <c r="L566">
        <v>11</v>
      </c>
      <c r="M566" t="s">
        <v>23</v>
      </c>
      <c r="N566">
        <v>13</v>
      </c>
      <c r="O566">
        <v>-3.214</v>
      </c>
      <c r="P566">
        <v>142.542</v>
      </c>
      <c r="Q566" t="s">
        <v>956</v>
      </c>
      <c r="R566" t="s">
        <v>25</v>
      </c>
      <c r="S566" t="s">
        <v>64</v>
      </c>
      <c r="T566">
        <v>5</v>
      </c>
      <c r="U566">
        <v>6.6</v>
      </c>
      <c r="V566">
        <v>445</v>
      </c>
      <c r="W566">
        <v>0</v>
      </c>
      <c r="X566">
        <v>11</v>
      </c>
      <c r="Y566">
        <v>13</v>
      </c>
      <c r="Z566">
        <v>7</v>
      </c>
      <c r="AA566">
        <v>7</v>
      </c>
      <c r="AB566">
        <v>1</v>
      </c>
      <c r="AC566">
        <v>672</v>
      </c>
      <c r="AD566" s="8">
        <v>41380</v>
      </c>
      <c r="AE566" s="8"/>
      <c r="AF566" s="8"/>
    </row>
    <row r="567" spans="1:32">
      <c r="A567" t="s">
        <v>1353</v>
      </c>
      <c r="B567">
        <v>6.5</v>
      </c>
      <c r="C567" s="8" t="s">
        <v>1354</v>
      </c>
      <c r="D567">
        <v>5</v>
      </c>
      <c r="E567">
        <v>6</v>
      </c>
      <c r="G567">
        <v>0</v>
      </c>
      <c r="H567">
        <v>675</v>
      </c>
      <c r="I567" t="s">
        <v>22</v>
      </c>
      <c r="J567">
        <v>382</v>
      </c>
      <c r="K567">
        <v>0</v>
      </c>
      <c r="L567">
        <v>12.8</v>
      </c>
      <c r="M567" t="s">
        <v>829</v>
      </c>
      <c r="N567">
        <v>15</v>
      </c>
      <c r="O567">
        <v>-9.8339999999999996</v>
      </c>
      <c r="P567">
        <v>159.465</v>
      </c>
      <c r="Q567" t="s">
        <v>24</v>
      </c>
      <c r="R567" t="s">
        <v>25</v>
      </c>
      <c r="S567" t="s">
        <v>26</v>
      </c>
      <c r="T567">
        <v>5</v>
      </c>
      <c r="U567">
        <v>6.5</v>
      </c>
      <c r="V567">
        <v>382</v>
      </c>
      <c r="W567">
        <v>0</v>
      </c>
      <c r="X567">
        <v>12.8</v>
      </c>
      <c r="Y567">
        <v>15</v>
      </c>
      <c r="Z567">
        <v>5</v>
      </c>
      <c r="AA567">
        <v>6</v>
      </c>
      <c r="AB567">
        <v>0</v>
      </c>
      <c r="AC567">
        <v>675</v>
      </c>
      <c r="AD567" s="8">
        <v>39310</v>
      </c>
      <c r="AE567" s="8"/>
      <c r="AF567" s="8"/>
    </row>
    <row r="568" spans="1:32">
      <c r="A568" t="s">
        <v>920</v>
      </c>
      <c r="B568">
        <v>6.5</v>
      </c>
      <c r="C568" s="8" t="s">
        <v>921</v>
      </c>
      <c r="D568">
        <v>9</v>
      </c>
      <c r="E568">
        <v>7</v>
      </c>
      <c r="F568" t="s">
        <v>45</v>
      </c>
      <c r="G568">
        <v>1</v>
      </c>
      <c r="H568">
        <v>690</v>
      </c>
      <c r="I568" t="s">
        <v>22</v>
      </c>
      <c r="J568">
        <v>0</v>
      </c>
      <c r="K568">
        <v>0</v>
      </c>
      <c r="L568">
        <v>0</v>
      </c>
      <c r="M568" t="s">
        <v>23</v>
      </c>
      <c r="N568">
        <v>8.1999999999999993</v>
      </c>
      <c r="O568">
        <v>-41.734000000000002</v>
      </c>
      <c r="P568">
        <v>174.15199999999999</v>
      </c>
      <c r="Q568" t="s">
        <v>597</v>
      </c>
      <c r="R568" t="s">
        <v>25</v>
      </c>
      <c r="S568" t="s">
        <v>594</v>
      </c>
      <c r="T568">
        <v>5</v>
      </c>
      <c r="U568">
        <v>6.5</v>
      </c>
      <c r="V568">
        <v>0</v>
      </c>
      <c r="W568">
        <v>0</v>
      </c>
      <c r="X568">
        <v>0</v>
      </c>
      <c r="Y568">
        <v>8.1999999999999993</v>
      </c>
      <c r="Z568">
        <v>9</v>
      </c>
      <c r="AA568">
        <v>7</v>
      </c>
      <c r="AB568">
        <v>1</v>
      </c>
      <c r="AC568">
        <v>690</v>
      </c>
      <c r="AD568" s="8">
        <v>41502</v>
      </c>
      <c r="AE568" s="8"/>
      <c r="AF568" s="8"/>
    </row>
    <row r="569" spans="1:32">
      <c r="A569" t="s">
        <v>424</v>
      </c>
      <c r="B569">
        <v>6.5</v>
      </c>
      <c r="C569" s="8" t="s">
        <v>425</v>
      </c>
      <c r="D569">
        <v>4</v>
      </c>
      <c r="E569">
        <v>1</v>
      </c>
      <c r="F569" t="s">
        <v>21</v>
      </c>
      <c r="G569">
        <v>0</v>
      </c>
      <c r="H569">
        <v>651</v>
      </c>
      <c r="I569" t="s">
        <v>22</v>
      </c>
      <c r="J569">
        <v>0</v>
      </c>
      <c r="K569">
        <v>5.1390000000000002</v>
      </c>
      <c r="L569">
        <v>18</v>
      </c>
      <c r="M569" t="s">
        <v>23</v>
      </c>
      <c r="N569">
        <v>576</v>
      </c>
      <c r="O569">
        <v>-25.414999999999999</v>
      </c>
      <c r="P569">
        <v>178.19900000000001</v>
      </c>
      <c r="Q569" t="s">
        <v>37</v>
      </c>
      <c r="R569" t="s">
        <v>25</v>
      </c>
      <c r="S569" t="s">
        <v>31</v>
      </c>
      <c r="T569">
        <v>5</v>
      </c>
      <c r="U569">
        <v>6.5</v>
      </c>
      <c r="V569">
        <v>0</v>
      </c>
      <c r="W569">
        <v>5.1390000000000002</v>
      </c>
      <c r="X569">
        <v>18</v>
      </c>
      <c r="Y569">
        <v>576</v>
      </c>
      <c r="Z569">
        <v>4</v>
      </c>
      <c r="AA569">
        <v>1</v>
      </c>
      <c r="AB569">
        <v>0</v>
      </c>
      <c r="AC569">
        <v>651</v>
      </c>
      <c r="AD569" s="8">
        <v>43359</v>
      </c>
      <c r="AE569" s="8"/>
      <c r="AF569" s="8"/>
    </row>
    <row r="570" spans="1:32">
      <c r="A570" t="s">
        <v>894</v>
      </c>
      <c r="B570">
        <v>6.8</v>
      </c>
      <c r="C570" s="8" t="s">
        <v>895</v>
      </c>
      <c r="D570">
        <v>0</v>
      </c>
      <c r="E570">
        <v>6</v>
      </c>
      <c r="F570" t="s">
        <v>21</v>
      </c>
      <c r="G570">
        <v>1</v>
      </c>
      <c r="H570">
        <v>711</v>
      </c>
      <c r="I570" t="s">
        <v>22</v>
      </c>
      <c r="J570">
        <v>0</v>
      </c>
      <c r="K570">
        <v>5.79</v>
      </c>
      <c r="L570">
        <v>9</v>
      </c>
      <c r="M570" t="s">
        <v>23</v>
      </c>
      <c r="N570">
        <v>35</v>
      </c>
      <c r="O570">
        <v>-6.4455999999999998</v>
      </c>
      <c r="P570">
        <v>154.93100000000001</v>
      </c>
      <c r="Q570" t="s">
        <v>562</v>
      </c>
      <c r="R570" t="s">
        <v>25</v>
      </c>
      <c r="S570" t="s">
        <v>64</v>
      </c>
      <c r="T570">
        <v>5</v>
      </c>
      <c r="U570">
        <v>6.8</v>
      </c>
      <c r="V570">
        <v>0</v>
      </c>
      <c r="W570">
        <v>5.79</v>
      </c>
      <c r="X570">
        <v>9</v>
      </c>
      <c r="Y570">
        <v>35</v>
      </c>
      <c r="Z570">
        <v>0</v>
      </c>
      <c r="AA570">
        <v>6</v>
      </c>
      <c r="AB570">
        <v>1</v>
      </c>
      <c r="AC570">
        <v>711</v>
      </c>
      <c r="AD570" s="8">
        <v>41563</v>
      </c>
      <c r="AE570" s="8"/>
      <c r="AF570" s="8"/>
    </row>
    <row r="571" spans="1:32">
      <c r="A571" t="s">
        <v>411</v>
      </c>
      <c r="B571">
        <v>6.5</v>
      </c>
      <c r="C571" s="8" t="s">
        <v>412</v>
      </c>
      <c r="D571">
        <v>0</v>
      </c>
      <c r="E571">
        <v>4</v>
      </c>
      <c r="F571" t="s">
        <v>21</v>
      </c>
      <c r="G571">
        <v>1</v>
      </c>
      <c r="H571">
        <v>650</v>
      </c>
      <c r="I571" t="s">
        <v>22</v>
      </c>
      <c r="J571">
        <v>0</v>
      </c>
      <c r="K571">
        <v>2.109</v>
      </c>
      <c r="L571">
        <v>22</v>
      </c>
      <c r="M571" t="s">
        <v>23</v>
      </c>
      <c r="N571">
        <v>17</v>
      </c>
      <c r="O571">
        <v>-21.742699999999999</v>
      </c>
      <c r="P571">
        <v>169.52199999999999</v>
      </c>
      <c r="Q571" t="s">
        <v>97</v>
      </c>
      <c r="R571" t="s">
        <v>25</v>
      </c>
      <c r="S571" t="s">
        <v>1744</v>
      </c>
      <c r="T571">
        <v>5</v>
      </c>
      <c r="U571">
        <v>6.5</v>
      </c>
      <c r="V571">
        <v>0</v>
      </c>
      <c r="W571">
        <v>2.109</v>
      </c>
      <c r="X571">
        <v>22</v>
      </c>
      <c r="Y571">
        <v>17</v>
      </c>
      <c r="Z571">
        <v>0</v>
      </c>
      <c r="AA571">
        <v>4</v>
      </c>
      <c r="AB571">
        <v>1</v>
      </c>
      <c r="AC571">
        <v>650</v>
      </c>
      <c r="AD571" s="8">
        <v>43389</v>
      </c>
      <c r="AE571" s="8"/>
      <c r="AF571" s="8"/>
    </row>
    <row r="572" spans="1:32">
      <c r="A572" t="s">
        <v>798</v>
      </c>
      <c r="B572">
        <v>6.7</v>
      </c>
      <c r="C572" s="8" t="s">
        <v>799</v>
      </c>
      <c r="D572">
        <v>7</v>
      </c>
      <c r="E572">
        <v>4</v>
      </c>
      <c r="F572" t="s">
        <v>21</v>
      </c>
      <c r="G572">
        <v>1</v>
      </c>
      <c r="H572">
        <v>698</v>
      </c>
      <c r="I572" t="s">
        <v>22</v>
      </c>
      <c r="J572">
        <v>0</v>
      </c>
      <c r="K572">
        <v>1.079</v>
      </c>
      <c r="L572">
        <v>25</v>
      </c>
      <c r="M572" t="s">
        <v>23</v>
      </c>
      <c r="N572">
        <v>22</v>
      </c>
      <c r="O572">
        <v>-37.647799999999997</v>
      </c>
      <c r="P572">
        <v>179.66200000000001</v>
      </c>
      <c r="Q572" t="s">
        <v>216</v>
      </c>
      <c r="R572" t="s">
        <v>25</v>
      </c>
      <c r="S572" t="s">
        <v>594</v>
      </c>
      <c r="T572">
        <v>5</v>
      </c>
      <c r="U572">
        <v>6.7</v>
      </c>
      <c r="V572">
        <v>0</v>
      </c>
      <c r="W572">
        <v>1.079</v>
      </c>
      <c r="X572">
        <v>25</v>
      </c>
      <c r="Y572">
        <v>22</v>
      </c>
      <c r="Z572">
        <v>7</v>
      </c>
      <c r="AA572">
        <v>4</v>
      </c>
      <c r="AB572">
        <v>1</v>
      </c>
      <c r="AC572">
        <v>698</v>
      </c>
      <c r="AD572" s="8">
        <v>41959</v>
      </c>
      <c r="AE572" s="8"/>
      <c r="AF572" s="8"/>
    </row>
    <row r="573" spans="1:32">
      <c r="A573" t="s">
        <v>1026</v>
      </c>
      <c r="B573">
        <v>6.8</v>
      </c>
      <c r="C573" s="8" t="s">
        <v>1027</v>
      </c>
      <c r="D573">
        <v>6</v>
      </c>
      <c r="E573">
        <v>5</v>
      </c>
      <c r="G573">
        <v>0</v>
      </c>
      <c r="H573">
        <v>732</v>
      </c>
      <c r="I573" t="s">
        <v>22</v>
      </c>
      <c r="J573">
        <v>597</v>
      </c>
      <c r="K573">
        <v>0</v>
      </c>
      <c r="L573">
        <v>12.6</v>
      </c>
      <c r="M573" t="s">
        <v>23</v>
      </c>
      <c r="N573">
        <v>198</v>
      </c>
      <c r="O573">
        <v>-5.4619999999999997</v>
      </c>
      <c r="P573">
        <v>147.11699999999999</v>
      </c>
      <c r="Q573" t="s">
        <v>1028</v>
      </c>
      <c r="R573" t="s">
        <v>25</v>
      </c>
      <c r="S573" t="s">
        <v>64</v>
      </c>
      <c r="T573">
        <v>5</v>
      </c>
      <c r="U573">
        <v>6.8</v>
      </c>
      <c r="V573">
        <v>597</v>
      </c>
      <c r="W573">
        <v>0</v>
      </c>
      <c r="X573">
        <v>12.6</v>
      </c>
      <c r="Y573">
        <v>198</v>
      </c>
      <c r="Z573">
        <v>6</v>
      </c>
      <c r="AA573">
        <v>5</v>
      </c>
      <c r="AB573">
        <v>0</v>
      </c>
      <c r="AC573">
        <v>732</v>
      </c>
      <c r="AD573" s="8">
        <v>41016</v>
      </c>
      <c r="AE573" s="8"/>
      <c r="AF573" s="8"/>
    </row>
    <row r="574" spans="1:32">
      <c r="A574" t="s">
        <v>770</v>
      </c>
      <c r="B574">
        <v>6.5</v>
      </c>
      <c r="C574" s="8" t="s">
        <v>771</v>
      </c>
      <c r="D574">
        <v>0</v>
      </c>
      <c r="E574">
        <v>5</v>
      </c>
      <c r="F574" t="s">
        <v>21</v>
      </c>
      <c r="G574">
        <v>1</v>
      </c>
      <c r="H574">
        <v>650</v>
      </c>
      <c r="I574" t="s">
        <v>22</v>
      </c>
      <c r="J574">
        <v>0</v>
      </c>
      <c r="K574">
        <v>3.702</v>
      </c>
      <c r="L574">
        <v>42</v>
      </c>
      <c r="M574" t="s">
        <v>23</v>
      </c>
      <c r="N574">
        <v>10</v>
      </c>
      <c r="O574">
        <v>-15.881500000000001</v>
      </c>
      <c r="P574">
        <v>-178.6</v>
      </c>
      <c r="Q574" t="s">
        <v>191</v>
      </c>
      <c r="R574" t="s">
        <v>25</v>
      </c>
      <c r="S574" t="s">
        <v>1750</v>
      </c>
      <c r="T574">
        <v>5</v>
      </c>
      <c r="U574">
        <v>6.5</v>
      </c>
      <c r="V574">
        <v>0</v>
      </c>
      <c r="W574">
        <v>3.702</v>
      </c>
      <c r="X574">
        <v>42</v>
      </c>
      <c r="Y574">
        <v>10</v>
      </c>
      <c r="Z574">
        <v>0</v>
      </c>
      <c r="AA574">
        <v>5</v>
      </c>
      <c r="AB574">
        <v>1</v>
      </c>
      <c r="AC574">
        <v>650</v>
      </c>
      <c r="AD574" s="8">
        <v>42111</v>
      </c>
      <c r="AE574" s="8"/>
      <c r="AF574" s="8"/>
    </row>
    <row r="575" spans="1:32">
      <c r="A575" t="s">
        <v>1649</v>
      </c>
      <c r="B575">
        <v>6.7</v>
      </c>
      <c r="C575" s="8" t="s">
        <v>1650</v>
      </c>
      <c r="D575">
        <v>0</v>
      </c>
      <c r="E575">
        <v>5</v>
      </c>
      <c r="G575">
        <v>0</v>
      </c>
      <c r="H575">
        <v>691</v>
      </c>
      <c r="I575" t="s">
        <v>22</v>
      </c>
      <c r="J575">
        <v>272</v>
      </c>
      <c r="K575">
        <v>0</v>
      </c>
      <c r="L575">
        <v>0</v>
      </c>
      <c r="M575" t="s">
        <v>829</v>
      </c>
      <c r="N575">
        <v>33</v>
      </c>
      <c r="O575">
        <v>-12.592000000000001</v>
      </c>
      <c r="P575">
        <v>166.38300000000001</v>
      </c>
      <c r="Q575" t="s">
        <v>382</v>
      </c>
      <c r="R575" t="s">
        <v>25</v>
      </c>
      <c r="S575" t="s">
        <v>163</v>
      </c>
      <c r="T575">
        <v>5</v>
      </c>
      <c r="U575">
        <v>6.7</v>
      </c>
      <c r="V575">
        <v>272</v>
      </c>
      <c r="W575">
        <v>0</v>
      </c>
      <c r="X575">
        <v>0</v>
      </c>
      <c r="Y575">
        <v>33</v>
      </c>
      <c r="Z575">
        <v>0</v>
      </c>
      <c r="AA575">
        <v>5</v>
      </c>
      <c r="AB575">
        <v>0</v>
      </c>
      <c r="AC575">
        <v>691</v>
      </c>
      <c r="AD575" s="8">
        <v>37424</v>
      </c>
      <c r="AE575" s="8"/>
      <c r="AF575" s="8"/>
    </row>
    <row r="576" spans="1:32">
      <c r="A576" t="s">
        <v>260</v>
      </c>
      <c r="B576">
        <v>7</v>
      </c>
      <c r="C576" s="8" t="s">
        <v>261</v>
      </c>
      <c r="D576">
        <v>6</v>
      </c>
      <c r="E576">
        <v>7</v>
      </c>
      <c r="F576" t="s">
        <v>21</v>
      </c>
      <c r="G576">
        <v>1</v>
      </c>
      <c r="H576">
        <v>820</v>
      </c>
      <c r="I576" t="s">
        <v>22</v>
      </c>
      <c r="J576">
        <v>0</v>
      </c>
      <c r="K576">
        <v>1.671</v>
      </c>
      <c r="L576">
        <v>18</v>
      </c>
      <c r="M576" t="s">
        <v>23</v>
      </c>
      <c r="N576">
        <v>73</v>
      </c>
      <c r="O576">
        <v>-7.8470000000000004</v>
      </c>
      <c r="P576">
        <v>147.755</v>
      </c>
      <c r="Q576" t="s">
        <v>262</v>
      </c>
      <c r="R576" t="s">
        <v>25</v>
      </c>
      <c r="S576" t="s">
        <v>64</v>
      </c>
      <c r="T576">
        <v>5</v>
      </c>
      <c r="U576">
        <v>7</v>
      </c>
      <c r="V576">
        <v>0</v>
      </c>
      <c r="W576">
        <v>1.671</v>
      </c>
      <c r="X576">
        <v>18</v>
      </c>
      <c r="Y576">
        <v>73</v>
      </c>
      <c r="Z576">
        <v>6</v>
      </c>
      <c r="AA576">
        <v>7</v>
      </c>
      <c r="AB576">
        <v>1</v>
      </c>
      <c r="AC576">
        <v>820</v>
      </c>
      <c r="AD576" s="8">
        <v>44029</v>
      </c>
      <c r="AE576" s="8"/>
      <c r="AF576" s="8"/>
    </row>
    <row r="577" spans="1:32">
      <c r="A577" t="s">
        <v>808</v>
      </c>
      <c r="B577">
        <v>6.7</v>
      </c>
      <c r="C577" s="8" t="s">
        <v>809</v>
      </c>
      <c r="D577">
        <v>5</v>
      </c>
      <c r="E577">
        <v>5</v>
      </c>
      <c r="F577" t="s">
        <v>21</v>
      </c>
      <c r="G577">
        <v>1</v>
      </c>
      <c r="H577">
        <v>724</v>
      </c>
      <c r="I577" t="s">
        <v>22</v>
      </c>
      <c r="J577">
        <v>0</v>
      </c>
      <c r="K577">
        <v>0.46</v>
      </c>
      <c r="L577">
        <v>11</v>
      </c>
      <c r="M577" t="s">
        <v>23</v>
      </c>
      <c r="N577">
        <v>130</v>
      </c>
      <c r="O577">
        <v>13.764099999999999</v>
      </c>
      <c r="P577">
        <v>144.429</v>
      </c>
      <c r="Q577" t="s">
        <v>810</v>
      </c>
      <c r="R577" t="s">
        <v>25</v>
      </c>
      <c r="S577" t="s">
        <v>1745</v>
      </c>
      <c r="T577">
        <v>5</v>
      </c>
      <c r="U577">
        <v>6.7</v>
      </c>
      <c r="V577">
        <v>0</v>
      </c>
      <c r="W577">
        <v>0.46</v>
      </c>
      <c r="X577">
        <v>11</v>
      </c>
      <c r="Y577">
        <v>130</v>
      </c>
      <c r="Z577">
        <v>5</v>
      </c>
      <c r="AA577">
        <v>5</v>
      </c>
      <c r="AB577">
        <v>1</v>
      </c>
      <c r="AC577">
        <v>724</v>
      </c>
      <c r="AD577" s="8">
        <v>41899</v>
      </c>
      <c r="AE577" s="8"/>
      <c r="AF577" s="8"/>
    </row>
    <row r="578" spans="1:32">
      <c r="A578" t="s">
        <v>1400</v>
      </c>
      <c r="B578">
        <v>6.7</v>
      </c>
      <c r="C578" s="8" t="s">
        <v>1401</v>
      </c>
      <c r="D578">
        <v>5</v>
      </c>
      <c r="E578">
        <v>6</v>
      </c>
      <c r="G578">
        <v>0</v>
      </c>
      <c r="H578">
        <v>692</v>
      </c>
      <c r="I578" t="s">
        <v>22</v>
      </c>
      <c r="J578">
        <v>533</v>
      </c>
      <c r="K578">
        <v>0</v>
      </c>
      <c r="L578">
        <v>15.6</v>
      </c>
      <c r="M578" t="s">
        <v>829</v>
      </c>
      <c r="N578">
        <v>32</v>
      </c>
      <c r="O578">
        <v>-5.8810000000000002</v>
      </c>
      <c r="P578">
        <v>150.982</v>
      </c>
      <c r="Q578" t="s">
        <v>418</v>
      </c>
      <c r="R578" t="s">
        <v>25</v>
      </c>
      <c r="S578" t="s">
        <v>64</v>
      </c>
      <c r="T578">
        <v>5</v>
      </c>
      <c r="U578">
        <v>6.7</v>
      </c>
      <c r="V578">
        <v>533</v>
      </c>
      <c r="W578">
        <v>0</v>
      </c>
      <c r="X578">
        <v>15.6</v>
      </c>
      <c r="Y578">
        <v>32</v>
      </c>
      <c r="Z578">
        <v>5</v>
      </c>
      <c r="AA578">
        <v>6</v>
      </c>
      <c r="AB578">
        <v>0</v>
      </c>
      <c r="AC578">
        <v>692</v>
      </c>
      <c r="AD578" s="8">
        <v>39007</v>
      </c>
      <c r="AE578" s="8"/>
      <c r="AF578" s="8"/>
    </row>
    <row r="579" spans="1:32">
      <c r="A579" t="s">
        <v>607</v>
      </c>
      <c r="B579">
        <v>6.8</v>
      </c>
      <c r="C579" s="8" t="s">
        <v>608</v>
      </c>
      <c r="D579">
        <v>3</v>
      </c>
      <c r="E579">
        <v>6</v>
      </c>
      <c r="F579" t="s">
        <v>21</v>
      </c>
      <c r="G579">
        <v>1</v>
      </c>
      <c r="H579">
        <v>716</v>
      </c>
      <c r="I579" t="s">
        <v>22</v>
      </c>
      <c r="J579">
        <v>0</v>
      </c>
      <c r="K579">
        <v>3.7269999999999999</v>
      </c>
      <c r="L579">
        <v>11</v>
      </c>
      <c r="M579" t="s">
        <v>23</v>
      </c>
      <c r="N579">
        <v>42</v>
      </c>
      <c r="O579">
        <v>-6.0033000000000003</v>
      </c>
      <c r="P579">
        <v>148.887</v>
      </c>
      <c r="Q579" t="s">
        <v>609</v>
      </c>
      <c r="R579" t="s">
        <v>25</v>
      </c>
      <c r="S579" t="s">
        <v>64</v>
      </c>
      <c r="T579">
        <v>5</v>
      </c>
      <c r="U579">
        <v>6.8</v>
      </c>
      <c r="V579">
        <v>0</v>
      </c>
      <c r="W579">
        <v>3.7269999999999999</v>
      </c>
      <c r="X579">
        <v>11</v>
      </c>
      <c r="Y579">
        <v>42</v>
      </c>
      <c r="Z579">
        <v>3</v>
      </c>
      <c r="AA579">
        <v>6</v>
      </c>
      <c r="AB579">
        <v>1</v>
      </c>
      <c r="AC579">
        <v>716</v>
      </c>
      <c r="AD579" s="8">
        <v>42660</v>
      </c>
      <c r="AE579" s="8"/>
      <c r="AF579" s="8"/>
    </row>
    <row r="580" spans="1:32">
      <c r="A580" t="s">
        <v>574</v>
      </c>
      <c r="B580">
        <v>7.9</v>
      </c>
      <c r="C580" s="8" t="s">
        <v>575</v>
      </c>
      <c r="D580">
        <v>9</v>
      </c>
      <c r="E580">
        <v>7</v>
      </c>
      <c r="F580" t="s">
        <v>45</v>
      </c>
      <c r="G580">
        <v>1</v>
      </c>
      <c r="H580">
        <v>972</v>
      </c>
      <c r="I580" t="s">
        <v>22</v>
      </c>
      <c r="J580">
        <v>0</v>
      </c>
      <c r="K580">
        <v>1.389</v>
      </c>
      <c r="L580">
        <v>13</v>
      </c>
      <c r="M580" t="s">
        <v>23</v>
      </c>
      <c r="N580">
        <v>94.54</v>
      </c>
      <c r="O580">
        <v>-4.5049000000000001</v>
      </c>
      <c r="P580">
        <v>153.52199999999999</v>
      </c>
      <c r="Q580" t="s">
        <v>466</v>
      </c>
      <c r="R580" t="s">
        <v>25</v>
      </c>
      <c r="S580" t="s">
        <v>64</v>
      </c>
      <c r="T580">
        <v>5</v>
      </c>
      <c r="U580">
        <v>7.9</v>
      </c>
      <c r="V580">
        <v>0</v>
      </c>
      <c r="W580">
        <v>1.389</v>
      </c>
      <c r="X580">
        <v>13</v>
      </c>
      <c r="Y580">
        <v>94.54</v>
      </c>
      <c r="Z580">
        <v>9</v>
      </c>
      <c r="AA580">
        <v>7</v>
      </c>
      <c r="AB580">
        <v>1</v>
      </c>
      <c r="AC580">
        <v>972</v>
      </c>
      <c r="AD580" s="8">
        <v>42721</v>
      </c>
      <c r="AE580" s="8"/>
      <c r="AF580" s="8"/>
    </row>
    <row r="581" spans="1:32">
      <c r="A581" t="s">
        <v>1154</v>
      </c>
      <c r="B581">
        <v>6.9</v>
      </c>
      <c r="C581" s="8" t="s">
        <v>1155</v>
      </c>
      <c r="D581">
        <v>4</v>
      </c>
      <c r="E581">
        <v>7</v>
      </c>
      <c r="G581">
        <v>0</v>
      </c>
      <c r="H581">
        <v>737</v>
      </c>
      <c r="I581" t="s">
        <v>22</v>
      </c>
      <c r="J581">
        <v>456</v>
      </c>
      <c r="K581">
        <v>0</v>
      </c>
      <c r="L581">
        <v>15.7</v>
      </c>
      <c r="M581" t="s">
        <v>829</v>
      </c>
      <c r="N581">
        <v>28</v>
      </c>
      <c r="O581">
        <v>-5.9660000000000002</v>
      </c>
      <c r="P581">
        <v>150.428</v>
      </c>
      <c r="Q581" t="s">
        <v>418</v>
      </c>
      <c r="R581" t="s">
        <v>25</v>
      </c>
      <c r="S581" t="s">
        <v>64</v>
      </c>
      <c r="T581">
        <v>5</v>
      </c>
      <c r="U581">
        <v>6.9</v>
      </c>
      <c r="V581">
        <v>456</v>
      </c>
      <c r="W581">
        <v>0</v>
      </c>
      <c r="X581">
        <v>15.7</v>
      </c>
      <c r="Y581">
        <v>28</v>
      </c>
      <c r="Z581">
        <v>4</v>
      </c>
      <c r="AA581">
        <v>7</v>
      </c>
      <c r="AB581">
        <v>0</v>
      </c>
      <c r="AC581">
        <v>737</v>
      </c>
      <c r="AD581" s="8">
        <v>40377</v>
      </c>
      <c r="AE581" s="8"/>
      <c r="AF581" s="8"/>
    </row>
    <row r="582" spans="1:32">
      <c r="A582" t="s">
        <v>1151</v>
      </c>
      <c r="B582">
        <v>7.3</v>
      </c>
      <c r="C582" s="8" t="s">
        <v>1152</v>
      </c>
      <c r="D582">
        <v>8</v>
      </c>
      <c r="E582">
        <v>7</v>
      </c>
      <c r="G582">
        <v>0</v>
      </c>
      <c r="H582">
        <v>831</v>
      </c>
      <c r="I582" t="s">
        <v>22</v>
      </c>
      <c r="J582">
        <v>397</v>
      </c>
      <c r="K582">
        <v>0</v>
      </c>
      <c r="L582">
        <v>18.2</v>
      </c>
      <c r="M582" t="s">
        <v>829</v>
      </c>
      <c r="N582">
        <v>35</v>
      </c>
      <c r="O582">
        <v>-5.931</v>
      </c>
      <c r="P582">
        <v>150.59</v>
      </c>
      <c r="Q582" t="s">
        <v>1153</v>
      </c>
      <c r="R582" t="s">
        <v>25</v>
      </c>
      <c r="S582" t="s">
        <v>64</v>
      </c>
      <c r="T582">
        <v>5</v>
      </c>
      <c r="U582">
        <v>7.3</v>
      </c>
      <c r="V582">
        <v>397</v>
      </c>
      <c r="W582">
        <v>0</v>
      </c>
      <c r="X582">
        <v>18.2</v>
      </c>
      <c r="Y582">
        <v>35</v>
      </c>
      <c r="Z582">
        <v>8</v>
      </c>
      <c r="AA582">
        <v>7</v>
      </c>
      <c r="AB582">
        <v>0</v>
      </c>
      <c r="AC582">
        <v>831</v>
      </c>
      <c r="AD582" s="8">
        <v>40377</v>
      </c>
      <c r="AE582" s="8"/>
      <c r="AF582" s="8"/>
    </row>
    <row r="583" spans="1:32">
      <c r="A583" t="s">
        <v>733</v>
      </c>
      <c r="B583">
        <v>7</v>
      </c>
      <c r="C583" s="8" t="s">
        <v>734</v>
      </c>
      <c r="D583">
        <v>8</v>
      </c>
      <c r="E583">
        <v>6</v>
      </c>
      <c r="F583" t="s">
        <v>21</v>
      </c>
      <c r="G583">
        <v>1</v>
      </c>
      <c r="H583">
        <v>759</v>
      </c>
      <c r="I583" t="s">
        <v>22</v>
      </c>
      <c r="J583">
        <v>0</v>
      </c>
      <c r="K583">
        <v>5.2050000000000001</v>
      </c>
      <c r="L583">
        <v>22</v>
      </c>
      <c r="M583" t="s">
        <v>23</v>
      </c>
      <c r="N583">
        <v>11</v>
      </c>
      <c r="O583">
        <v>-10.401199999999999</v>
      </c>
      <c r="P583">
        <v>165.14099999999999</v>
      </c>
      <c r="Q583" t="s">
        <v>281</v>
      </c>
      <c r="R583" t="s">
        <v>25</v>
      </c>
      <c r="S583" t="s">
        <v>26</v>
      </c>
      <c r="T583">
        <v>5</v>
      </c>
      <c r="U583">
        <v>7</v>
      </c>
      <c r="V583">
        <v>0</v>
      </c>
      <c r="W583">
        <v>5.2050000000000001</v>
      </c>
      <c r="X583">
        <v>22</v>
      </c>
      <c r="Y583">
        <v>11</v>
      </c>
      <c r="Z583">
        <v>8</v>
      </c>
      <c r="AA583">
        <v>6</v>
      </c>
      <c r="AB583">
        <v>1</v>
      </c>
      <c r="AC583">
        <v>759</v>
      </c>
      <c r="AD583" s="8">
        <v>42203</v>
      </c>
      <c r="AE583" s="8"/>
      <c r="AF583" s="8"/>
    </row>
    <row r="584" spans="1:32">
      <c r="A584" t="s">
        <v>160</v>
      </c>
      <c r="B584">
        <v>6.9</v>
      </c>
      <c r="C584" s="8" t="s">
        <v>161</v>
      </c>
      <c r="D584">
        <v>8</v>
      </c>
      <c r="E584">
        <v>7</v>
      </c>
      <c r="F584" t="s">
        <v>21</v>
      </c>
      <c r="G584">
        <v>1</v>
      </c>
      <c r="H584">
        <v>741</v>
      </c>
      <c r="I584" t="s">
        <v>22</v>
      </c>
      <c r="J584">
        <v>0</v>
      </c>
      <c r="K584">
        <v>0.57899999999999996</v>
      </c>
      <c r="L584">
        <v>54</v>
      </c>
      <c r="M584" t="s">
        <v>23</v>
      </c>
      <c r="N584">
        <v>93</v>
      </c>
      <c r="O584">
        <v>-14.891999999999999</v>
      </c>
      <c r="P584">
        <v>167.08500000000001</v>
      </c>
      <c r="Q584" t="s">
        <v>162</v>
      </c>
      <c r="R584" t="s">
        <v>25</v>
      </c>
      <c r="S584" t="s">
        <v>163</v>
      </c>
      <c r="T584">
        <v>5</v>
      </c>
      <c r="U584">
        <v>6.9</v>
      </c>
      <c r="V584">
        <v>0</v>
      </c>
      <c r="W584">
        <v>0.57899999999999996</v>
      </c>
      <c r="X584">
        <v>54</v>
      </c>
      <c r="Y584">
        <v>93</v>
      </c>
      <c r="Z584">
        <v>8</v>
      </c>
      <c r="AA584">
        <v>7</v>
      </c>
      <c r="AB584">
        <v>1</v>
      </c>
      <c r="AC584">
        <v>741</v>
      </c>
      <c r="AD584" s="8">
        <v>44426</v>
      </c>
      <c r="AE584" s="8"/>
      <c r="AF584" s="8"/>
    </row>
    <row r="585" spans="1:32">
      <c r="A585" t="s">
        <v>685</v>
      </c>
      <c r="B585">
        <v>6.8</v>
      </c>
      <c r="C585" s="8" t="s">
        <v>686</v>
      </c>
      <c r="D585">
        <v>5</v>
      </c>
      <c r="E585">
        <v>6</v>
      </c>
      <c r="F585" t="s">
        <v>21</v>
      </c>
      <c r="G585">
        <v>1</v>
      </c>
      <c r="H585">
        <v>715</v>
      </c>
      <c r="I585" t="s">
        <v>22</v>
      </c>
      <c r="J585">
        <v>0</v>
      </c>
      <c r="K585">
        <v>1.599</v>
      </c>
      <c r="L585">
        <v>19</v>
      </c>
      <c r="M585" t="s">
        <v>23</v>
      </c>
      <c r="N585">
        <v>12.59</v>
      </c>
      <c r="O585">
        <v>-8.8994</v>
      </c>
      <c r="P585">
        <v>158.422</v>
      </c>
      <c r="Q585" t="s">
        <v>687</v>
      </c>
      <c r="R585" t="s">
        <v>25</v>
      </c>
      <c r="S585" t="s">
        <v>26</v>
      </c>
      <c r="T585">
        <v>5</v>
      </c>
      <c r="U585">
        <v>6.8</v>
      </c>
      <c r="V585">
        <v>0</v>
      </c>
      <c r="W585">
        <v>1.599</v>
      </c>
      <c r="X585">
        <v>19</v>
      </c>
      <c r="Y585">
        <v>12.59</v>
      </c>
      <c r="Z585">
        <v>5</v>
      </c>
      <c r="AA585">
        <v>6</v>
      </c>
      <c r="AB585">
        <v>1</v>
      </c>
      <c r="AC585">
        <v>715</v>
      </c>
      <c r="AD585" s="8">
        <v>42326</v>
      </c>
      <c r="AE585" s="8"/>
      <c r="AF585" s="8"/>
    </row>
    <row r="586" spans="1:32">
      <c r="A586" t="s">
        <v>396</v>
      </c>
      <c r="B586">
        <v>6.8</v>
      </c>
      <c r="C586" s="8" t="s">
        <v>397</v>
      </c>
      <c r="D586">
        <v>0</v>
      </c>
      <c r="E586">
        <v>3</v>
      </c>
      <c r="F586" t="s">
        <v>21</v>
      </c>
      <c r="G586">
        <v>1</v>
      </c>
      <c r="H586">
        <v>711</v>
      </c>
      <c r="I586" t="s">
        <v>22</v>
      </c>
      <c r="J586">
        <v>0</v>
      </c>
      <c r="K586">
        <v>2.879</v>
      </c>
      <c r="L586">
        <v>39</v>
      </c>
      <c r="M586" t="s">
        <v>23</v>
      </c>
      <c r="N586">
        <v>540</v>
      </c>
      <c r="O586">
        <v>-17.8735</v>
      </c>
      <c r="P586">
        <v>-178.92699999999999</v>
      </c>
      <c r="Q586" t="s">
        <v>398</v>
      </c>
      <c r="R586" t="s">
        <v>25</v>
      </c>
      <c r="S586" t="s">
        <v>31</v>
      </c>
      <c r="T586">
        <v>5</v>
      </c>
      <c r="U586">
        <v>6.8</v>
      </c>
      <c r="V586">
        <v>0</v>
      </c>
      <c r="W586">
        <v>2.879</v>
      </c>
      <c r="X586">
        <v>39</v>
      </c>
      <c r="Y586">
        <v>540</v>
      </c>
      <c r="Z586">
        <v>0</v>
      </c>
      <c r="AA586">
        <v>3</v>
      </c>
      <c r="AB586">
        <v>1</v>
      </c>
      <c r="AC586">
        <v>711</v>
      </c>
      <c r="AD586" s="8">
        <v>43422</v>
      </c>
      <c r="AE586" s="8"/>
      <c r="AF586" s="8"/>
    </row>
    <row r="587" spans="1:32">
      <c r="A587" t="s">
        <v>563</v>
      </c>
      <c r="B587">
        <v>6.5</v>
      </c>
      <c r="C587" s="8" t="s">
        <v>564</v>
      </c>
      <c r="D587">
        <v>6</v>
      </c>
      <c r="E587">
        <v>6</v>
      </c>
      <c r="F587" t="s">
        <v>21</v>
      </c>
      <c r="G587">
        <v>1</v>
      </c>
      <c r="H587">
        <v>654</v>
      </c>
      <c r="I587" t="s">
        <v>22</v>
      </c>
      <c r="J587">
        <v>0</v>
      </c>
      <c r="K587">
        <v>1.64</v>
      </c>
      <c r="L587">
        <v>21</v>
      </c>
      <c r="M587" t="s">
        <v>23</v>
      </c>
      <c r="N587">
        <v>36</v>
      </c>
      <c r="O587">
        <v>-10.3506</v>
      </c>
      <c r="P587">
        <v>161.33500000000001</v>
      </c>
      <c r="Q587" t="s">
        <v>428</v>
      </c>
      <c r="R587" t="s">
        <v>25</v>
      </c>
      <c r="S587" t="s">
        <v>26</v>
      </c>
      <c r="T587">
        <v>5</v>
      </c>
      <c r="U587">
        <v>6.5</v>
      </c>
      <c r="V587">
        <v>0</v>
      </c>
      <c r="W587">
        <v>1.64</v>
      </c>
      <c r="X587">
        <v>21</v>
      </c>
      <c r="Y587">
        <v>36</v>
      </c>
      <c r="Z587">
        <v>6</v>
      </c>
      <c r="AA587">
        <v>6</v>
      </c>
      <c r="AB587">
        <v>1</v>
      </c>
      <c r="AC587">
        <v>654</v>
      </c>
      <c r="AD587" s="8">
        <v>42754</v>
      </c>
      <c r="AE587" s="8"/>
      <c r="AF587" s="8"/>
    </row>
    <row r="588" spans="1:32">
      <c r="A588" t="s">
        <v>1247</v>
      </c>
      <c r="B588">
        <v>7.6</v>
      </c>
      <c r="C588" s="8" t="s">
        <v>1248</v>
      </c>
      <c r="D588">
        <v>7</v>
      </c>
      <c r="E588">
        <v>5</v>
      </c>
      <c r="G588">
        <v>0</v>
      </c>
      <c r="H588">
        <v>916</v>
      </c>
      <c r="I588" t="s">
        <v>22</v>
      </c>
      <c r="J588">
        <v>504</v>
      </c>
      <c r="K588">
        <v>0</v>
      </c>
      <c r="L588">
        <v>14</v>
      </c>
      <c r="M588" t="s">
        <v>829</v>
      </c>
      <c r="N588">
        <v>31</v>
      </c>
      <c r="O588">
        <v>-23.042999999999999</v>
      </c>
      <c r="P588">
        <v>-174.66</v>
      </c>
      <c r="Q588" t="s">
        <v>1249</v>
      </c>
      <c r="R588" t="s">
        <v>25</v>
      </c>
      <c r="S588" t="s">
        <v>1022</v>
      </c>
      <c r="T588">
        <v>5</v>
      </c>
      <c r="U588">
        <v>7.6</v>
      </c>
      <c r="V588">
        <v>504</v>
      </c>
      <c r="W588">
        <v>0</v>
      </c>
      <c r="X588">
        <v>14</v>
      </c>
      <c r="Y588">
        <v>31</v>
      </c>
      <c r="Z588">
        <v>7</v>
      </c>
      <c r="AA588">
        <v>5</v>
      </c>
      <c r="AB588">
        <v>0</v>
      </c>
      <c r="AC588">
        <v>916</v>
      </c>
      <c r="AD588" s="8">
        <v>39891</v>
      </c>
      <c r="AE588" s="8"/>
      <c r="AF588" s="8"/>
    </row>
    <row r="589" spans="1:32">
      <c r="A589" t="s">
        <v>1705</v>
      </c>
      <c r="B589">
        <v>6.7</v>
      </c>
      <c r="C589" s="8" t="s">
        <v>1706</v>
      </c>
      <c r="D589">
        <v>0</v>
      </c>
      <c r="E589">
        <v>6</v>
      </c>
      <c r="G589">
        <v>0</v>
      </c>
      <c r="H589">
        <v>691</v>
      </c>
      <c r="I589" t="s">
        <v>22</v>
      </c>
      <c r="J589">
        <v>282</v>
      </c>
      <c r="K589">
        <v>0</v>
      </c>
      <c r="L589">
        <v>0</v>
      </c>
      <c r="M589" t="s">
        <v>829</v>
      </c>
      <c r="N589">
        <v>17</v>
      </c>
      <c r="O589">
        <v>-7.41</v>
      </c>
      <c r="P589">
        <v>155.86500000000001</v>
      </c>
      <c r="Q589" t="s">
        <v>562</v>
      </c>
      <c r="R589" t="s">
        <v>25</v>
      </c>
      <c r="S589" t="s">
        <v>64</v>
      </c>
      <c r="T589">
        <v>5</v>
      </c>
      <c r="U589">
        <v>6.7</v>
      </c>
      <c r="V589">
        <v>282</v>
      </c>
      <c r="W589">
        <v>0</v>
      </c>
      <c r="X589">
        <v>0</v>
      </c>
      <c r="Y589">
        <v>17</v>
      </c>
      <c r="Z589">
        <v>0</v>
      </c>
      <c r="AA589">
        <v>6</v>
      </c>
      <c r="AB589">
        <v>0</v>
      </c>
      <c r="AC589">
        <v>691</v>
      </c>
      <c r="AD589" s="8">
        <v>37000</v>
      </c>
      <c r="AE589" s="8"/>
      <c r="AF589" s="8"/>
    </row>
    <row r="590" spans="1:32">
      <c r="A590" t="s">
        <v>844</v>
      </c>
      <c r="B590">
        <v>6.6</v>
      </c>
      <c r="C590" s="8" t="s">
        <v>845</v>
      </c>
      <c r="D590">
        <v>0</v>
      </c>
      <c r="E590">
        <v>6</v>
      </c>
      <c r="F590" t="s">
        <v>21</v>
      </c>
      <c r="G590">
        <v>1</v>
      </c>
      <c r="H590">
        <v>670</v>
      </c>
      <c r="I590" t="s">
        <v>22</v>
      </c>
      <c r="J590">
        <v>0</v>
      </c>
      <c r="K590">
        <v>3.8029999999999999</v>
      </c>
      <c r="L590">
        <v>11</v>
      </c>
      <c r="M590" t="s">
        <v>23</v>
      </c>
      <c r="N590">
        <v>29</v>
      </c>
      <c r="O590">
        <v>-6.6558000000000002</v>
      </c>
      <c r="P590">
        <v>155.08699999999999</v>
      </c>
      <c r="Q590" t="s">
        <v>562</v>
      </c>
      <c r="R590" t="s">
        <v>25</v>
      </c>
      <c r="S590" t="s">
        <v>64</v>
      </c>
      <c r="T590">
        <v>5</v>
      </c>
      <c r="U590">
        <v>6.6</v>
      </c>
      <c r="V590">
        <v>0</v>
      </c>
      <c r="W590">
        <v>3.8029999999999999</v>
      </c>
      <c r="X590">
        <v>11</v>
      </c>
      <c r="Y590">
        <v>29</v>
      </c>
      <c r="Z590">
        <v>0</v>
      </c>
      <c r="AA590">
        <v>6</v>
      </c>
      <c r="AB590">
        <v>1</v>
      </c>
      <c r="AC590">
        <v>670</v>
      </c>
      <c r="AD590" s="8">
        <v>41748</v>
      </c>
      <c r="AE590" s="8"/>
      <c r="AF590" s="8"/>
    </row>
    <row r="591" spans="1:32">
      <c r="A591" t="s">
        <v>842</v>
      </c>
      <c r="B591">
        <v>7.5</v>
      </c>
      <c r="C591" s="8" t="s">
        <v>843</v>
      </c>
      <c r="D591">
        <v>0</v>
      </c>
      <c r="E591">
        <v>6</v>
      </c>
      <c r="F591" t="s">
        <v>21</v>
      </c>
      <c r="G591">
        <v>1</v>
      </c>
      <c r="H591">
        <v>865</v>
      </c>
      <c r="I591" t="s">
        <v>22</v>
      </c>
      <c r="J591">
        <v>0</v>
      </c>
      <c r="K591">
        <v>3.82</v>
      </c>
      <c r="L591">
        <v>16</v>
      </c>
      <c r="M591" t="s">
        <v>23</v>
      </c>
      <c r="N591">
        <v>43.37</v>
      </c>
      <c r="O591">
        <v>-6.7546999999999997</v>
      </c>
      <c r="P591">
        <v>155.024</v>
      </c>
      <c r="Q591" t="s">
        <v>562</v>
      </c>
      <c r="R591" t="s">
        <v>25</v>
      </c>
      <c r="S591" t="s">
        <v>1739</v>
      </c>
      <c r="T591">
        <v>5</v>
      </c>
      <c r="U591">
        <v>7.5</v>
      </c>
      <c r="V591">
        <v>0</v>
      </c>
      <c r="W591">
        <v>3.82</v>
      </c>
      <c r="X591">
        <v>16</v>
      </c>
      <c r="Y591">
        <v>43.37</v>
      </c>
      <c r="Z591">
        <v>0</v>
      </c>
      <c r="AA591">
        <v>6</v>
      </c>
      <c r="AB591">
        <v>1</v>
      </c>
      <c r="AC591">
        <v>865</v>
      </c>
      <c r="AD591" s="8">
        <v>41748</v>
      </c>
      <c r="AE591" s="8"/>
      <c r="AF591" s="8"/>
    </row>
    <row r="592" spans="1:32">
      <c r="A592" t="s">
        <v>446</v>
      </c>
      <c r="B592">
        <v>8.1999999999999993</v>
      </c>
      <c r="C592" s="8" t="s">
        <v>447</v>
      </c>
      <c r="D592">
        <v>5</v>
      </c>
      <c r="E592">
        <v>4</v>
      </c>
      <c r="F592" t="s">
        <v>21</v>
      </c>
      <c r="G592">
        <v>1</v>
      </c>
      <c r="H592">
        <v>1050</v>
      </c>
      <c r="I592" t="s">
        <v>22</v>
      </c>
      <c r="J592">
        <v>0</v>
      </c>
      <c r="K592">
        <v>3.63</v>
      </c>
      <c r="L592">
        <v>13</v>
      </c>
      <c r="M592" t="s">
        <v>23</v>
      </c>
      <c r="N592">
        <v>600</v>
      </c>
      <c r="O592">
        <v>-18.112500000000001</v>
      </c>
      <c r="P592">
        <v>-178.15299999999999</v>
      </c>
      <c r="Q592" t="s">
        <v>398</v>
      </c>
      <c r="R592" t="s">
        <v>25</v>
      </c>
      <c r="S592" t="s">
        <v>31</v>
      </c>
      <c r="T592">
        <v>5</v>
      </c>
      <c r="U592">
        <v>8.1999999999999993</v>
      </c>
      <c r="V592">
        <v>0</v>
      </c>
      <c r="W592">
        <v>3.63</v>
      </c>
      <c r="X592">
        <v>13</v>
      </c>
      <c r="Y592">
        <v>600</v>
      </c>
      <c r="Z592">
        <v>5</v>
      </c>
      <c r="AA592">
        <v>4</v>
      </c>
      <c r="AB592">
        <v>1</v>
      </c>
      <c r="AC592">
        <v>1050</v>
      </c>
      <c r="AD592" s="8">
        <v>43331</v>
      </c>
      <c r="AE592" s="8"/>
      <c r="AF592" s="8"/>
    </row>
    <row r="593" spans="1:32">
      <c r="A593" t="s">
        <v>490</v>
      </c>
      <c r="B593">
        <v>6.6</v>
      </c>
      <c r="C593" s="8" t="s">
        <v>491</v>
      </c>
      <c r="D593">
        <v>4</v>
      </c>
      <c r="E593">
        <v>5</v>
      </c>
      <c r="F593" t="s">
        <v>21</v>
      </c>
      <c r="G593">
        <v>1</v>
      </c>
      <c r="H593">
        <v>676</v>
      </c>
      <c r="I593" t="s">
        <v>22</v>
      </c>
      <c r="J593">
        <v>0</v>
      </c>
      <c r="K593">
        <v>0.52900000000000003</v>
      </c>
      <c r="L593">
        <v>21</v>
      </c>
      <c r="M593" t="s">
        <v>23</v>
      </c>
      <c r="N593">
        <v>13</v>
      </c>
      <c r="O593">
        <v>-21.502700000000001</v>
      </c>
      <c r="P593">
        <v>168.59800000000001</v>
      </c>
      <c r="Q593" t="s">
        <v>97</v>
      </c>
      <c r="R593" t="s">
        <v>25</v>
      </c>
      <c r="S593" t="s">
        <v>1744</v>
      </c>
      <c r="T593">
        <v>5</v>
      </c>
      <c r="U593">
        <v>6.6</v>
      </c>
      <c r="V593">
        <v>0</v>
      </c>
      <c r="W593">
        <v>0.52900000000000003</v>
      </c>
      <c r="X593">
        <v>21</v>
      </c>
      <c r="Y593">
        <v>13</v>
      </c>
      <c r="Z593">
        <v>4</v>
      </c>
      <c r="AA593">
        <v>5</v>
      </c>
      <c r="AB593">
        <v>1</v>
      </c>
      <c r="AC593">
        <v>676</v>
      </c>
      <c r="AD593" s="8">
        <v>43058</v>
      </c>
      <c r="AE593" s="8"/>
      <c r="AF593" s="8"/>
    </row>
    <row r="594" spans="1:32">
      <c r="A594" t="s">
        <v>488</v>
      </c>
      <c r="B594">
        <v>7</v>
      </c>
      <c r="C594" s="8" t="s">
        <v>489</v>
      </c>
      <c r="D594">
        <v>4</v>
      </c>
      <c r="E594">
        <v>6</v>
      </c>
      <c r="F594" t="s">
        <v>21</v>
      </c>
      <c r="G594">
        <v>1</v>
      </c>
      <c r="H594">
        <v>771</v>
      </c>
      <c r="I594" t="s">
        <v>22</v>
      </c>
      <c r="J594">
        <v>0</v>
      </c>
      <c r="K594">
        <v>0.61699999999999999</v>
      </c>
      <c r="L594">
        <v>14</v>
      </c>
      <c r="M594" t="s">
        <v>23</v>
      </c>
      <c r="N594">
        <v>10</v>
      </c>
      <c r="O594">
        <v>-21.3246</v>
      </c>
      <c r="P594">
        <v>168.67099999999999</v>
      </c>
      <c r="Q594" t="s">
        <v>97</v>
      </c>
      <c r="R594" t="s">
        <v>25</v>
      </c>
      <c r="S594" t="s">
        <v>1744</v>
      </c>
      <c r="T594">
        <v>5</v>
      </c>
      <c r="U594">
        <v>7</v>
      </c>
      <c r="V594">
        <v>0</v>
      </c>
      <c r="W594">
        <v>0.61699999999999999</v>
      </c>
      <c r="X594">
        <v>14</v>
      </c>
      <c r="Y594">
        <v>10</v>
      </c>
      <c r="Z594">
        <v>4</v>
      </c>
      <c r="AA594">
        <v>6</v>
      </c>
      <c r="AB594">
        <v>1</v>
      </c>
      <c r="AC594">
        <v>771</v>
      </c>
      <c r="AD594" s="8">
        <v>43058</v>
      </c>
      <c r="AE594" s="8"/>
      <c r="AF594" s="8"/>
    </row>
    <row r="595" spans="1:32">
      <c r="A595" t="s">
        <v>1623</v>
      </c>
      <c r="B595">
        <v>7.3</v>
      </c>
      <c r="C595" s="8" t="s">
        <v>1624</v>
      </c>
      <c r="D595">
        <v>0</v>
      </c>
      <c r="E595">
        <v>6</v>
      </c>
      <c r="G595">
        <v>0</v>
      </c>
      <c r="H595">
        <v>820</v>
      </c>
      <c r="I595" t="s">
        <v>22</v>
      </c>
      <c r="J595">
        <v>457</v>
      </c>
      <c r="K595">
        <v>0</v>
      </c>
      <c r="L595">
        <v>0</v>
      </c>
      <c r="M595" t="s">
        <v>829</v>
      </c>
      <c r="N595">
        <v>33</v>
      </c>
      <c r="O595">
        <v>-10.491</v>
      </c>
      <c r="P595">
        <v>160.77000000000001</v>
      </c>
      <c r="Q595" t="s">
        <v>428</v>
      </c>
      <c r="R595" t="s">
        <v>25</v>
      </c>
      <c r="S595" t="s">
        <v>26</v>
      </c>
      <c r="T595">
        <v>5</v>
      </c>
      <c r="U595">
        <v>7.3</v>
      </c>
      <c r="V595">
        <v>457</v>
      </c>
      <c r="W595">
        <v>0</v>
      </c>
      <c r="X595">
        <v>0</v>
      </c>
      <c r="Y595">
        <v>33</v>
      </c>
      <c r="Z595">
        <v>0</v>
      </c>
      <c r="AA595">
        <v>6</v>
      </c>
      <c r="AB595">
        <v>0</v>
      </c>
      <c r="AC595">
        <v>820</v>
      </c>
      <c r="AD595" s="8">
        <v>37641</v>
      </c>
      <c r="AE595" s="8"/>
      <c r="AF595" s="8"/>
    </row>
    <row r="596" spans="1:32">
      <c r="A596" t="s">
        <v>751</v>
      </c>
      <c r="B596">
        <v>6.8</v>
      </c>
      <c r="C596" s="8" t="s">
        <v>752</v>
      </c>
      <c r="D596">
        <v>1</v>
      </c>
      <c r="E596">
        <v>4</v>
      </c>
      <c r="F596" t="s">
        <v>21</v>
      </c>
      <c r="G596">
        <v>1</v>
      </c>
      <c r="H596">
        <v>711</v>
      </c>
      <c r="I596" t="s">
        <v>22</v>
      </c>
      <c r="J596">
        <v>0</v>
      </c>
      <c r="K596">
        <v>4.3949999999999996</v>
      </c>
      <c r="L596">
        <v>15</v>
      </c>
      <c r="M596" t="s">
        <v>23</v>
      </c>
      <c r="N596">
        <v>11</v>
      </c>
      <c r="O596">
        <v>-10.8759</v>
      </c>
      <c r="P596">
        <v>164.16900000000001</v>
      </c>
      <c r="Q596" t="s">
        <v>281</v>
      </c>
      <c r="R596" t="s">
        <v>25</v>
      </c>
      <c r="S596" t="s">
        <v>26</v>
      </c>
      <c r="T596">
        <v>5</v>
      </c>
      <c r="U596">
        <v>6.8</v>
      </c>
      <c r="V596">
        <v>0</v>
      </c>
      <c r="W596">
        <v>4.3949999999999996</v>
      </c>
      <c r="X596">
        <v>15</v>
      </c>
      <c r="Y596">
        <v>11</v>
      </c>
      <c r="Z596">
        <v>1</v>
      </c>
      <c r="AA596">
        <v>4</v>
      </c>
      <c r="AB596">
        <v>1</v>
      </c>
      <c r="AC596">
        <v>711</v>
      </c>
      <c r="AD596" s="8">
        <v>42144</v>
      </c>
      <c r="AE596" s="8"/>
      <c r="AF596" s="8"/>
    </row>
    <row r="597" spans="1:32">
      <c r="A597" t="s">
        <v>187</v>
      </c>
      <c r="B597">
        <v>6.5</v>
      </c>
      <c r="C597" s="8" t="s">
        <v>188</v>
      </c>
      <c r="D597">
        <v>0</v>
      </c>
      <c r="E597">
        <v>4</v>
      </c>
      <c r="F597" t="s">
        <v>21</v>
      </c>
      <c r="G597">
        <v>1</v>
      </c>
      <c r="H597">
        <v>650</v>
      </c>
      <c r="I597" t="s">
        <v>22</v>
      </c>
      <c r="J597">
        <v>0</v>
      </c>
      <c r="K597">
        <v>7.9939999999999998</v>
      </c>
      <c r="L597">
        <v>24</v>
      </c>
      <c r="M597" t="s">
        <v>23</v>
      </c>
      <c r="N597">
        <v>25</v>
      </c>
      <c r="O597">
        <v>-30.214400000000001</v>
      </c>
      <c r="P597">
        <v>-177.773</v>
      </c>
      <c r="Q597" t="s">
        <v>110</v>
      </c>
      <c r="R597" t="s">
        <v>25</v>
      </c>
      <c r="S597" t="s">
        <v>594</v>
      </c>
      <c r="T597">
        <v>5</v>
      </c>
      <c r="U597">
        <v>6.5</v>
      </c>
      <c r="V597">
        <v>0</v>
      </c>
      <c r="W597">
        <v>7.9939999999999998</v>
      </c>
      <c r="X597">
        <v>24</v>
      </c>
      <c r="Y597">
        <v>25</v>
      </c>
      <c r="Z597">
        <v>0</v>
      </c>
      <c r="AA597">
        <v>4</v>
      </c>
      <c r="AB597">
        <v>1</v>
      </c>
      <c r="AC597">
        <v>650</v>
      </c>
      <c r="AD597" s="8">
        <v>44367</v>
      </c>
      <c r="AE597" s="8"/>
      <c r="AF597" s="8"/>
    </row>
    <row r="598" spans="1:32">
      <c r="A598" t="s">
        <v>1084</v>
      </c>
      <c r="B598">
        <v>7.2</v>
      </c>
      <c r="C598" s="8" t="s">
        <v>1085</v>
      </c>
      <c r="D598">
        <v>8</v>
      </c>
      <c r="E598">
        <v>6</v>
      </c>
      <c r="G598">
        <v>0</v>
      </c>
      <c r="H598">
        <v>813</v>
      </c>
      <c r="I598" t="s">
        <v>22</v>
      </c>
      <c r="J598">
        <v>280</v>
      </c>
      <c r="K598">
        <v>0</v>
      </c>
      <c r="L598">
        <v>18.399999999999999</v>
      </c>
      <c r="M598" t="s">
        <v>23</v>
      </c>
      <c r="N598">
        <v>32</v>
      </c>
      <c r="O598">
        <v>-18.364999999999998</v>
      </c>
      <c r="P598">
        <v>168.143</v>
      </c>
      <c r="Q598" t="s">
        <v>785</v>
      </c>
      <c r="R598" t="s">
        <v>25</v>
      </c>
      <c r="S598" t="s">
        <v>163</v>
      </c>
      <c r="T598">
        <v>5</v>
      </c>
      <c r="U598">
        <v>7.2</v>
      </c>
      <c r="V598">
        <v>280</v>
      </c>
      <c r="W598">
        <v>0</v>
      </c>
      <c r="X598">
        <v>18.399999999999999</v>
      </c>
      <c r="Y598">
        <v>32</v>
      </c>
      <c r="Z598">
        <v>8</v>
      </c>
      <c r="AA598">
        <v>6</v>
      </c>
      <c r="AB598">
        <v>0</v>
      </c>
      <c r="AC598">
        <v>813</v>
      </c>
      <c r="AD598" s="8">
        <v>40775</v>
      </c>
      <c r="AE598" s="8"/>
      <c r="AF598" s="8"/>
    </row>
    <row r="599" spans="1:32">
      <c r="A599" t="s">
        <v>1082</v>
      </c>
      <c r="B599">
        <v>6.5</v>
      </c>
      <c r="C599" s="8" t="s">
        <v>1083</v>
      </c>
      <c r="D599">
        <v>0</v>
      </c>
      <c r="E599">
        <v>5</v>
      </c>
      <c r="G599">
        <v>0</v>
      </c>
      <c r="H599">
        <v>650</v>
      </c>
      <c r="I599" t="s">
        <v>22</v>
      </c>
      <c r="J599">
        <v>322</v>
      </c>
      <c r="K599">
        <v>0</v>
      </c>
      <c r="L599">
        <v>15</v>
      </c>
      <c r="M599" t="s">
        <v>829</v>
      </c>
      <c r="N599">
        <v>35</v>
      </c>
      <c r="O599">
        <v>-18.308</v>
      </c>
      <c r="P599">
        <v>168.15600000000001</v>
      </c>
      <c r="Q599" t="s">
        <v>785</v>
      </c>
      <c r="R599" t="s">
        <v>25</v>
      </c>
      <c r="S599" t="s">
        <v>163</v>
      </c>
      <c r="T599">
        <v>5</v>
      </c>
      <c r="U599">
        <v>6.5</v>
      </c>
      <c r="V599">
        <v>322</v>
      </c>
      <c r="W599">
        <v>0</v>
      </c>
      <c r="X599">
        <v>15</v>
      </c>
      <c r="Y599">
        <v>35</v>
      </c>
      <c r="Z599">
        <v>0</v>
      </c>
      <c r="AA599">
        <v>5</v>
      </c>
      <c r="AB599">
        <v>0</v>
      </c>
      <c r="AC599">
        <v>650</v>
      </c>
      <c r="AD599" s="8">
        <v>40775</v>
      </c>
      <c r="AE599" s="8"/>
      <c r="AF599" s="8"/>
    </row>
    <row r="600" spans="1:32">
      <c r="A600" t="s">
        <v>1080</v>
      </c>
      <c r="B600">
        <v>7.1</v>
      </c>
      <c r="C600" s="8" t="s">
        <v>1081</v>
      </c>
      <c r="D600">
        <v>5</v>
      </c>
      <c r="E600">
        <v>6</v>
      </c>
      <c r="G600">
        <v>0</v>
      </c>
      <c r="H600">
        <v>787</v>
      </c>
      <c r="I600" t="s">
        <v>22</v>
      </c>
      <c r="J600">
        <v>564</v>
      </c>
      <c r="K600">
        <v>0</v>
      </c>
      <c r="L600">
        <v>12.3</v>
      </c>
      <c r="M600" t="s">
        <v>23</v>
      </c>
      <c r="N600">
        <v>28</v>
      </c>
      <c r="O600">
        <v>-18.311</v>
      </c>
      <c r="P600">
        <v>168.21799999999999</v>
      </c>
      <c r="Q600" t="s">
        <v>785</v>
      </c>
      <c r="R600" t="s">
        <v>25</v>
      </c>
      <c r="S600" t="s">
        <v>163</v>
      </c>
      <c r="T600">
        <v>5</v>
      </c>
      <c r="U600">
        <v>7.1</v>
      </c>
      <c r="V600">
        <v>564</v>
      </c>
      <c r="W600">
        <v>0</v>
      </c>
      <c r="X600">
        <v>12.3</v>
      </c>
      <c r="Y600">
        <v>28</v>
      </c>
      <c r="Z600">
        <v>5</v>
      </c>
      <c r="AA600">
        <v>6</v>
      </c>
      <c r="AB600">
        <v>0</v>
      </c>
      <c r="AC600">
        <v>787</v>
      </c>
      <c r="AD600" s="8">
        <v>40775</v>
      </c>
      <c r="AE600" s="8"/>
      <c r="AF600" s="8"/>
    </row>
    <row r="601" spans="1:32">
      <c r="A601" t="s">
        <v>705</v>
      </c>
      <c r="B601">
        <v>7.1</v>
      </c>
      <c r="C601" s="8" t="s">
        <v>706</v>
      </c>
      <c r="D601">
        <v>6</v>
      </c>
      <c r="E601">
        <v>6</v>
      </c>
      <c r="F601" t="s">
        <v>21</v>
      </c>
      <c r="G601">
        <v>1</v>
      </c>
      <c r="H601">
        <v>780</v>
      </c>
      <c r="I601" t="s">
        <v>22</v>
      </c>
      <c r="J601">
        <v>0</v>
      </c>
      <c r="K601">
        <v>0.59199999999999997</v>
      </c>
      <c r="L601">
        <v>11</v>
      </c>
      <c r="M601" t="s">
        <v>23</v>
      </c>
      <c r="N601">
        <v>135</v>
      </c>
      <c r="O601">
        <v>-14.859500000000001</v>
      </c>
      <c r="P601">
        <v>167.303</v>
      </c>
      <c r="Q601" t="s">
        <v>162</v>
      </c>
      <c r="R601" t="s">
        <v>25</v>
      </c>
      <c r="S601" t="s">
        <v>163</v>
      </c>
      <c r="T601">
        <v>5</v>
      </c>
      <c r="U601">
        <v>7.1</v>
      </c>
      <c r="V601">
        <v>0</v>
      </c>
      <c r="W601">
        <v>0.59199999999999997</v>
      </c>
      <c r="X601">
        <v>11</v>
      </c>
      <c r="Y601">
        <v>135</v>
      </c>
      <c r="Z601">
        <v>6</v>
      </c>
      <c r="AA601">
        <v>6</v>
      </c>
      <c r="AB601">
        <v>1</v>
      </c>
      <c r="AC601">
        <v>780</v>
      </c>
      <c r="AD601" s="8">
        <v>42297</v>
      </c>
      <c r="AE601" s="8"/>
      <c r="AF601" s="8"/>
    </row>
    <row r="602" spans="1:32">
      <c r="A602" t="s">
        <v>1308</v>
      </c>
      <c r="B602">
        <v>6.6</v>
      </c>
      <c r="C602" s="8" t="s">
        <v>1309</v>
      </c>
      <c r="D602">
        <v>7</v>
      </c>
      <c r="E602">
        <v>6</v>
      </c>
      <c r="G602">
        <v>0</v>
      </c>
      <c r="H602">
        <v>808</v>
      </c>
      <c r="I602" t="s">
        <v>22</v>
      </c>
      <c r="J602">
        <v>461</v>
      </c>
      <c r="K602">
        <v>0</v>
      </c>
      <c r="L602">
        <v>18.8</v>
      </c>
      <c r="M602" t="s">
        <v>829</v>
      </c>
      <c r="N602">
        <v>20</v>
      </c>
      <c r="O602">
        <v>-39.011000000000003</v>
      </c>
      <c r="P602">
        <v>178.291</v>
      </c>
      <c r="Q602" t="s">
        <v>216</v>
      </c>
      <c r="R602" t="s">
        <v>25</v>
      </c>
      <c r="S602" t="s">
        <v>594</v>
      </c>
      <c r="T602">
        <v>5</v>
      </c>
      <c r="U602">
        <v>6.6</v>
      </c>
      <c r="V602">
        <v>461</v>
      </c>
      <c r="W602">
        <v>0</v>
      </c>
      <c r="X602">
        <v>18.8</v>
      </c>
      <c r="Y602">
        <v>20</v>
      </c>
      <c r="Z602">
        <v>7</v>
      </c>
      <c r="AA602">
        <v>6</v>
      </c>
      <c r="AB602">
        <v>0</v>
      </c>
      <c r="AC602">
        <v>808</v>
      </c>
      <c r="AD602" s="8">
        <v>39436</v>
      </c>
      <c r="AE602" s="8"/>
      <c r="AF602" s="8"/>
    </row>
    <row r="603" spans="1:32">
      <c r="A603" t="s">
        <v>1042</v>
      </c>
      <c r="B603">
        <v>6.6</v>
      </c>
      <c r="C603" s="8" t="s">
        <v>1043</v>
      </c>
      <c r="D603">
        <v>6</v>
      </c>
      <c r="E603">
        <v>6</v>
      </c>
      <c r="G603">
        <v>0</v>
      </c>
      <c r="H603">
        <v>709</v>
      </c>
      <c r="I603" t="s">
        <v>22</v>
      </c>
      <c r="J603">
        <v>640</v>
      </c>
      <c r="K603">
        <v>0</v>
      </c>
      <c r="L603">
        <v>10.1</v>
      </c>
      <c r="M603" t="s">
        <v>23</v>
      </c>
      <c r="N603">
        <v>118</v>
      </c>
      <c r="O603">
        <v>-6.242</v>
      </c>
      <c r="P603">
        <v>145.95500000000001</v>
      </c>
      <c r="Q603" t="s">
        <v>63</v>
      </c>
      <c r="R603" t="s">
        <v>25</v>
      </c>
      <c r="S603" t="s">
        <v>64</v>
      </c>
      <c r="T603">
        <v>5</v>
      </c>
      <c r="U603">
        <v>6.6</v>
      </c>
      <c r="V603">
        <v>640</v>
      </c>
      <c r="W603">
        <v>0</v>
      </c>
      <c r="X603">
        <v>10.1</v>
      </c>
      <c r="Y603">
        <v>118</v>
      </c>
      <c r="Z603">
        <v>6</v>
      </c>
      <c r="AA603">
        <v>6</v>
      </c>
      <c r="AB603">
        <v>0</v>
      </c>
      <c r="AC603">
        <v>709</v>
      </c>
      <c r="AD603" s="8">
        <v>40989</v>
      </c>
      <c r="AE603" s="8"/>
      <c r="AF603" s="8"/>
    </row>
    <row r="604" spans="1:32">
      <c r="A604" t="s">
        <v>189</v>
      </c>
      <c r="B604">
        <v>6.5</v>
      </c>
      <c r="C604" s="8" t="s">
        <v>190</v>
      </c>
      <c r="D604">
        <v>5</v>
      </c>
      <c r="E604">
        <v>7</v>
      </c>
      <c r="F604" t="s">
        <v>21</v>
      </c>
      <c r="G604">
        <v>1</v>
      </c>
      <c r="H604">
        <v>652</v>
      </c>
      <c r="I604" t="s">
        <v>22</v>
      </c>
      <c r="J604">
        <v>0</v>
      </c>
      <c r="K604">
        <v>4.5179999999999998</v>
      </c>
      <c r="L604">
        <v>44</v>
      </c>
      <c r="M604" t="s">
        <v>23</v>
      </c>
      <c r="N604">
        <v>10</v>
      </c>
      <c r="O604">
        <v>-16.479600000000001</v>
      </c>
      <c r="P604">
        <v>-177.35599999999999</v>
      </c>
      <c r="Q604" t="s">
        <v>191</v>
      </c>
      <c r="R604" t="s">
        <v>25</v>
      </c>
      <c r="S604" t="s">
        <v>1750</v>
      </c>
      <c r="T604">
        <v>5</v>
      </c>
      <c r="U604">
        <v>6.5</v>
      </c>
      <c r="V604">
        <v>0</v>
      </c>
      <c r="W604">
        <v>4.5179999999999998</v>
      </c>
      <c r="X604">
        <v>44</v>
      </c>
      <c r="Y604">
        <v>10</v>
      </c>
      <c r="Z604">
        <v>5</v>
      </c>
      <c r="AA604">
        <v>7</v>
      </c>
      <c r="AB604">
        <v>1</v>
      </c>
      <c r="AC604">
        <v>652</v>
      </c>
      <c r="AD604" s="8">
        <v>44337</v>
      </c>
      <c r="AE604" s="8"/>
      <c r="AF604" s="8"/>
    </row>
    <row r="605" spans="1:32">
      <c r="A605" t="s">
        <v>925</v>
      </c>
      <c r="B605">
        <v>6.5</v>
      </c>
      <c r="C605" s="8" t="s">
        <v>926</v>
      </c>
      <c r="D605">
        <v>6</v>
      </c>
      <c r="E605">
        <v>7</v>
      </c>
      <c r="F605" t="s">
        <v>45</v>
      </c>
      <c r="G605">
        <v>1</v>
      </c>
      <c r="H605">
        <v>693</v>
      </c>
      <c r="I605" t="s">
        <v>22</v>
      </c>
      <c r="J605">
        <v>229</v>
      </c>
      <c r="K605">
        <v>0</v>
      </c>
      <c r="L605">
        <v>20</v>
      </c>
      <c r="M605" t="s">
        <v>23</v>
      </c>
      <c r="N605">
        <v>17</v>
      </c>
      <c r="O605">
        <v>-41.704000000000001</v>
      </c>
      <c r="P605">
        <v>174.33699999999999</v>
      </c>
      <c r="Q605" t="s">
        <v>597</v>
      </c>
      <c r="R605" t="s">
        <v>25</v>
      </c>
      <c r="S605" t="s">
        <v>594</v>
      </c>
      <c r="T605">
        <v>5</v>
      </c>
      <c r="U605">
        <v>6.5</v>
      </c>
      <c r="V605">
        <v>229</v>
      </c>
      <c r="W605">
        <v>0</v>
      </c>
      <c r="X605">
        <v>20</v>
      </c>
      <c r="Y605">
        <v>17</v>
      </c>
      <c r="Z605">
        <v>6</v>
      </c>
      <c r="AA605">
        <v>7</v>
      </c>
      <c r="AB605">
        <v>1</v>
      </c>
      <c r="AC605">
        <v>693</v>
      </c>
      <c r="AD605" s="8">
        <v>41476</v>
      </c>
      <c r="AE605" s="8"/>
      <c r="AF605" s="8"/>
    </row>
    <row r="606" spans="1:32">
      <c r="A606" t="s">
        <v>610</v>
      </c>
      <c r="B606">
        <v>6.9</v>
      </c>
      <c r="C606" s="8" t="s">
        <v>816</v>
      </c>
      <c r="D606">
        <v>0</v>
      </c>
      <c r="E606">
        <v>6</v>
      </c>
      <c r="F606" t="s">
        <v>21</v>
      </c>
      <c r="G606">
        <v>1</v>
      </c>
      <c r="H606">
        <v>732</v>
      </c>
      <c r="I606" t="s">
        <v>22</v>
      </c>
      <c r="J606">
        <v>0</v>
      </c>
      <c r="K606">
        <v>3.9340000000000002</v>
      </c>
      <c r="L606">
        <v>15</v>
      </c>
      <c r="M606" t="s">
        <v>23</v>
      </c>
      <c r="N606">
        <v>615.41999999999996</v>
      </c>
      <c r="O606">
        <v>-19.801500000000001</v>
      </c>
      <c r="P606">
        <v>-178.4</v>
      </c>
      <c r="Q606" t="s">
        <v>612</v>
      </c>
      <c r="R606" t="s">
        <v>25</v>
      </c>
      <c r="S606" t="s">
        <v>31</v>
      </c>
      <c r="T606">
        <v>5</v>
      </c>
      <c r="U606">
        <v>6.9</v>
      </c>
      <c r="V606">
        <v>0</v>
      </c>
      <c r="W606">
        <v>3.9340000000000002</v>
      </c>
      <c r="X606">
        <v>15</v>
      </c>
      <c r="Y606">
        <v>615.41999999999996</v>
      </c>
      <c r="Z606">
        <v>0</v>
      </c>
      <c r="AA606">
        <v>6</v>
      </c>
      <c r="AB606">
        <v>1</v>
      </c>
      <c r="AC606">
        <v>732</v>
      </c>
      <c r="AD606" s="8">
        <v>41841</v>
      </c>
      <c r="AE606" s="8"/>
      <c r="AF606" s="8"/>
    </row>
    <row r="607" spans="1:32">
      <c r="A607" t="s">
        <v>1596</v>
      </c>
      <c r="B607">
        <v>7.2</v>
      </c>
      <c r="C607" s="8" t="s">
        <v>1597</v>
      </c>
      <c r="D607">
        <v>0</v>
      </c>
      <c r="E607">
        <v>7</v>
      </c>
      <c r="G607">
        <v>0</v>
      </c>
      <c r="H607">
        <v>798</v>
      </c>
      <c r="I607" t="s">
        <v>22</v>
      </c>
      <c r="J607">
        <v>428</v>
      </c>
      <c r="K607">
        <v>0</v>
      </c>
      <c r="L607">
        <v>17.5</v>
      </c>
      <c r="M607" t="s">
        <v>829</v>
      </c>
      <c r="N607">
        <v>28</v>
      </c>
      <c r="O607">
        <v>-45.103999999999999</v>
      </c>
      <c r="P607">
        <v>167.14400000000001</v>
      </c>
      <c r="Q607" t="s">
        <v>1241</v>
      </c>
      <c r="R607" t="s">
        <v>25</v>
      </c>
      <c r="S607" t="s">
        <v>594</v>
      </c>
      <c r="T607">
        <v>5</v>
      </c>
      <c r="U607">
        <v>7.2</v>
      </c>
      <c r="V607">
        <v>428</v>
      </c>
      <c r="W607">
        <v>0</v>
      </c>
      <c r="X607">
        <v>17.5</v>
      </c>
      <c r="Y607">
        <v>28</v>
      </c>
      <c r="Z607">
        <v>0</v>
      </c>
      <c r="AA607">
        <v>7</v>
      </c>
      <c r="AB607">
        <v>0</v>
      </c>
      <c r="AC607">
        <v>798</v>
      </c>
      <c r="AD607" s="8">
        <v>37854</v>
      </c>
      <c r="AE607" s="8"/>
      <c r="AF607" s="8"/>
    </row>
    <row r="608" spans="1:32">
      <c r="A608" t="s">
        <v>437</v>
      </c>
      <c r="B608">
        <v>6.5</v>
      </c>
      <c r="C608" s="8" t="s">
        <v>438</v>
      </c>
      <c r="D608">
        <v>6</v>
      </c>
      <c r="E608">
        <v>7</v>
      </c>
      <c r="F608" t="s">
        <v>21</v>
      </c>
      <c r="G608">
        <v>1</v>
      </c>
      <c r="H608">
        <v>652</v>
      </c>
      <c r="I608" t="s">
        <v>22</v>
      </c>
      <c r="J608">
        <v>0</v>
      </c>
      <c r="K608">
        <v>4.7969999999999997</v>
      </c>
      <c r="L608">
        <v>10</v>
      </c>
      <c r="M608" t="s">
        <v>23</v>
      </c>
      <c r="N608">
        <v>9</v>
      </c>
      <c r="O608">
        <v>-16.031500000000001</v>
      </c>
      <c r="P608">
        <v>168.143</v>
      </c>
      <c r="Q608" t="s">
        <v>334</v>
      </c>
      <c r="R608" t="s">
        <v>25</v>
      </c>
      <c r="S608" t="s">
        <v>163</v>
      </c>
      <c r="T608">
        <v>5</v>
      </c>
      <c r="U608">
        <v>6.5</v>
      </c>
      <c r="V608">
        <v>0</v>
      </c>
      <c r="W608">
        <v>4.7969999999999997</v>
      </c>
      <c r="X608">
        <v>10</v>
      </c>
      <c r="Y608">
        <v>9</v>
      </c>
      <c r="Z608">
        <v>6</v>
      </c>
      <c r="AA608">
        <v>7</v>
      </c>
      <c r="AB608">
        <v>1</v>
      </c>
      <c r="AC608">
        <v>652</v>
      </c>
      <c r="AD608" s="8">
        <v>43333</v>
      </c>
      <c r="AE608" s="8"/>
      <c r="AF608" s="8"/>
    </row>
    <row r="609" spans="1:32">
      <c r="A609" t="s">
        <v>986</v>
      </c>
      <c r="B609">
        <v>6.7</v>
      </c>
      <c r="C609" s="8" t="s">
        <v>987</v>
      </c>
      <c r="D609">
        <v>0</v>
      </c>
      <c r="E609">
        <v>4</v>
      </c>
      <c r="G609">
        <v>0</v>
      </c>
      <c r="H609">
        <v>691</v>
      </c>
      <c r="I609" t="s">
        <v>22</v>
      </c>
      <c r="J609">
        <v>521</v>
      </c>
      <c r="K609">
        <v>0</v>
      </c>
      <c r="L609">
        <v>13.7</v>
      </c>
      <c r="M609" t="s">
        <v>23</v>
      </c>
      <c r="N609">
        <v>200.7</v>
      </c>
      <c r="O609">
        <v>-14.343999999999999</v>
      </c>
      <c r="P609">
        <v>167.286</v>
      </c>
      <c r="Q609" t="s">
        <v>382</v>
      </c>
      <c r="R609" t="s">
        <v>25</v>
      </c>
      <c r="S609" t="s">
        <v>163</v>
      </c>
      <c r="T609">
        <v>5</v>
      </c>
      <c r="U609">
        <v>6.7</v>
      </c>
      <c r="V609">
        <v>521</v>
      </c>
      <c r="W609">
        <v>0</v>
      </c>
      <c r="X609">
        <v>13.7</v>
      </c>
      <c r="Y609">
        <v>200.7</v>
      </c>
      <c r="Z609">
        <v>0</v>
      </c>
      <c r="AA609">
        <v>4</v>
      </c>
      <c r="AB609">
        <v>0</v>
      </c>
      <c r="AC609">
        <v>691</v>
      </c>
      <c r="AD609" s="8">
        <v>41264</v>
      </c>
      <c r="AE609" s="8"/>
      <c r="AF609" s="8"/>
    </row>
    <row r="610" spans="1:32">
      <c r="A610" t="s">
        <v>560</v>
      </c>
      <c r="B610">
        <v>7.9</v>
      </c>
      <c r="C610" s="8" t="s">
        <v>561</v>
      </c>
      <c r="D610">
        <v>9</v>
      </c>
      <c r="E610">
        <v>7</v>
      </c>
      <c r="F610" t="s">
        <v>45</v>
      </c>
      <c r="G610">
        <v>1</v>
      </c>
      <c r="H610">
        <v>987</v>
      </c>
      <c r="I610" t="s">
        <v>22</v>
      </c>
      <c r="J610">
        <v>0</v>
      </c>
      <c r="K610">
        <v>3.625</v>
      </c>
      <c r="L610">
        <v>9</v>
      </c>
      <c r="M610" t="s">
        <v>23</v>
      </c>
      <c r="N610">
        <v>135</v>
      </c>
      <c r="O610">
        <v>-6.2464000000000004</v>
      </c>
      <c r="P610">
        <v>155.172</v>
      </c>
      <c r="Q610" t="s">
        <v>562</v>
      </c>
      <c r="R610" t="s">
        <v>25</v>
      </c>
      <c r="S610" t="s">
        <v>64</v>
      </c>
      <c r="T610">
        <v>5</v>
      </c>
      <c r="U610">
        <v>7.9</v>
      </c>
      <c r="V610">
        <v>0</v>
      </c>
      <c r="W610">
        <v>3.625</v>
      </c>
      <c r="X610">
        <v>9</v>
      </c>
      <c r="Y610">
        <v>135</v>
      </c>
      <c r="Z610">
        <v>9</v>
      </c>
      <c r="AA610">
        <v>7</v>
      </c>
      <c r="AB610">
        <v>1</v>
      </c>
      <c r="AC610">
        <v>987</v>
      </c>
      <c r="AD610" s="8">
        <v>42757</v>
      </c>
      <c r="AE610" s="8"/>
      <c r="AF610" s="8"/>
    </row>
    <row r="611" spans="1:32">
      <c r="A611" t="s">
        <v>749</v>
      </c>
      <c r="B611">
        <v>6.9</v>
      </c>
      <c r="C611" s="8" t="s">
        <v>750</v>
      </c>
      <c r="D611">
        <v>1</v>
      </c>
      <c r="E611">
        <v>4</v>
      </c>
      <c r="F611" t="s">
        <v>21</v>
      </c>
      <c r="G611">
        <v>1</v>
      </c>
      <c r="H611">
        <v>732</v>
      </c>
      <c r="I611" t="s">
        <v>22</v>
      </c>
      <c r="J611">
        <v>0</v>
      </c>
      <c r="K611">
        <v>4.024</v>
      </c>
      <c r="L611">
        <v>22</v>
      </c>
      <c r="M611" t="s">
        <v>23</v>
      </c>
      <c r="N611">
        <v>11.19</v>
      </c>
      <c r="O611">
        <v>-11.055899999999999</v>
      </c>
      <c r="P611">
        <v>163.696</v>
      </c>
      <c r="Q611" t="s">
        <v>428</v>
      </c>
      <c r="R611" t="s">
        <v>25</v>
      </c>
      <c r="S611" t="s">
        <v>26</v>
      </c>
      <c r="T611">
        <v>5</v>
      </c>
      <c r="U611">
        <v>6.9</v>
      </c>
      <c r="V611">
        <v>0</v>
      </c>
      <c r="W611">
        <v>4.024</v>
      </c>
      <c r="X611">
        <v>22</v>
      </c>
      <c r="Y611">
        <v>11.19</v>
      </c>
      <c r="Z611">
        <v>1</v>
      </c>
      <c r="AA611">
        <v>4</v>
      </c>
      <c r="AB611">
        <v>1</v>
      </c>
      <c r="AC611">
        <v>732</v>
      </c>
      <c r="AD611" s="8">
        <v>42146</v>
      </c>
      <c r="AE611" s="8"/>
      <c r="AF611" s="8"/>
    </row>
    <row r="612" spans="1:32">
      <c r="A612" t="s">
        <v>747</v>
      </c>
      <c r="B612">
        <v>6.8</v>
      </c>
      <c r="C612" s="8" t="s">
        <v>748</v>
      </c>
      <c r="D612">
        <v>1</v>
      </c>
      <c r="E612">
        <v>5</v>
      </c>
      <c r="F612" t="s">
        <v>21</v>
      </c>
      <c r="G612">
        <v>1</v>
      </c>
      <c r="H612">
        <v>711</v>
      </c>
      <c r="I612" t="s">
        <v>22</v>
      </c>
      <c r="J612">
        <v>0</v>
      </c>
      <c r="K612">
        <v>3.6190000000000002</v>
      </c>
      <c r="L612">
        <v>18</v>
      </c>
      <c r="M612" t="s">
        <v>23</v>
      </c>
      <c r="N612">
        <v>10</v>
      </c>
      <c r="O612">
        <v>-11.109299999999999</v>
      </c>
      <c r="P612">
        <v>163.215</v>
      </c>
      <c r="Q612" t="s">
        <v>428</v>
      </c>
      <c r="R612" t="s">
        <v>25</v>
      </c>
      <c r="S612" t="s">
        <v>26</v>
      </c>
      <c r="T612">
        <v>5</v>
      </c>
      <c r="U612">
        <v>6.8</v>
      </c>
      <c r="V612">
        <v>0</v>
      </c>
      <c r="W612">
        <v>3.6190000000000002</v>
      </c>
      <c r="X612">
        <v>18</v>
      </c>
      <c r="Y612">
        <v>10</v>
      </c>
      <c r="Z612">
        <v>1</v>
      </c>
      <c r="AA612">
        <v>5</v>
      </c>
      <c r="AB612">
        <v>1</v>
      </c>
      <c r="AC612">
        <v>711</v>
      </c>
      <c r="AD612" s="8">
        <v>42146</v>
      </c>
      <c r="AE612" s="8"/>
      <c r="AF612" s="8"/>
    </row>
    <row r="613" spans="1:32">
      <c r="A613" t="s">
        <v>1520</v>
      </c>
      <c r="B613">
        <v>7.1</v>
      </c>
      <c r="C613" s="8" t="s">
        <v>1521</v>
      </c>
      <c r="D613">
        <v>5</v>
      </c>
      <c r="E613">
        <v>5</v>
      </c>
      <c r="G613">
        <v>0</v>
      </c>
      <c r="H613">
        <v>782</v>
      </c>
      <c r="I613" t="s">
        <v>22</v>
      </c>
      <c r="J613">
        <v>585</v>
      </c>
      <c r="K613">
        <v>0</v>
      </c>
      <c r="L613">
        <v>14.7</v>
      </c>
      <c r="M613" t="s">
        <v>829</v>
      </c>
      <c r="N613">
        <v>10</v>
      </c>
      <c r="O613">
        <v>-46.676000000000002</v>
      </c>
      <c r="P613">
        <v>164.721</v>
      </c>
      <c r="Q613" t="s">
        <v>1522</v>
      </c>
      <c r="R613" t="s">
        <v>25</v>
      </c>
      <c r="S613" t="s">
        <v>594</v>
      </c>
      <c r="T613">
        <v>5</v>
      </c>
      <c r="U613">
        <v>7.1</v>
      </c>
      <c r="V613">
        <v>585</v>
      </c>
      <c r="W613">
        <v>0</v>
      </c>
      <c r="X613">
        <v>14.7</v>
      </c>
      <c r="Y613">
        <v>10</v>
      </c>
      <c r="Z613">
        <v>5</v>
      </c>
      <c r="AA613">
        <v>5</v>
      </c>
      <c r="AB613">
        <v>0</v>
      </c>
      <c r="AC613">
        <v>782</v>
      </c>
      <c r="AD613" s="8">
        <v>38313</v>
      </c>
      <c r="AE613" s="8"/>
      <c r="AF613" s="8"/>
    </row>
    <row r="614" spans="1:32">
      <c r="A614" t="s">
        <v>1324</v>
      </c>
      <c r="B614">
        <v>6.8</v>
      </c>
      <c r="C614" s="8" t="s">
        <v>1325</v>
      </c>
      <c r="D614">
        <v>6</v>
      </c>
      <c r="E614">
        <v>6</v>
      </c>
      <c r="G614">
        <v>0</v>
      </c>
      <c r="H614">
        <v>722</v>
      </c>
      <c r="I614" t="s">
        <v>22</v>
      </c>
      <c r="J614">
        <v>341</v>
      </c>
      <c r="K614">
        <v>0</v>
      </c>
      <c r="L614">
        <v>15.9</v>
      </c>
      <c r="M614" t="s">
        <v>829</v>
      </c>
      <c r="N614">
        <v>53</v>
      </c>
      <c r="O614">
        <v>-5.7569999999999997</v>
      </c>
      <c r="P614">
        <v>147.09800000000001</v>
      </c>
      <c r="Q614" t="s">
        <v>1028</v>
      </c>
      <c r="R614" t="s">
        <v>25</v>
      </c>
      <c r="S614" t="s">
        <v>64</v>
      </c>
      <c r="T614">
        <v>5</v>
      </c>
      <c r="U614">
        <v>6.8</v>
      </c>
      <c r="V614">
        <v>341</v>
      </c>
      <c r="W614">
        <v>0</v>
      </c>
      <c r="X614">
        <v>15.9</v>
      </c>
      <c r="Y614">
        <v>53</v>
      </c>
      <c r="Z614">
        <v>6</v>
      </c>
      <c r="AA614">
        <v>6</v>
      </c>
      <c r="AB614">
        <v>0</v>
      </c>
      <c r="AC614">
        <v>722</v>
      </c>
      <c r="AD614" s="8">
        <v>39408</v>
      </c>
      <c r="AE614" s="8"/>
      <c r="AF614" s="8"/>
    </row>
    <row r="615" spans="1:32">
      <c r="A615" t="s">
        <v>19</v>
      </c>
      <c r="B615">
        <v>7</v>
      </c>
      <c r="C615" s="8" t="s">
        <v>20</v>
      </c>
      <c r="D615">
        <v>8</v>
      </c>
      <c r="E615">
        <v>7</v>
      </c>
      <c r="F615" t="s">
        <v>21</v>
      </c>
      <c r="G615">
        <v>1</v>
      </c>
      <c r="H615">
        <v>768</v>
      </c>
      <c r="I615" t="s">
        <v>22</v>
      </c>
      <c r="J615">
        <v>117</v>
      </c>
      <c r="K615">
        <v>0.50900000000000001</v>
      </c>
      <c r="L615">
        <v>17</v>
      </c>
      <c r="M615" t="s">
        <v>23</v>
      </c>
      <c r="N615">
        <v>14</v>
      </c>
      <c r="O615">
        <v>-9.7963000000000005</v>
      </c>
      <c r="P615">
        <v>159.596</v>
      </c>
      <c r="Q615" t="s">
        <v>24</v>
      </c>
      <c r="R615" t="s">
        <v>25</v>
      </c>
      <c r="S615" t="s">
        <v>26</v>
      </c>
      <c r="T615">
        <v>5</v>
      </c>
      <c r="U615">
        <v>7</v>
      </c>
      <c r="V615">
        <v>117</v>
      </c>
      <c r="W615">
        <v>0.50900000000000001</v>
      </c>
      <c r="X615">
        <v>17</v>
      </c>
      <c r="Y615">
        <v>14</v>
      </c>
      <c r="Z615">
        <v>8</v>
      </c>
      <c r="AA615">
        <v>7</v>
      </c>
      <c r="AB615">
        <v>1</v>
      </c>
      <c r="AC615">
        <v>768</v>
      </c>
      <c r="AD615" s="8">
        <v>44887</v>
      </c>
      <c r="AE615" s="8"/>
      <c r="AF615" s="8"/>
    </row>
    <row r="616" spans="1:32">
      <c r="A616" t="s">
        <v>783</v>
      </c>
      <c r="B616">
        <v>6.8</v>
      </c>
      <c r="C616" s="8" t="s">
        <v>784</v>
      </c>
      <c r="D616">
        <v>1</v>
      </c>
      <c r="E616">
        <v>4</v>
      </c>
      <c r="F616" t="s">
        <v>21</v>
      </c>
      <c r="G616">
        <v>1</v>
      </c>
      <c r="H616">
        <v>711</v>
      </c>
      <c r="I616" t="s">
        <v>22</v>
      </c>
      <c r="J616">
        <v>0</v>
      </c>
      <c r="K616">
        <v>2.0190000000000001</v>
      </c>
      <c r="L616">
        <v>13</v>
      </c>
      <c r="M616" t="s">
        <v>23</v>
      </c>
      <c r="N616">
        <v>219.96</v>
      </c>
      <c r="O616">
        <v>-17.030899999999999</v>
      </c>
      <c r="P616">
        <v>168.52</v>
      </c>
      <c r="Q616" t="s">
        <v>785</v>
      </c>
      <c r="R616" t="s">
        <v>25</v>
      </c>
      <c r="S616" t="s">
        <v>163</v>
      </c>
      <c r="T616">
        <v>5</v>
      </c>
      <c r="U616">
        <v>6.8</v>
      </c>
      <c r="V616">
        <v>0</v>
      </c>
      <c r="W616">
        <v>2.0190000000000001</v>
      </c>
      <c r="X616">
        <v>13</v>
      </c>
      <c r="Y616">
        <v>219.96</v>
      </c>
      <c r="Z616">
        <v>1</v>
      </c>
      <c r="AA616">
        <v>4</v>
      </c>
      <c r="AB616">
        <v>1</v>
      </c>
      <c r="AC616">
        <v>711</v>
      </c>
      <c r="AD616" s="8">
        <v>42027</v>
      </c>
      <c r="AE616" s="8"/>
      <c r="AF616" s="8"/>
    </row>
    <row r="617" spans="1:32">
      <c r="A617" t="s">
        <v>1093</v>
      </c>
      <c r="B617">
        <v>6.8</v>
      </c>
      <c r="C617" s="8" t="s">
        <v>1094</v>
      </c>
      <c r="D617">
        <v>5</v>
      </c>
      <c r="E617">
        <v>6</v>
      </c>
      <c r="G617">
        <v>0</v>
      </c>
      <c r="H617">
        <v>719</v>
      </c>
      <c r="I617" t="s">
        <v>22</v>
      </c>
      <c r="J617">
        <v>445</v>
      </c>
      <c r="K617">
        <v>0</v>
      </c>
      <c r="L617">
        <v>13</v>
      </c>
      <c r="M617" t="s">
        <v>23</v>
      </c>
      <c r="N617">
        <v>79</v>
      </c>
      <c r="O617">
        <v>-10.375</v>
      </c>
      <c r="P617">
        <v>161.19999999999999</v>
      </c>
      <c r="Q617" t="s">
        <v>428</v>
      </c>
      <c r="R617" t="s">
        <v>25</v>
      </c>
      <c r="S617" t="s">
        <v>26</v>
      </c>
      <c r="T617">
        <v>5</v>
      </c>
      <c r="U617">
        <v>6.8</v>
      </c>
      <c r="V617">
        <v>445</v>
      </c>
      <c r="W617">
        <v>0</v>
      </c>
      <c r="X617">
        <v>13</v>
      </c>
      <c r="Y617">
        <v>79</v>
      </c>
      <c r="Z617">
        <v>5</v>
      </c>
      <c r="AA617">
        <v>6</v>
      </c>
      <c r="AB617">
        <v>0</v>
      </c>
      <c r="AC617">
        <v>719</v>
      </c>
      <c r="AD617" s="8">
        <v>40656</v>
      </c>
      <c r="AE617" s="8"/>
      <c r="AF617" s="8"/>
    </row>
    <row r="618" spans="1:32">
      <c r="A618" t="s">
        <v>947</v>
      </c>
      <c r="B618">
        <v>6.5</v>
      </c>
      <c r="C618" s="8" t="s">
        <v>948</v>
      </c>
      <c r="D618">
        <v>0</v>
      </c>
      <c r="E618">
        <v>6</v>
      </c>
      <c r="F618" t="s">
        <v>21</v>
      </c>
      <c r="G618">
        <v>1</v>
      </c>
      <c r="H618">
        <v>650</v>
      </c>
      <c r="I618" t="s">
        <v>22</v>
      </c>
      <c r="J618">
        <v>264</v>
      </c>
      <c r="K618">
        <v>0</v>
      </c>
      <c r="L618">
        <v>16.600000000000001</v>
      </c>
      <c r="M618" t="s">
        <v>23</v>
      </c>
      <c r="N618">
        <v>10</v>
      </c>
      <c r="O618">
        <v>-3.8980000000000001</v>
      </c>
      <c r="P618">
        <v>152.12700000000001</v>
      </c>
      <c r="Q618" t="s">
        <v>616</v>
      </c>
      <c r="R618" t="s">
        <v>25</v>
      </c>
      <c r="S618" t="s">
        <v>64</v>
      </c>
      <c r="T618">
        <v>5</v>
      </c>
      <c r="U618">
        <v>6.5</v>
      </c>
      <c r="V618">
        <v>264</v>
      </c>
      <c r="W618">
        <v>0</v>
      </c>
      <c r="X618">
        <v>16.600000000000001</v>
      </c>
      <c r="Y618">
        <v>10</v>
      </c>
      <c r="Z618">
        <v>0</v>
      </c>
      <c r="AA618">
        <v>6</v>
      </c>
      <c r="AB618">
        <v>1</v>
      </c>
      <c r="AC618">
        <v>650</v>
      </c>
      <c r="AD618" s="8">
        <v>41387</v>
      </c>
      <c r="AE618" s="8"/>
      <c r="AF618" s="8"/>
    </row>
    <row r="619" spans="1:32">
      <c r="A619" t="s">
        <v>942</v>
      </c>
      <c r="B619">
        <v>7.4</v>
      </c>
      <c r="C619" s="8" t="s">
        <v>943</v>
      </c>
      <c r="D619">
        <v>0</v>
      </c>
      <c r="E619">
        <v>6</v>
      </c>
      <c r="F619" t="s">
        <v>21</v>
      </c>
      <c r="G619">
        <v>1</v>
      </c>
      <c r="H619">
        <v>842</v>
      </c>
      <c r="I619" t="s">
        <v>22</v>
      </c>
      <c r="J619">
        <v>626</v>
      </c>
      <c r="K619">
        <v>0</v>
      </c>
      <c r="L619">
        <v>16</v>
      </c>
      <c r="M619" t="s">
        <v>23</v>
      </c>
      <c r="N619">
        <v>173.7</v>
      </c>
      <c r="O619">
        <v>-23.009</v>
      </c>
      <c r="P619">
        <v>-177.232</v>
      </c>
      <c r="Q619" t="s">
        <v>944</v>
      </c>
      <c r="R619" t="s">
        <v>25</v>
      </c>
      <c r="S619" t="s">
        <v>1022</v>
      </c>
      <c r="T619">
        <v>5</v>
      </c>
      <c r="U619">
        <v>7.4</v>
      </c>
      <c r="V619">
        <v>626</v>
      </c>
      <c r="W619">
        <v>0</v>
      </c>
      <c r="X619">
        <v>16</v>
      </c>
      <c r="Y619">
        <v>173.7</v>
      </c>
      <c r="Z619">
        <v>0</v>
      </c>
      <c r="AA619">
        <v>6</v>
      </c>
      <c r="AB619">
        <v>1</v>
      </c>
      <c r="AC619">
        <v>842</v>
      </c>
      <c r="AD619" s="8">
        <v>41417</v>
      </c>
      <c r="AE619" s="8"/>
      <c r="AF619" s="8"/>
    </row>
    <row r="620" spans="1:32">
      <c r="A620" t="s">
        <v>1242</v>
      </c>
      <c r="B620">
        <v>6.7</v>
      </c>
      <c r="C620" s="8" t="s">
        <v>1243</v>
      </c>
      <c r="D620">
        <v>5</v>
      </c>
      <c r="E620">
        <v>5</v>
      </c>
      <c r="G620">
        <v>0</v>
      </c>
      <c r="H620">
        <v>693</v>
      </c>
      <c r="I620" t="s">
        <v>22</v>
      </c>
      <c r="J620">
        <v>269</v>
      </c>
      <c r="K620">
        <v>0</v>
      </c>
      <c r="L620">
        <v>13.8</v>
      </c>
      <c r="M620" t="s">
        <v>829</v>
      </c>
      <c r="N620">
        <v>64</v>
      </c>
      <c r="O620">
        <v>-5.157</v>
      </c>
      <c r="P620">
        <v>153.78200000000001</v>
      </c>
      <c r="Q620" t="s">
        <v>466</v>
      </c>
      <c r="R620" t="s">
        <v>25</v>
      </c>
      <c r="S620" t="s">
        <v>64</v>
      </c>
      <c r="T620">
        <v>5</v>
      </c>
      <c r="U620">
        <v>6.7</v>
      </c>
      <c r="V620">
        <v>269</v>
      </c>
      <c r="W620">
        <v>0</v>
      </c>
      <c r="X620">
        <v>13.8</v>
      </c>
      <c r="Y620">
        <v>64</v>
      </c>
      <c r="Z620">
        <v>5</v>
      </c>
      <c r="AA620">
        <v>5</v>
      </c>
      <c r="AB620">
        <v>0</v>
      </c>
      <c r="AC620">
        <v>693</v>
      </c>
      <c r="AD620" s="8">
        <v>39987</v>
      </c>
      <c r="AE620" s="8"/>
      <c r="AF620" s="8"/>
    </row>
    <row r="621" spans="1:32">
      <c r="A621" t="s">
        <v>831</v>
      </c>
      <c r="B621">
        <v>6.9</v>
      </c>
      <c r="C621" s="8" t="s">
        <v>832</v>
      </c>
      <c r="D621">
        <v>0</v>
      </c>
      <c r="E621">
        <v>5</v>
      </c>
      <c r="F621" t="s">
        <v>21</v>
      </c>
      <c r="G621">
        <v>1</v>
      </c>
      <c r="H621">
        <v>732</v>
      </c>
      <c r="I621" t="s">
        <v>22</v>
      </c>
      <c r="J621">
        <v>0</v>
      </c>
      <c r="K621">
        <v>0.751</v>
      </c>
      <c r="L621">
        <v>35</v>
      </c>
      <c r="M621" t="s">
        <v>23</v>
      </c>
      <c r="N621">
        <v>20</v>
      </c>
      <c r="O621">
        <v>-29.9772</v>
      </c>
      <c r="P621">
        <v>-177.72499999999999</v>
      </c>
      <c r="Q621" t="s">
        <v>110</v>
      </c>
      <c r="R621" t="s">
        <v>25</v>
      </c>
      <c r="S621" t="s">
        <v>594</v>
      </c>
      <c r="T621">
        <v>5</v>
      </c>
      <c r="U621">
        <v>6.9</v>
      </c>
      <c r="V621">
        <v>0</v>
      </c>
      <c r="W621">
        <v>0.751</v>
      </c>
      <c r="X621">
        <v>35</v>
      </c>
      <c r="Y621">
        <v>20</v>
      </c>
      <c r="Z621">
        <v>0</v>
      </c>
      <c r="AA621">
        <v>5</v>
      </c>
      <c r="AB621">
        <v>1</v>
      </c>
      <c r="AC621">
        <v>732</v>
      </c>
      <c r="AD621" s="8">
        <v>41813</v>
      </c>
      <c r="AE621" s="8"/>
      <c r="AF621" s="8"/>
    </row>
    <row r="622" spans="1:32">
      <c r="A622" t="s">
        <v>187</v>
      </c>
      <c r="B622">
        <v>6.5</v>
      </c>
      <c r="C622" s="8" t="s">
        <v>830</v>
      </c>
      <c r="D622">
        <v>0</v>
      </c>
      <c r="E622">
        <v>5</v>
      </c>
      <c r="F622" t="s">
        <v>21</v>
      </c>
      <c r="G622">
        <v>0</v>
      </c>
      <c r="H622">
        <v>650</v>
      </c>
      <c r="I622" t="s">
        <v>22</v>
      </c>
      <c r="J622">
        <v>0</v>
      </c>
      <c r="K622">
        <v>0.77800000000000002</v>
      </c>
      <c r="L622">
        <v>30</v>
      </c>
      <c r="M622" t="s">
        <v>829</v>
      </c>
      <c r="N622">
        <v>10</v>
      </c>
      <c r="O622">
        <v>-29.937899999999999</v>
      </c>
      <c r="P622">
        <v>-177.51599999999999</v>
      </c>
      <c r="Q622" t="s">
        <v>110</v>
      </c>
      <c r="R622" t="s">
        <v>25</v>
      </c>
      <c r="S622" t="s">
        <v>594</v>
      </c>
      <c r="T622">
        <v>5</v>
      </c>
      <c r="U622">
        <v>6.5</v>
      </c>
      <c r="V622">
        <v>0</v>
      </c>
      <c r="W622">
        <v>0.77800000000000002</v>
      </c>
      <c r="X622">
        <v>30</v>
      </c>
      <c r="Y622">
        <v>10</v>
      </c>
      <c r="Z622">
        <v>0</v>
      </c>
      <c r="AA622">
        <v>5</v>
      </c>
      <c r="AB622">
        <v>0</v>
      </c>
      <c r="AC622">
        <v>650</v>
      </c>
      <c r="AD622" s="8">
        <v>41813</v>
      </c>
      <c r="AE622" s="8"/>
      <c r="AF622" s="8"/>
    </row>
    <row r="623" spans="1:32">
      <c r="A623" t="s">
        <v>827</v>
      </c>
      <c r="B623">
        <v>6.7</v>
      </c>
      <c r="C623" s="8" t="s">
        <v>828</v>
      </c>
      <c r="D623">
        <v>0</v>
      </c>
      <c r="E623">
        <v>5</v>
      </c>
      <c r="F623" t="s">
        <v>21</v>
      </c>
      <c r="G623">
        <v>0</v>
      </c>
      <c r="H623">
        <v>691</v>
      </c>
      <c r="I623" t="s">
        <v>22</v>
      </c>
      <c r="J623">
        <v>0</v>
      </c>
      <c r="K623">
        <v>0.748</v>
      </c>
      <c r="L623">
        <v>43</v>
      </c>
      <c r="M623" t="s">
        <v>829</v>
      </c>
      <c r="N623">
        <v>26.59</v>
      </c>
      <c r="O623">
        <v>-29.941400000000002</v>
      </c>
      <c r="P623">
        <v>-177.607</v>
      </c>
      <c r="Q623" t="s">
        <v>110</v>
      </c>
      <c r="R623" t="s">
        <v>25</v>
      </c>
      <c r="S623" t="s">
        <v>594</v>
      </c>
      <c r="T623">
        <v>5</v>
      </c>
      <c r="U623">
        <v>6.7</v>
      </c>
      <c r="V623">
        <v>0</v>
      </c>
      <c r="W623">
        <v>0.748</v>
      </c>
      <c r="X623">
        <v>43</v>
      </c>
      <c r="Y623">
        <v>26.59</v>
      </c>
      <c r="Z623">
        <v>0</v>
      </c>
      <c r="AA623">
        <v>5</v>
      </c>
      <c r="AB623">
        <v>0</v>
      </c>
      <c r="AC623">
        <v>691</v>
      </c>
      <c r="AD623" s="8">
        <v>41813</v>
      </c>
      <c r="AE623" s="8"/>
      <c r="AF623" s="8"/>
    </row>
    <row r="624" spans="1:32">
      <c r="A624" t="s">
        <v>879</v>
      </c>
      <c r="B624">
        <v>6.5</v>
      </c>
      <c r="C624" s="8" t="s">
        <v>880</v>
      </c>
      <c r="D624">
        <v>3</v>
      </c>
      <c r="E624">
        <v>4</v>
      </c>
      <c r="F624" t="s">
        <v>21</v>
      </c>
      <c r="G624">
        <v>0</v>
      </c>
      <c r="H624">
        <v>651</v>
      </c>
      <c r="I624" t="s">
        <v>22</v>
      </c>
      <c r="J624">
        <v>0</v>
      </c>
      <c r="K624">
        <v>5.194</v>
      </c>
      <c r="L624">
        <v>22</v>
      </c>
      <c r="M624" t="s">
        <v>23</v>
      </c>
      <c r="N624">
        <v>371</v>
      </c>
      <c r="O624">
        <v>-17.117100000000001</v>
      </c>
      <c r="P624">
        <v>-176.54499999999999</v>
      </c>
      <c r="Q624" t="s">
        <v>612</v>
      </c>
      <c r="R624" t="s">
        <v>25</v>
      </c>
      <c r="S624" t="s">
        <v>31</v>
      </c>
      <c r="T624">
        <v>5</v>
      </c>
      <c r="U624">
        <v>6.5</v>
      </c>
      <c r="V624">
        <v>0</v>
      </c>
      <c r="W624">
        <v>5.194</v>
      </c>
      <c r="X624">
        <v>22</v>
      </c>
      <c r="Y624">
        <v>371</v>
      </c>
      <c r="Z624">
        <v>3</v>
      </c>
      <c r="AA624">
        <v>4</v>
      </c>
      <c r="AB624">
        <v>0</v>
      </c>
      <c r="AC624">
        <v>651</v>
      </c>
      <c r="AD624" s="8">
        <v>41601</v>
      </c>
      <c r="AE624" s="8"/>
      <c r="AF624" s="8"/>
    </row>
    <row r="625" spans="1:32">
      <c r="A625" t="s">
        <v>1673</v>
      </c>
      <c r="B625">
        <v>6.8</v>
      </c>
      <c r="C625" s="8" t="s">
        <v>1674</v>
      </c>
      <c r="D625">
        <v>0</v>
      </c>
      <c r="E625">
        <v>7</v>
      </c>
      <c r="G625">
        <v>0</v>
      </c>
      <c r="H625">
        <v>711</v>
      </c>
      <c r="I625" t="s">
        <v>22</v>
      </c>
      <c r="J625">
        <v>385</v>
      </c>
      <c r="K625">
        <v>0</v>
      </c>
      <c r="L625">
        <v>0</v>
      </c>
      <c r="M625" t="s">
        <v>829</v>
      </c>
      <c r="N625">
        <v>16</v>
      </c>
      <c r="O625">
        <v>-9.6129999999999995</v>
      </c>
      <c r="P625">
        <v>159.53</v>
      </c>
      <c r="Q625" t="s">
        <v>24</v>
      </c>
      <c r="R625" t="s">
        <v>25</v>
      </c>
      <c r="S625" t="s">
        <v>26</v>
      </c>
      <c r="T625">
        <v>5</v>
      </c>
      <c r="U625">
        <v>6.8</v>
      </c>
      <c r="V625">
        <v>385</v>
      </c>
      <c r="W625">
        <v>0</v>
      </c>
      <c r="X625">
        <v>0</v>
      </c>
      <c r="Y625">
        <v>16</v>
      </c>
      <c r="Z625">
        <v>0</v>
      </c>
      <c r="AA625">
        <v>7</v>
      </c>
      <c r="AB625">
        <v>0</v>
      </c>
      <c r="AC625">
        <v>711</v>
      </c>
      <c r="AD625" s="8">
        <v>37248</v>
      </c>
      <c r="AE625" s="8"/>
      <c r="AF625" s="8"/>
    </row>
    <row r="626" spans="1:32">
      <c r="A626" t="s">
        <v>1507</v>
      </c>
      <c r="B626">
        <v>8.1</v>
      </c>
      <c r="C626" s="8" t="s">
        <v>1508</v>
      </c>
      <c r="D626">
        <v>0</v>
      </c>
      <c r="E626">
        <v>5</v>
      </c>
      <c r="G626">
        <v>0</v>
      </c>
      <c r="H626">
        <v>1009</v>
      </c>
      <c r="I626" t="s">
        <v>22</v>
      </c>
      <c r="J626">
        <v>331</v>
      </c>
      <c r="K626">
        <v>0</v>
      </c>
      <c r="L626">
        <v>59.3</v>
      </c>
      <c r="M626" t="s">
        <v>829</v>
      </c>
      <c r="N626">
        <v>10</v>
      </c>
      <c r="O626">
        <v>-49.311999999999998</v>
      </c>
      <c r="P626">
        <v>161.345</v>
      </c>
      <c r="Q626" t="s">
        <v>1509</v>
      </c>
      <c r="R626" t="s">
        <v>25</v>
      </c>
      <c r="S626" t="s">
        <v>1750</v>
      </c>
      <c r="T626">
        <v>5</v>
      </c>
      <c r="U626">
        <v>8.1</v>
      </c>
      <c r="V626">
        <v>331</v>
      </c>
      <c r="W626">
        <v>0</v>
      </c>
      <c r="X626">
        <v>59.3</v>
      </c>
      <c r="Y626">
        <v>10</v>
      </c>
      <c r="Z626">
        <v>0</v>
      </c>
      <c r="AA626">
        <v>5</v>
      </c>
      <c r="AB626">
        <v>0</v>
      </c>
      <c r="AC626">
        <v>1009</v>
      </c>
      <c r="AD626" s="8">
        <v>38344</v>
      </c>
      <c r="AE626" s="8"/>
      <c r="AF626" s="8"/>
    </row>
    <row r="627" spans="1:32">
      <c r="A627" t="s">
        <v>553</v>
      </c>
      <c r="B627">
        <v>6.9</v>
      </c>
      <c r="C627" s="8" t="s">
        <v>554</v>
      </c>
      <c r="D627">
        <v>2</v>
      </c>
      <c r="E627">
        <v>3</v>
      </c>
      <c r="F627" t="s">
        <v>21</v>
      </c>
      <c r="G627">
        <v>1</v>
      </c>
      <c r="H627">
        <v>733</v>
      </c>
      <c r="I627" t="s">
        <v>22</v>
      </c>
      <c r="J627">
        <v>0</v>
      </c>
      <c r="K627">
        <v>6.0119999999999996</v>
      </c>
      <c r="L627">
        <v>19</v>
      </c>
      <c r="M627" t="s">
        <v>23</v>
      </c>
      <c r="N627">
        <v>414.5</v>
      </c>
      <c r="O627">
        <v>-23.2593</v>
      </c>
      <c r="P627">
        <v>-178.804</v>
      </c>
      <c r="Q627" t="s">
        <v>37</v>
      </c>
      <c r="R627" t="s">
        <v>25</v>
      </c>
      <c r="S627" t="s">
        <v>31</v>
      </c>
      <c r="T627">
        <v>5</v>
      </c>
      <c r="U627">
        <v>6.9</v>
      </c>
      <c r="V627">
        <v>0</v>
      </c>
      <c r="W627">
        <v>6.0119999999999996</v>
      </c>
      <c r="X627">
        <v>19</v>
      </c>
      <c r="Y627">
        <v>414.5</v>
      </c>
      <c r="Z627">
        <v>2</v>
      </c>
      <c r="AA627">
        <v>3</v>
      </c>
      <c r="AB627">
        <v>1</v>
      </c>
      <c r="AC627">
        <v>733</v>
      </c>
      <c r="AD627" s="8">
        <v>42790</v>
      </c>
      <c r="AE627" s="8"/>
      <c r="AF627" s="8"/>
    </row>
    <row r="628" spans="1:32">
      <c r="A628" t="s">
        <v>204</v>
      </c>
      <c r="B628">
        <v>6.5</v>
      </c>
      <c r="C628" s="8" t="s">
        <v>205</v>
      </c>
      <c r="D628">
        <v>6</v>
      </c>
      <c r="E628">
        <v>4</v>
      </c>
      <c r="F628" t="s">
        <v>21</v>
      </c>
      <c r="G628">
        <v>0</v>
      </c>
      <c r="H628">
        <v>652</v>
      </c>
      <c r="I628" t="s">
        <v>22</v>
      </c>
      <c r="J628">
        <v>0</v>
      </c>
      <c r="K628">
        <v>10.404999999999999</v>
      </c>
      <c r="L628">
        <v>19</v>
      </c>
      <c r="M628" t="s">
        <v>23</v>
      </c>
      <c r="N628">
        <v>301</v>
      </c>
      <c r="O628">
        <v>-18.920400000000001</v>
      </c>
      <c r="P628">
        <v>-176.23500000000001</v>
      </c>
      <c r="Q628" t="s">
        <v>206</v>
      </c>
      <c r="R628" t="s">
        <v>25</v>
      </c>
      <c r="S628" t="s">
        <v>1022</v>
      </c>
      <c r="T628">
        <v>5</v>
      </c>
      <c r="U628">
        <v>6.5</v>
      </c>
      <c r="V628">
        <v>0</v>
      </c>
      <c r="W628">
        <v>10.404999999999999</v>
      </c>
      <c r="X628">
        <v>19</v>
      </c>
      <c r="Y628">
        <v>301</v>
      </c>
      <c r="Z628">
        <v>6</v>
      </c>
      <c r="AA628">
        <v>4</v>
      </c>
      <c r="AB628">
        <v>0</v>
      </c>
      <c r="AC628">
        <v>652</v>
      </c>
      <c r="AD628" s="8">
        <v>44310</v>
      </c>
      <c r="AE628" s="8"/>
      <c r="AF628" s="8"/>
    </row>
    <row r="629" spans="1:32">
      <c r="A629" t="s">
        <v>610</v>
      </c>
      <c r="B629">
        <v>6.9</v>
      </c>
      <c r="C629" s="8" t="s">
        <v>611</v>
      </c>
      <c r="D629">
        <v>2</v>
      </c>
      <c r="E629">
        <v>3</v>
      </c>
      <c r="F629" t="s">
        <v>21</v>
      </c>
      <c r="G629">
        <v>1</v>
      </c>
      <c r="H629">
        <v>733</v>
      </c>
      <c r="I629" t="s">
        <v>22</v>
      </c>
      <c r="J629">
        <v>0</v>
      </c>
      <c r="K629">
        <v>4.0510000000000002</v>
      </c>
      <c r="L629">
        <v>9</v>
      </c>
      <c r="M629" t="s">
        <v>23</v>
      </c>
      <c r="N629">
        <v>596.4</v>
      </c>
      <c r="O629">
        <v>-19.7819</v>
      </c>
      <c r="P629">
        <v>-178.244</v>
      </c>
      <c r="Q629" t="s">
        <v>612</v>
      </c>
      <c r="R629" t="s">
        <v>25</v>
      </c>
      <c r="S629" t="s">
        <v>31</v>
      </c>
      <c r="T629">
        <v>5</v>
      </c>
      <c r="U629">
        <v>6.9</v>
      </c>
      <c r="V629">
        <v>0</v>
      </c>
      <c r="W629">
        <v>4.0510000000000002</v>
      </c>
      <c r="X629">
        <v>9</v>
      </c>
      <c r="Y629">
        <v>596.4</v>
      </c>
      <c r="Z629">
        <v>2</v>
      </c>
      <c r="AA629">
        <v>3</v>
      </c>
      <c r="AB629">
        <v>1</v>
      </c>
      <c r="AC629">
        <v>733</v>
      </c>
      <c r="AD629" s="8">
        <v>42637</v>
      </c>
      <c r="AE629" s="8"/>
      <c r="AF629" s="8"/>
    </row>
    <row r="630" spans="1:32">
      <c r="A630" t="s">
        <v>469</v>
      </c>
      <c r="B630">
        <v>7.5</v>
      </c>
      <c r="C630" s="8" t="s">
        <v>470</v>
      </c>
      <c r="D630">
        <v>9</v>
      </c>
      <c r="E630">
        <v>8</v>
      </c>
      <c r="F630" t="s">
        <v>45</v>
      </c>
      <c r="G630">
        <v>1</v>
      </c>
      <c r="H630">
        <v>943</v>
      </c>
      <c r="I630" t="s">
        <v>22</v>
      </c>
      <c r="J630">
        <v>0</v>
      </c>
      <c r="K630">
        <v>5.48</v>
      </c>
      <c r="L630">
        <v>17</v>
      </c>
      <c r="M630" t="s">
        <v>23</v>
      </c>
      <c r="N630">
        <v>25.21</v>
      </c>
      <c r="O630">
        <v>-6.0698999999999996</v>
      </c>
      <c r="P630">
        <v>142.75399999999999</v>
      </c>
      <c r="Q630" t="s">
        <v>468</v>
      </c>
      <c r="R630" t="s">
        <v>25</v>
      </c>
      <c r="S630" t="s">
        <v>64</v>
      </c>
      <c r="T630">
        <v>5</v>
      </c>
      <c r="U630">
        <v>7.5</v>
      </c>
      <c r="V630">
        <v>0</v>
      </c>
      <c r="W630">
        <v>5.48</v>
      </c>
      <c r="X630">
        <v>17</v>
      </c>
      <c r="Y630">
        <v>25.21</v>
      </c>
      <c r="Z630">
        <v>9</v>
      </c>
      <c r="AA630">
        <v>8</v>
      </c>
      <c r="AB630">
        <v>1</v>
      </c>
      <c r="AC630">
        <v>943</v>
      </c>
      <c r="AD630" s="8">
        <v>43156</v>
      </c>
      <c r="AE630" s="8"/>
      <c r="AF630" s="8"/>
    </row>
    <row r="631" spans="1:32">
      <c r="A631" t="s">
        <v>1379</v>
      </c>
      <c r="B631">
        <v>7.1</v>
      </c>
      <c r="C631" s="8" t="s">
        <v>1380</v>
      </c>
      <c r="D631">
        <v>3</v>
      </c>
      <c r="E631">
        <v>6</v>
      </c>
      <c r="G631">
        <v>0</v>
      </c>
      <c r="H631">
        <v>779</v>
      </c>
      <c r="I631" t="s">
        <v>22</v>
      </c>
      <c r="J631">
        <v>426</v>
      </c>
      <c r="K631">
        <v>0</v>
      </c>
      <c r="L631">
        <v>25.3</v>
      </c>
      <c r="M631" t="s">
        <v>36</v>
      </c>
      <c r="N631">
        <v>34</v>
      </c>
      <c r="O631">
        <v>-20.617000000000001</v>
      </c>
      <c r="P631">
        <v>169.357</v>
      </c>
      <c r="Q631" t="s">
        <v>61</v>
      </c>
      <c r="R631" t="s">
        <v>25</v>
      </c>
      <c r="S631" t="s">
        <v>163</v>
      </c>
      <c r="T631">
        <v>5</v>
      </c>
      <c r="U631">
        <v>7.1</v>
      </c>
      <c r="V631">
        <v>426</v>
      </c>
      <c r="W631">
        <v>0</v>
      </c>
      <c r="X631">
        <v>25.3</v>
      </c>
      <c r="Y631">
        <v>34</v>
      </c>
      <c r="Z631">
        <v>3</v>
      </c>
      <c r="AA631">
        <v>6</v>
      </c>
      <c r="AB631">
        <v>0</v>
      </c>
      <c r="AC631">
        <v>779</v>
      </c>
      <c r="AD631" s="8">
        <v>39166</v>
      </c>
      <c r="AE631" s="8"/>
      <c r="AF631" s="8"/>
    </row>
    <row r="632" spans="1:32">
      <c r="A632" t="s">
        <v>201</v>
      </c>
      <c r="B632">
        <v>6.5</v>
      </c>
      <c r="C632" s="8" t="s">
        <v>202</v>
      </c>
      <c r="D632">
        <v>4</v>
      </c>
      <c r="E632">
        <v>4</v>
      </c>
      <c r="F632" t="s">
        <v>21</v>
      </c>
      <c r="G632">
        <v>0</v>
      </c>
      <c r="H632">
        <v>651</v>
      </c>
      <c r="I632" t="s">
        <v>22</v>
      </c>
      <c r="J632">
        <v>0</v>
      </c>
      <c r="K632">
        <v>5.931</v>
      </c>
      <c r="L632">
        <v>20</v>
      </c>
      <c r="M632" t="s">
        <v>23</v>
      </c>
      <c r="N632">
        <v>246</v>
      </c>
      <c r="O632">
        <v>-21.685700000000001</v>
      </c>
      <c r="P632">
        <v>-177.06399999999999</v>
      </c>
      <c r="Q632" t="s">
        <v>203</v>
      </c>
      <c r="R632" t="s">
        <v>25</v>
      </c>
      <c r="S632" t="s">
        <v>1022</v>
      </c>
      <c r="T632">
        <v>5</v>
      </c>
      <c r="U632">
        <v>6.5</v>
      </c>
      <c r="V632">
        <v>0</v>
      </c>
      <c r="W632">
        <v>5.931</v>
      </c>
      <c r="X632">
        <v>20</v>
      </c>
      <c r="Y632">
        <v>246</v>
      </c>
      <c r="Z632">
        <v>4</v>
      </c>
      <c r="AA632">
        <v>4</v>
      </c>
      <c r="AB632">
        <v>0</v>
      </c>
      <c r="AC632">
        <v>651</v>
      </c>
      <c r="AD632" s="8">
        <v>44311</v>
      </c>
      <c r="AE632" s="8"/>
      <c r="AF632" s="8"/>
    </row>
    <row r="633" spans="1:32">
      <c r="A633" t="s">
        <v>1573</v>
      </c>
      <c r="B633">
        <v>6.6</v>
      </c>
      <c r="C633" s="8" t="s">
        <v>1574</v>
      </c>
      <c r="D633">
        <v>0</v>
      </c>
      <c r="E633">
        <v>6</v>
      </c>
      <c r="G633">
        <v>0</v>
      </c>
      <c r="H633">
        <v>670</v>
      </c>
      <c r="I633" t="s">
        <v>22</v>
      </c>
      <c r="J633">
        <v>384</v>
      </c>
      <c r="K633">
        <v>0</v>
      </c>
      <c r="L633">
        <v>25.1</v>
      </c>
      <c r="M633" t="s">
        <v>36</v>
      </c>
      <c r="N633">
        <v>35</v>
      </c>
      <c r="O633">
        <v>-5.5810000000000004</v>
      </c>
      <c r="P633">
        <v>150.88</v>
      </c>
      <c r="Q633" t="s">
        <v>418</v>
      </c>
      <c r="R633" t="s">
        <v>25</v>
      </c>
      <c r="S633" t="s">
        <v>64</v>
      </c>
      <c r="T633">
        <v>5</v>
      </c>
      <c r="U633">
        <v>6.6</v>
      </c>
      <c r="V633">
        <v>384</v>
      </c>
      <c r="W633">
        <v>0</v>
      </c>
      <c r="X633">
        <v>25.1</v>
      </c>
      <c r="Y633">
        <v>35</v>
      </c>
      <c r="Z633">
        <v>0</v>
      </c>
      <c r="AA633">
        <v>6</v>
      </c>
      <c r="AB633">
        <v>0</v>
      </c>
      <c r="AC633">
        <v>670</v>
      </c>
      <c r="AD633" s="8">
        <v>37950</v>
      </c>
      <c r="AE633" s="8"/>
      <c r="AF633" s="8"/>
    </row>
    <row r="634" spans="1:32">
      <c r="A634" t="s">
        <v>1127</v>
      </c>
      <c r="B634">
        <v>7.3</v>
      </c>
      <c r="C634" s="8" t="s">
        <v>1128</v>
      </c>
      <c r="D634">
        <v>0</v>
      </c>
      <c r="E634">
        <v>5</v>
      </c>
      <c r="G634">
        <v>0</v>
      </c>
      <c r="H634">
        <v>820</v>
      </c>
      <c r="I634" t="s">
        <v>22</v>
      </c>
      <c r="J634">
        <v>409</v>
      </c>
      <c r="K634">
        <v>0</v>
      </c>
      <c r="L634">
        <v>12</v>
      </c>
      <c r="M634" t="s">
        <v>829</v>
      </c>
      <c r="N634">
        <v>16</v>
      </c>
      <c r="O634">
        <v>-19.702000000000002</v>
      </c>
      <c r="P634">
        <v>167.947</v>
      </c>
      <c r="Q634" t="s">
        <v>61</v>
      </c>
      <c r="R634" t="s">
        <v>25</v>
      </c>
      <c r="S634" t="s">
        <v>163</v>
      </c>
      <c r="T634">
        <v>5</v>
      </c>
      <c r="U634">
        <v>7.3</v>
      </c>
      <c r="V634">
        <v>409</v>
      </c>
      <c r="W634">
        <v>0</v>
      </c>
      <c r="X634">
        <v>12</v>
      </c>
      <c r="Y634">
        <v>16</v>
      </c>
      <c r="Z634">
        <v>0</v>
      </c>
      <c r="AA634">
        <v>5</v>
      </c>
      <c r="AB634">
        <v>0</v>
      </c>
      <c r="AC634">
        <v>820</v>
      </c>
      <c r="AD634" s="8">
        <v>40537</v>
      </c>
      <c r="AE634" s="8"/>
      <c r="AF634" s="8"/>
    </row>
    <row r="635" spans="1:32">
      <c r="A635" t="s">
        <v>463</v>
      </c>
      <c r="B635">
        <v>6.7</v>
      </c>
      <c r="C635" s="8" t="s">
        <v>464</v>
      </c>
      <c r="D635">
        <v>5</v>
      </c>
      <c r="E635">
        <v>6</v>
      </c>
      <c r="F635" t="s">
        <v>21</v>
      </c>
      <c r="G635">
        <v>1</v>
      </c>
      <c r="H635">
        <v>696</v>
      </c>
      <c r="I635" t="s">
        <v>22</v>
      </c>
      <c r="J635">
        <v>0</v>
      </c>
      <c r="K635">
        <v>1.5069999999999999</v>
      </c>
      <c r="L635">
        <v>15</v>
      </c>
      <c r="M635" t="s">
        <v>23</v>
      </c>
      <c r="N635">
        <v>40</v>
      </c>
      <c r="O635">
        <v>-5.5023999999999997</v>
      </c>
      <c r="P635">
        <v>151.40199999999999</v>
      </c>
      <c r="Q635" t="s">
        <v>418</v>
      </c>
      <c r="R635" t="s">
        <v>25</v>
      </c>
      <c r="S635" t="s">
        <v>64</v>
      </c>
      <c r="T635">
        <v>5</v>
      </c>
      <c r="U635">
        <v>6.7</v>
      </c>
      <c r="V635">
        <v>0</v>
      </c>
      <c r="W635">
        <v>1.5069999999999999</v>
      </c>
      <c r="X635">
        <v>15</v>
      </c>
      <c r="Y635">
        <v>40</v>
      </c>
      <c r="Z635">
        <v>5</v>
      </c>
      <c r="AA635">
        <v>6</v>
      </c>
      <c r="AB635">
        <v>1</v>
      </c>
      <c r="AC635">
        <v>696</v>
      </c>
      <c r="AD635" s="8">
        <v>43185</v>
      </c>
      <c r="AE635" s="8"/>
      <c r="AF635" s="8"/>
    </row>
    <row r="636" spans="1:32">
      <c r="A636" t="s">
        <v>1159</v>
      </c>
      <c r="B636">
        <v>6.7</v>
      </c>
      <c r="C636" s="8" t="s">
        <v>1160</v>
      </c>
      <c r="D636">
        <v>5</v>
      </c>
      <c r="E636">
        <v>6</v>
      </c>
      <c r="G636">
        <v>0</v>
      </c>
      <c r="H636">
        <v>696</v>
      </c>
      <c r="I636" t="s">
        <v>22</v>
      </c>
      <c r="J636">
        <v>392</v>
      </c>
      <c r="K636">
        <v>0</v>
      </c>
      <c r="L636">
        <v>18.7</v>
      </c>
      <c r="M636" t="s">
        <v>829</v>
      </c>
      <c r="N636">
        <v>35</v>
      </c>
      <c r="O636">
        <v>-10.627000000000001</v>
      </c>
      <c r="P636">
        <v>161.447</v>
      </c>
      <c r="Q636" t="s">
        <v>428</v>
      </c>
      <c r="R636" t="s">
        <v>25</v>
      </c>
      <c r="S636" t="s">
        <v>26</v>
      </c>
      <c r="T636">
        <v>5</v>
      </c>
      <c r="U636">
        <v>6.7</v>
      </c>
      <c r="V636">
        <v>392</v>
      </c>
      <c r="W636">
        <v>0</v>
      </c>
      <c r="X636">
        <v>18.7</v>
      </c>
      <c r="Y636">
        <v>35</v>
      </c>
      <c r="Z636">
        <v>5</v>
      </c>
      <c r="AA636">
        <v>6</v>
      </c>
      <c r="AB636">
        <v>0</v>
      </c>
      <c r="AC636">
        <v>696</v>
      </c>
      <c r="AD636" s="8">
        <v>40355</v>
      </c>
      <c r="AE636" s="8"/>
      <c r="AF636" s="8"/>
    </row>
    <row r="637" spans="1:32">
      <c r="A637" t="s">
        <v>1338</v>
      </c>
      <c r="B637">
        <v>6.8</v>
      </c>
      <c r="C637" s="8" t="s">
        <v>1339</v>
      </c>
      <c r="D637">
        <v>4</v>
      </c>
      <c r="E637">
        <v>5</v>
      </c>
      <c r="G637">
        <v>0</v>
      </c>
      <c r="H637">
        <v>713</v>
      </c>
      <c r="I637" t="s">
        <v>22</v>
      </c>
      <c r="J637">
        <v>348</v>
      </c>
      <c r="K637">
        <v>0</v>
      </c>
      <c r="L637">
        <v>15.5</v>
      </c>
      <c r="M637" t="s">
        <v>829</v>
      </c>
      <c r="N637">
        <v>40</v>
      </c>
      <c r="O637">
        <v>-4.99</v>
      </c>
      <c r="P637">
        <v>153.5</v>
      </c>
      <c r="Q637" t="s">
        <v>466</v>
      </c>
      <c r="R637" t="s">
        <v>25</v>
      </c>
      <c r="S637" t="s">
        <v>64</v>
      </c>
      <c r="T637">
        <v>5</v>
      </c>
      <c r="U637">
        <v>6.8</v>
      </c>
      <c r="V637">
        <v>348</v>
      </c>
      <c r="W637">
        <v>0</v>
      </c>
      <c r="X637">
        <v>15.5</v>
      </c>
      <c r="Y637">
        <v>40</v>
      </c>
      <c r="Z637">
        <v>4</v>
      </c>
      <c r="AA637">
        <v>5</v>
      </c>
      <c r="AB637">
        <v>0</v>
      </c>
      <c r="AC637">
        <v>713</v>
      </c>
      <c r="AD637" s="8">
        <v>39351</v>
      </c>
      <c r="AE637" s="8"/>
      <c r="AF637" s="8"/>
    </row>
    <row r="638" spans="1:32">
      <c r="A638" t="s">
        <v>1167</v>
      </c>
      <c r="B638">
        <v>7.2</v>
      </c>
      <c r="C638" s="8" t="s">
        <v>1168</v>
      </c>
      <c r="D638">
        <v>5</v>
      </c>
      <c r="E638">
        <v>6</v>
      </c>
      <c r="G638">
        <v>0</v>
      </c>
      <c r="H638">
        <v>804</v>
      </c>
      <c r="I638" t="s">
        <v>22</v>
      </c>
      <c r="J638">
        <v>327</v>
      </c>
      <c r="K638">
        <v>0</v>
      </c>
      <c r="L638">
        <v>11.7</v>
      </c>
      <c r="M638" t="s">
        <v>829</v>
      </c>
      <c r="N638">
        <v>31</v>
      </c>
      <c r="O638">
        <v>-13.698</v>
      </c>
      <c r="P638">
        <v>166.643</v>
      </c>
      <c r="Q638" t="s">
        <v>382</v>
      </c>
      <c r="R638" t="s">
        <v>25</v>
      </c>
      <c r="S638" t="s">
        <v>163</v>
      </c>
      <c r="T638">
        <v>5</v>
      </c>
      <c r="U638">
        <v>7.2</v>
      </c>
      <c r="V638">
        <v>327</v>
      </c>
      <c r="W638">
        <v>0</v>
      </c>
      <c r="X638">
        <v>11.7</v>
      </c>
      <c r="Y638">
        <v>31</v>
      </c>
      <c r="Z638">
        <v>5</v>
      </c>
      <c r="AA638">
        <v>6</v>
      </c>
      <c r="AB638">
        <v>0</v>
      </c>
      <c r="AC638">
        <v>804</v>
      </c>
      <c r="AD638" s="8">
        <v>40325</v>
      </c>
      <c r="AE638" s="8"/>
      <c r="AF638" s="8"/>
    </row>
    <row r="639" spans="1:32">
      <c r="A639" t="s">
        <v>1317</v>
      </c>
      <c r="B639">
        <v>6.6</v>
      </c>
      <c r="C639" s="8" t="s">
        <v>1318</v>
      </c>
      <c r="D639">
        <v>3</v>
      </c>
      <c r="E639">
        <v>6</v>
      </c>
      <c r="G639">
        <v>0</v>
      </c>
      <c r="H639">
        <v>672</v>
      </c>
      <c r="I639" t="s">
        <v>22</v>
      </c>
      <c r="J639">
        <v>280</v>
      </c>
      <c r="K639">
        <v>0</v>
      </c>
      <c r="L639">
        <v>26.9</v>
      </c>
      <c r="M639" t="s">
        <v>829</v>
      </c>
      <c r="N639">
        <v>16</v>
      </c>
      <c r="O639">
        <v>-10.95</v>
      </c>
      <c r="P639">
        <v>162.149</v>
      </c>
      <c r="Q639" t="s">
        <v>428</v>
      </c>
      <c r="R639" t="s">
        <v>25</v>
      </c>
      <c r="S639" t="s">
        <v>26</v>
      </c>
      <c r="T639">
        <v>5</v>
      </c>
      <c r="U639">
        <v>6.6</v>
      </c>
      <c r="V639">
        <v>280</v>
      </c>
      <c r="W639">
        <v>0</v>
      </c>
      <c r="X639">
        <v>26.9</v>
      </c>
      <c r="Y639">
        <v>16</v>
      </c>
      <c r="Z639">
        <v>3</v>
      </c>
      <c r="AA639">
        <v>6</v>
      </c>
      <c r="AB639">
        <v>0</v>
      </c>
      <c r="AC639">
        <v>672</v>
      </c>
      <c r="AD639" s="8">
        <v>39413</v>
      </c>
      <c r="AE639" s="8"/>
      <c r="AF639" s="8"/>
    </row>
    <row r="640" spans="1:32">
      <c r="A640" t="s">
        <v>1562</v>
      </c>
      <c r="B640">
        <v>7.3</v>
      </c>
      <c r="C640" s="8" t="s">
        <v>1563</v>
      </c>
      <c r="D640">
        <v>0</v>
      </c>
      <c r="E640">
        <v>4</v>
      </c>
      <c r="G640">
        <v>0</v>
      </c>
      <c r="H640">
        <v>820</v>
      </c>
      <c r="I640" t="s">
        <v>22</v>
      </c>
      <c r="J640">
        <v>235</v>
      </c>
      <c r="K640">
        <v>0</v>
      </c>
      <c r="L640">
        <v>46.6</v>
      </c>
      <c r="M640" t="s">
        <v>829</v>
      </c>
      <c r="N640">
        <v>10</v>
      </c>
      <c r="O640">
        <v>-22.015000000000001</v>
      </c>
      <c r="P640">
        <v>169.76599999999999</v>
      </c>
      <c r="Q640" t="s">
        <v>97</v>
      </c>
      <c r="R640" t="s">
        <v>25</v>
      </c>
      <c r="S640" t="s">
        <v>1744</v>
      </c>
      <c r="T640">
        <v>5</v>
      </c>
      <c r="U640">
        <v>7.3</v>
      </c>
      <c r="V640">
        <v>235</v>
      </c>
      <c r="W640">
        <v>0</v>
      </c>
      <c r="X640">
        <v>46.6</v>
      </c>
      <c r="Y640">
        <v>10</v>
      </c>
      <c r="Z640">
        <v>0</v>
      </c>
      <c r="AA640">
        <v>4</v>
      </c>
      <c r="AB640">
        <v>0</v>
      </c>
      <c r="AC640">
        <v>820</v>
      </c>
      <c r="AD640" s="8">
        <v>37982</v>
      </c>
      <c r="AE640" s="8"/>
      <c r="AF640" s="8"/>
    </row>
    <row r="641" spans="1:32">
      <c r="A641" t="s">
        <v>1020</v>
      </c>
      <c r="B641">
        <v>6.6</v>
      </c>
      <c r="C641" s="8" t="s">
        <v>1021</v>
      </c>
      <c r="D641">
        <v>4</v>
      </c>
      <c r="E641">
        <v>5</v>
      </c>
      <c r="G641">
        <v>0</v>
      </c>
      <c r="H641">
        <v>675</v>
      </c>
      <c r="I641" t="s">
        <v>22</v>
      </c>
      <c r="J641">
        <v>529</v>
      </c>
      <c r="K641">
        <v>0</v>
      </c>
      <c r="L641">
        <v>15.7</v>
      </c>
      <c r="M641" t="s">
        <v>23</v>
      </c>
      <c r="N641">
        <v>134.69999999999999</v>
      </c>
      <c r="O641">
        <v>-18.684999999999999</v>
      </c>
      <c r="P641">
        <v>-174.70500000000001</v>
      </c>
      <c r="Q641" t="s">
        <v>33</v>
      </c>
      <c r="R641" t="s">
        <v>25</v>
      </c>
      <c r="S641" t="s">
        <v>1022</v>
      </c>
      <c r="T641">
        <v>5</v>
      </c>
      <c r="U641">
        <v>6.6</v>
      </c>
      <c r="V641">
        <v>529</v>
      </c>
      <c r="W641">
        <v>0</v>
      </c>
      <c r="X641">
        <v>15.7</v>
      </c>
      <c r="Y641">
        <v>134.69999999999999</v>
      </c>
      <c r="Z641">
        <v>4</v>
      </c>
      <c r="AA641">
        <v>5</v>
      </c>
      <c r="AB641">
        <v>0</v>
      </c>
      <c r="AC641">
        <v>675</v>
      </c>
      <c r="AD641" s="8">
        <v>41027</v>
      </c>
      <c r="AE641" s="8"/>
      <c r="AF641" s="8"/>
    </row>
    <row r="642" spans="1:32">
      <c r="A642" t="s">
        <v>636</v>
      </c>
      <c r="B642">
        <v>7</v>
      </c>
      <c r="C642" s="8" t="s">
        <v>637</v>
      </c>
      <c r="D642">
        <v>7</v>
      </c>
      <c r="E642">
        <v>7</v>
      </c>
      <c r="F642" t="s">
        <v>21</v>
      </c>
      <c r="G642">
        <v>1</v>
      </c>
      <c r="H642">
        <v>755</v>
      </c>
      <c r="I642" t="s">
        <v>22</v>
      </c>
      <c r="J642">
        <v>0</v>
      </c>
      <c r="K642">
        <v>0.61599999999999999</v>
      </c>
      <c r="L642">
        <v>14</v>
      </c>
      <c r="M642" t="s">
        <v>23</v>
      </c>
      <c r="N642">
        <v>24</v>
      </c>
      <c r="O642">
        <v>-16.042899999999999</v>
      </c>
      <c r="P642">
        <v>167.37899999999999</v>
      </c>
      <c r="Q642" t="s">
        <v>638</v>
      </c>
      <c r="R642" t="s">
        <v>25</v>
      </c>
      <c r="S642" t="s">
        <v>163</v>
      </c>
      <c r="T642">
        <v>5</v>
      </c>
      <c r="U642">
        <v>7</v>
      </c>
      <c r="V642">
        <v>0</v>
      </c>
      <c r="W642">
        <v>0.61599999999999999</v>
      </c>
      <c r="X642">
        <v>14</v>
      </c>
      <c r="Y642">
        <v>24</v>
      </c>
      <c r="Z642">
        <v>7</v>
      </c>
      <c r="AA642">
        <v>7</v>
      </c>
      <c r="AB642">
        <v>1</v>
      </c>
      <c r="AC642">
        <v>755</v>
      </c>
      <c r="AD642" s="8">
        <v>42488</v>
      </c>
      <c r="AE642" s="8"/>
      <c r="AF642" s="8"/>
    </row>
    <row r="643" spans="1:32">
      <c r="A643" t="s">
        <v>1415</v>
      </c>
      <c r="B643">
        <v>6.5</v>
      </c>
      <c r="C643" s="8" t="s">
        <v>1416</v>
      </c>
      <c r="D643">
        <v>0</v>
      </c>
      <c r="E643">
        <v>6</v>
      </c>
      <c r="G643">
        <v>0</v>
      </c>
      <c r="H643">
        <v>650</v>
      </c>
      <c r="I643" t="s">
        <v>22</v>
      </c>
      <c r="J643">
        <v>477</v>
      </c>
      <c r="K643">
        <v>0</v>
      </c>
      <c r="L643">
        <v>20.3</v>
      </c>
      <c r="M643" t="s">
        <v>829</v>
      </c>
      <c r="N643">
        <v>34</v>
      </c>
      <c r="O643">
        <v>-5.7240000000000002</v>
      </c>
      <c r="P643">
        <v>151.13300000000001</v>
      </c>
      <c r="Q643" t="s">
        <v>418</v>
      </c>
      <c r="R643" t="s">
        <v>25</v>
      </c>
      <c r="S643" t="s">
        <v>64</v>
      </c>
      <c r="T643">
        <v>5</v>
      </c>
      <c r="U643">
        <v>6.5</v>
      </c>
      <c r="V643">
        <v>477</v>
      </c>
      <c r="W643">
        <v>0</v>
      </c>
      <c r="X643">
        <v>20.3</v>
      </c>
      <c r="Y643">
        <v>34</v>
      </c>
      <c r="Z643">
        <v>0</v>
      </c>
      <c r="AA643">
        <v>6</v>
      </c>
      <c r="AB643">
        <v>0</v>
      </c>
      <c r="AC643">
        <v>650</v>
      </c>
      <c r="AD643" s="8">
        <v>38865</v>
      </c>
      <c r="AE643" s="8"/>
      <c r="AF643" s="8"/>
    </row>
    <row r="644" spans="1:32">
      <c r="A644" t="s">
        <v>1018</v>
      </c>
      <c r="B644">
        <v>6.5</v>
      </c>
      <c r="C644" s="8" t="s">
        <v>1019</v>
      </c>
      <c r="D644">
        <v>5</v>
      </c>
      <c r="E644">
        <v>6</v>
      </c>
      <c r="G644">
        <v>0</v>
      </c>
      <c r="H644">
        <v>653</v>
      </c>
      <c r="I644" t="s">
        <v>22</v>
      </c>
      <c r="J644">
        <v>576</v>
      </c>
      <c r="K644">
        <v>0</v>
      </c>
      <c r="L644">
        <v>11.7</v>
      </c>
      <c r="M644" t="s">
        <v>23</v>
      </c>
      <c r="N644">
        <v>41</v>
      </c>
      <c r="O644">
        <v>-4.6509999999999998</v>
      </c>
      <c r="P644">
        <v>153.173</v>
      </c>
      <c r="Q644" t="s">
        <v>466</v>
      </c>
      <c r="R644" t="s">
        <v>25</v>
      </c>
      <c r="S644" t="s">
        <v>64</v>
      </c>
      <c r="T644">
        <v>5</v>
      </c>
      <c r="U644">
        <v>6.5</v>
      </c>
      <c r="V644">
        <v>576</v>
      </c>
      <c r="W644">
        <v>0</v>
      </c>
      <c r="X644">
        <v>11.7</v>
      </c>
      <c r="Y644">
        <v>41</v>
      </c>
      <c r="Z644">
        <v>5</v>
      </c>
      <c r="AA644">
        <v>6</v>
      </c>
      <c r="AB644">
        <v>0</v>
      </c>
      <c r="AC644">
        <v>653</v>
      </c>
      <c r="AD644" s="8">
        <v>41118</v>
      </c>
      <c r="AE644" s="8"/>
      <c r="AF644" s="8"/>
    </row>
    <row r="645" spans="1:32">
      <c r="A645" t="s">
        <v>1406</v>
      </c>
      <c r="B645">
        <v>6.9</v>
      </c>
      <c r="C645" s="8" t="s">
        <v>1407</v>
      </c>
      <c r="D645">
        <v>3</v>
      </c>
      <c r="E645">
        <v>3</v>
      </c>
      <c r="G645">
        <v>0</v>
      </c>
      <c r="H645">
        <v>737</v>
      </c>
      <c r="I645" t="s">
        <v>22</v>
      </c>
      <c r="J645">
        <v>702</v>
      </c>
      <c r="K645">
        <v>0</v>
      </c>
      <c r="L645">
        <v>20.9</v>
      </c>
      <c r="M645" t="s">
        <v>829</v>
      </c>
      <c r="N645">
        <v>28</v>
      </c>
      <c r="O645">
        <v>-16.591999999999999</v>
      </c>
      <c r="P645">
        <v>-172.03299999999999</v>
      </c>
      <c r="Q645" t="s">
        <v>502</v>
      </c>
      <c r="R645" t="s">
        <v>25</v>
      </c>
      <c r="S645" t="s">
        <v>1022</v>
      </c>
      <c r="T645">
        <v>5</v>
      </c>
      <c r="U645">
        <v>6.9</v>
      </c>
      <c r="V645">
        <v>702</v>
      </c>
      <c r="W645">
        <v>0</v>
      </c>
      <c r="X645">
        <v>20.9</v>
      </c>
      <c r="Y645">
        <v>28</v>
      </c>
      <c r="Z645">
        <v>3</v>
      </c>
      <c r="AA645">
        <v>3</v>
      </c>
      <c r="AB645">
        <v>0</v>
      </c>
      <c r="AC645">
        <v>737</v>
      </c>
      <c r="AD645" s="8">
        <v>38988</v>
      </c>
      <c r="AE645" s="8"/>
      <c r="AF645" s="8"/>
    </row>
    <row r="646" spans="1:32">
      <c r="A646" t="s">
        <v>114</v>
      </c>
      <c r="B646">
        <v>6.5</v>
      </c>
      <c r="C646" s="8" t="s">
        <v>115</v>
      </c>
      <c r="D646">
        <v>7</v>
      </c>
      <c r="E646">
        <v>4</v>
      </c>
      <c r="F646" t="s">
        <v>21</v>
      </c>
      <c r="G646">
        <v>1</v>
      </c>
      <c r="H646">
        <v>651</v>
      </c>
      <c r="I646" t="s">
        <v>22</v>
      </c>
      <c r="J646">
        <v>0</v>
      </c>
      <c r="K646">
        <v>1.0880000000000001</v>
      </c>
      <c r="L646">
        <v>57</v>
      </c>
      <c r="M646" t="s">
        <v>23</v>
      </c>
      <c r="N646">
        <v>8</v>
      </c>
      <c r="O646">
        <v>-29.535</v>
      </c>
      <c r="P646">
        <v>-176.72900000000001</v>
      </c>
      <c r="Q646" t="s">
        <v>116</v>
      </c>
      <c r="R646" t="s">
        <v>25</v>
      </c>
      <c r="S646" t="s">
        <v>594</v>
      </c>
      <c r="T646">
        <v>5</v>
      </c>
      <c r="U646">
        <v>6.5</v>
      </c>
      <c r="V646">
        <v>0</v>
      </c>
      <c r="W646">
        <v>1.0880000000000001</v>
      </c>
      <c r="X646">
        <v>57</v>
      </c>
      <c r="Y646">
        <v>8</v>
      </c>
      <c r="Z646">
        <v>7</v>
      </c>
      <c r="AA646">
        <v>4</v>
      </c>
      <c r="AB646">
        <v>1</v>
      </c>
      <c r="AC646">
        <v>651</v>
      </c>
      <c r="AD646" s="8">
        <v>44590</v>
      </c>
      <c r="AE646" s="8"/>
      <c r="AF646" s="8"/>
    </row>
    <row r="647" spans="1:32">
      <c r="A647" t="s">
        <v>774</v>
      </c>
      <c r="B647">
        <v>7.5</v>
      </c>
      <c r="C647" s="8" t="s">
        <v>775</v>
      </c>
      <c r="D647">
        <v>6</v>
      </c>
      <c r="E647">
        <v>7</v>
      </c>
      <c r="F647" t="s">
        <v>21</v>
      </c>
      <c r="G647">
        <v>1</v>
      </c>
      <c r="H647">
        <v>872</v>
      </c>
      <c r="I647" t="s">
        <v>22</v>
      </c>
      <c r="J647">
        <v>0</v>
      </c>
      <c r="K647">
        <v>0.66600000000000004</v>
      </c>
      <c r="L647">
        <v>19</v>
      </c>
      <c r="M647" t="s">
        <v>23</v>
      </c>
      <c r="N647">
        <v>41</v>
      </c>
      <c r="O647">
        <v>-4.7294</v>
      </c>
      <c r="P647">
        <v>152.56200000000001</v>
      </c>
      <c r="Q647" t="s">
        <v>466</v>
      </c>
      <c r="R647" t="s">
        <v>25</v>
      </c>
      <c r="S647" t="s">
        <v>64</v>
      </c>
      <c r="T647">
        <v>5</v>
      </c>
      <c r="U647">
        <v>7.5</v>
      </c>
      <c r="V647">
        <v>0</v>
      </c>
      <c r="W647">
        <v>0.66600000000000004</v>
      </c>
      <c r="X647">
        <v>19</v>
      </c>
      <c r="Y647">
        <v>41</v>
      </c>
      <c r="Z647">
        <v>6</v>
      </c>
      <c r="AA647">
        <v>7</v>
      </c>
      <c r="AB647">
        <v>1</v>
      </c>
      <c r="AC647">
        <v>872</v>
      </c>
      <c r="AD647" s="8">
        <v>42092</v>
      </c>
      <c r="AE647" s="8"/>
      <c r="AF647" s="8"/>
    </row>
    <row r="648" spans="1:32">
      <c r="A648" t="s">
        <v>461</v>
      </c>
      <c r="B648">
        <v>6.9</v>
      </c>
      <c r="C648" s="8" t="s">
        <v>462</v>
      </c>
      <c r="D648">
        <v>9</v>
      </c>
      <c r="E648">
        <v>6</v>
      </c>
      <c r="F648" t="s">
        <v>21</v>
      </c>
      <c r="G648">
        <v>1</v>
      </c>
      <c r="H648">
        <v>741</v>
      </c>
      <c r="I648" t="s">
        <v>22</v>
      </c>
      <c r="J648">
        <v>0</v>
      </c>
      <c r="K648">
        <v>1.4870000000000001</v>
      </c>
      <c r="L648">
        <v>18</v>
      </c>
      <c r="M648" t="s">
        <v>23</v>
      </c>
      <c r="N648">
        <v>35</v>
      </c>
      <c r="O648">
        <v>-5.5320999999999998</v>
      </c>
      <c r="P648">
        <v>151.5</v>
      </c>
      <c r="Q648" t="s">
        <v>418</v>
      </c>
      <c r="R648" t="s">
        <v>25</v>
      </c>
      <c r="S648" t="s">
        <v>64</v>
      </c>
      <c r="T648">
        <v>5</v>
      </c>
      <c r="U648">
        <v>6.9</v>
      </c>
      <c r="V648">
        <v>0</v>
      </c>
      <c r="W648">
        <v>1.4870000000000001</v>
      </c>
      <c r="X648">
        <v>18</v>
      </c>
      <c r="Y648">
        <v>35</v>
      </c>
      <c r="Z648">
        <v>9</v>
      </c>
      <c r="AA648">
        <v>6</v>
      </c>
      <c r="AB648">
        <v>1</v>
      </c>
      <c r="AC648">
        <v>741</v>
      </c>
      <c r="AD648" s="8">
        <v>43188</v>
      </c>
      <c r="AE648" s="8"/>
      <c r="AF648" s="8"/>
    </row>
    <row r="649" spans="1:32">
      <c r="A649" t="s">
        <v>820</v>
      </c>
      <c r="B649">
        <v>6.7</v>
      </c>
      <c r="C649" s="8" t="s">
        <v>821</v>
      </c>
      <c r="D649">
        <v>0</v>
      </c>
      <c r="E649">
        <v>5</v>
      </c>
      <c r="F649" t="s">
        <v>21</v>
      </c>
      <c r="G649">
        <v>1</v>
      </c>
      <c r="H649">
        <v>691</v>
      </c>
      <c r="I649" t="s">
        <v>22</v>
      </c>
      <c r="J649">
        <v>0</v>
      </c>
      <c r="K649">
        <v>6.7130000000000001</v>
      </c>
      <c r="L649">
        <v>45</v>
      </c>
      <c r="M649" t="s">
        <v>23</v>
      </c>
      <c r="N649">
        <v>18</v>
      </c>
      <c r="O649">
        <v>-14.9831</v>
      </c>
      <c r="P649">
        <v>-175.51</v>
      </c>
      <c r="Q649" t="s">
        <v>822</v>
      </c>
      <c r="R649" t="s">
        <v>25</v>
      </c>
      <c r="S649" t="s">
        <v>1750</v>
      </c>
      <c r="T649">
        <v>5</v>
      </c>
      <c r="U649">
        <v>6.7</v>
      </c>
      <c r="V649">
        <v>0</v>
      </c>
      <c r="W649">
        <v>6.7130000000000001</v>
      </c>
      <c r="X649">
        <v>45</v>
      </c>
      <c r="Y649">
        <v>18</v>
      </c>
      <c r="Z649">
        <v>0</v>
      </c>
      <c r="AA649">
        <v>5</v>
      </c>
      <c r="AB649">
        <v>1</v>
      </c>
      <c r="AC649">
        <v>691</v>
      </c>
      <c r="AD649" s="8">
        <v>41819</v>
      </c>
      <c r="AE649" s="8"/>
      <c r="AF649" s="8"/>
    </row>
    <row r="650" spans="1:32">
      <c r="A650" t="s">
        <v>622</v>
      </c>
      <c r="B650">
        <v>7.7</v>
      </c>
      <c r="C650" s="8" t="s">
        <v>623</v>
      </c>
      <c r="D650">
        <v>5</v>
      </c>
      <c r="E650">
        <v>6</v>
      </c>
      <c r="F650" t="s">
        <v>21</v>
      </c>
      <c r="G650">
        <v>1</v>
      </c>
      <c r="H650">
        <v>971</v>
      </c>
      <c r="I650" t="s">
        <v>22</v>
      </c>
      <c r="J650">
        <v>0</v>
      </c>
      <c r="K650">
        <v>3.294</v>
      </c>
      <c r="L650">
        <v>14</v>
      </c>
      <c r="M650" t="s">
        <v>23</v>
      </c>
      <c r="N650">
        <v>196</v>
      </c>
      <c r="O650">
        <v>18.542899999999999</v>
      </c>
      <c r="P650">
        <v>145.50700000000001</v>
      </c>
      <c r="Q650" t="s">
        <v>624</v>
      </c>
      <c r="R650" t="s">
        <v>25</v>
      </c>
      <c r="S650" t="s">
        <v>1750</v>
      </c>
      <c r="T650">
        <v>5</v>
      </c>
      <c r="U650">
        <v>7.7</v>
      </c>
      <c r="V650">
        <v>0</v>
      </c>
      <c r="W650">
        <v>3.294</v>
      </c>
      <c r="X650">
        <v>14</v>
      </c>
      <c r="Y650">
        <v>196</v>
      </c>
      <c r="Z650">
        <v>5</v>
      </c>
      <c r="AA650">
        <v>6</v>
      </c>
      <c r="AB650">
        <v>1</v>
      </c>
      <c r="AC650">
        <v>971</v>
      </c>
      <c r="AD650" s="8">
        <v>42580</v>
      </c>
      <c r="AE650" s="8"/>
      <c r="AF650" s="8"/>
    </row>
    <row r="651" spans="1:32">
      <c r="A651" t="s">
        <v>432</v>
      </c>
      <c r="B651">
        <v>7.1</v>
      </c>
      <c r="C651" s="8" t="s">
        <v>433</v>
      </c>
      <c r="D651">
        <v>2</v>
      </c>
      <c r="E651">
        <v>5</v>
      </c>
      <c r="F651" t="s">
        <v>21</v>
      </c>
      <c r="G651">
        <v>1</v>
      </c>
      <c r="H651">
        <v>776</v>
      </c>
      <c r="I651" t="s">
        <v>22</v>
      </c>
      <c r="J651">
        <v>0</v>
      </c>
      <c r="K651">
        <v>2.548</v>
      </c>
      <c r="L651">
        <v>23</v>
      </c>
      <c r="M651" t="s">
        <v>23</v>
      </c>
      <c r="N651">
        <v>21.43</v>
      </c>
      <c r="O651">
        <v>-22.029499999999999</v>
      </c>
      <c r="P651">
        <v>170.126</v>
      </c>
      <c r="Q651" t="s">
        <v>97</v>
      </c>
      <c r="R651" t="s">
        <v>25</v>
      </c>
      <c r="S651" t="s">
        <v>1744</v>
      </c>
      <c r="T651">
        <v>5</v>
      </c>
      <c r="U651">
        <v>7.1</v>
      </c>
      <c r="V651">
        <v>0</v>
      </c>
      <c r="W651">
        <v>2.548</v>
      </c>
      <c r="X651">
        <v>23</v>
      </c>
      <c r="Y651">
        <v>21.43</v>
      </c>
      <c r="Z651">
        <v>2</v>
      </c>
      <c r="AA651">
        <v>5</v>
      </c>
      <c r="AB651">
        <v>1</v>
      </c>
      <c r="AC651">
        <v>776</v>
      </c>
      <c r="AD651" s="8">
        <v>43341</v>
      </c>
      <c r="AE651" s="8"/>
      <c r="AF651" s="8"/>
    </row>
    <row r="652" spans="1:32">
      <c r="A652" t="s">
        <v>1457</v>
      </c>
      <c r="B652">
        <v>6.6</v>
      </c>
      <c r="C652" s="8" t="s">
        <v>1458</v>
      </c>
      <c r="D652">
        <v>0</v>
      </c>
      <c r="E652">
        <v>6</v>
      </c>
      <c r="G652">
        <v>0</v>
      </c>
      <c r="H652">
        <v>670</v>
      </c>
      <c r="I652" t="s">
        <v>22</v>
      </c>
      <c r="J652">
        <v>402</v>
      </c>
      <c r="K652">
        <v>0</v>
      </c>
      <c r="L652">
        <v>17.7</v>
      </c>
      <c r="M652" t="s">
        <v>829</v>
      </c>
      <c r="N652">
        <v>25</v>
      </c>
      <c r="O652">
        <v>-5.4370000000000003</v>
      </c>
      <c r="P652">
        <v>151.84</v>
      </c>
      <c r="Q652" t="s">
        <v>466</v>
      </c>
      <c r="R652" t="s">
        <v>25</v>
      </c>
      <c r="S652" t="s">
        <v>64</v>
      </c>
      <c r="T652">
        <v>5</v>
      </c>
      <c r="U652">
        <v>6.6</v>
      </c>
      <c r="V652">
        <v>402</v>
      </c>
      <c r="W652">
        <v>0</v>
      </c>
      <c r="X652">
        <v>17.7</v>
      </c>
      <c r="Y652">
        <v>25</v>
      </c>
      <c r="Z652">
        <v>0</v>
      </c>
      <c r="AA652">
        <v>6</v>
      </c>
      <c r="AB652">
        <v>0</v>
      </c>
      <c r="AC652">
        <v>670</v>
      </c>
      <c r="AD652" s="8">
        <v>38624</v>
      </c>
      <c r="AE652" s="8"/>
      <c r="AF652" s="8"/>
    </row>
    <row r="653" spans="1:32">
      <c r="A653" t="s">
        <v>1224</v>
      </c>
      <c r="B653">
        <v>8.1</v>
      </c>
      <c r="C653" s="8" t="s">
        <v>1225</v>
      </c>
      <c r="D653">
        <v>7</v>
      </c>
      <c r="E653">
        <v>6</v>
      </c>
      <c r="G653">
        <v>0</v>
      </c>
      <c r="H653">
        <v>1055</v>
      </c>
      <c r="I653" t="s">
        <v>22</v>
      </c>
      <c r="J653">
        <v>520</v>
      </c>
      <c r="K653">
        <v>0</v>
      </c>
      <c r="L653">
        <v>20.8</v>
      </c>
      <c r="M653" t="s">
        <v>829</v>
      </c>
      <c r="N653">
        <v>18</v>
      </c>
      <c r="O653">
        <v>-15.489000000000001</v>
      </c>
      <c r="P653">
        <v>-172.095</v>
      </c>
      <c r="Q653" t="s">
        <v>1226</v>
      </c>
      <c r="R653" t="s">
        <v>25</v>
      </c>
      <c r="S653" t="s">
        <v>1750</v>
      </c>
      <c r="T653">
        <v>5</v>
      </c>
      <c r="U653">
        <v>8.1</v>
      </c>
      <c r="V653">
        <v>520</v>
      </c>
      <c r="W653">
        <v>0</v>
      </c>
      <c r="X653">
        <v>20.8</v>
      </c>
      <c r="Y653">
        <v>18</v>
      </c>
      <c r="Z653">
        <v>7</v>
      </c>
      <c r="AA653">
        <v>6</v>
      </c>
      <c r="AB653">
        <v>0</v>
      </c>
      <c r="AC653">
        <v>1055</v>
      </c>
      <c r="AD653" s="8">
        <v>40085</v>
      </c>
      <c r="AE653" s="8"/>
      <c r="AF653" s="8"/>
    </row>
    <row r="654" spans="1:32">
      <c r="A654" t="s">
        <v>772</v>
      </c>
      <c r="B654">
        <v>6.5</v>
      </c>
      <c r="C654" s="8" t="s">
        <v>773</v>
      </c>
      <c r="D654">
        <v>2</v>
      </c>
      <c r="E654">
        <v>5</v>
      </c>
      <c r="F654" t="s">
        <v>21</v>
      </c>
      <c r="G654">
        <v>1</v>
      </c>
      <c r="H654">
        <v>650</v>
      </c>
      <c r="I654" t="s">
        <v>22</v>
      </c>
      <c r="J654">
        <v>0</v>
      </c>
      <c r="K654">
        <v>4.6289999999999996</v>
      </c>
      <c r="L654">
        <v>36</v>
      </c>
      <c r="M654" t="s">
        <v>23</v>
      </c>
      <c r="N654">
        <v>11</v>
      </c>
      <c r="O654">
        <v>-15.4994</v>
      </c>
      <c r="P654">
        <v>-173.029</v>
      </c>
      <c r="Q654" t="s">
        <v>502</v>
      </c>
      <c r="R654" t="s">
        <v>25</v>
      </c>
      <c r="S654" t="s">
        <v>1022</v>
      </c>
      <c r="T654">
        <v>5</v>
      </c>
      <c r="U654">
        <v>6.5</v>
      </c>
      <c r="V654">
        <v>0</v>
      </c>
      <c r="W654">
        <v>4.6289999999999996</v>
      </c>
      <c r="X654">
        <v>36</v>
      </c>
      <c r="Y654">
        <v>11</v>
      </c>
      <c r="Z654">
        <v>2</v>
      </c>
      <c r="AA654">
        <v>5</v>
      </c>
      <c r="AB654">
        <v>1</v>
      </c>
      <c r="AC654">
        <v>650</v>
      </c>
      <c r="AD654" s="8">
        <v>42093</v>
      </c>
      <c r="AE654" s="8"/>
      <c r="AF654" s="8"/>
    </row>
    <row r="655" spans="1:32">
      <c r="A655" t="s">
        <v>95</v>
      </c>
      <c r="B655">
        <v>6.9</v>
      </c>
      <c r="C655" s="8" t="s">
        <v>96</v>
      </c>
      <c r="D655">
        <v>6</v>
      </c>
      <c r="E655">
        <v>4</v>
      </c>
      <c r="F655" t="s">
        <v>21</v>
      </c>
      <c r="G655">
        <v>1</v>
      </c>
      <c r="H655">
        <v>738</v>
      </c>
      <c r="I655" t="s">
        <v>22</v>
      </c>
      <c r="J655">
        <v>0</v>
      </c>
      <c r="K655">
        <v>2.6970000000000001</v>
      </c>
      <c r="L655">
        <v>42</v>
      </c>
      <c r="M655" t="s">
        <v>23</v>
      </c>
      <c r="N655">
        <v>10</v>
      </c>
      <c r="O655">
        <v>-22.72</v>
      </c>
      <c r="P655">
        <v>170.27699999999999</v>
      </c>
      <c r="Q655" t="s">
        <v>97</v>
      </c>
      <c r="R655" t="s">
        <v>25</v>
      </c>
      <c r="S655" t="s">
        <v>1744</v>
      </c>
      <c r="T655">
        <v>5</v>
      </c>
      <c r="U655">
        <v>6.9</v>
      </c>
      <c r="V655">
        <v>0</v>
      </c>
      <c r="W655">
        <v>2.6970000000000001</v>
      </c>
      <c r="X655">
        <v>42</v>
      </c>
      <c r="Y655">
        <v>10</v>
      </c>
      <c r="Z655">
        <v>6</v>
      </c>
      <c r="AA655">
        <v>4</v>
      </c>
      <c r="AB655">
        <v>1</v>
      </c>
      <c r="AC655">
        <v>738</v>
      </c>
      <c r="AD655" s="8">
        <v>44650</v>
      </c>
      <c r="AE655" s="8"/>
      <c r="AF655" s="8"/>
    </row>
    <row r="656" spans="1:32">
      <c r="A656" t="s">
        <v>760</v>
      </c>
      <c r="B656">
        <v>6.7</v>
      </c>
      <c r="C656" s="8" t="s">
        <v>761</v>
      </c>
      <c r="D656">
        <v>5</v>
      </c>
      <c r="E656">
        <v>6</v>
      </c>
      <c r="F656" t="s">
        <v>21</v>
      </c>
      <c r="G656">
        <v>1</v>
      </c>
      <c r="H656">
        <v>692</v>
      </c>
      <c r="I656" t="s">
        <v>22</v>
      </c>
      <c r="J656">
        <v>0</v>
      </c>
      <c r="K656">
        <v>1.2390000000000001</v>
      </c>
      <c r="L656">
        <v>12</v>
      </c>
      <c r="M656" t="s">
        <v>23</v>
      </c>
      <c r="N656">
        <v>31</v>
      </c>
      <c r="O656">
        <v>-5.375</v>
      </c>
      <c r="P656">
        <v>151.77099999999999</v>
      </c>
      <c r="Q656" t="s">
        <v>466</v>
      </c>
      <c r="R656" t="s">
        <v>25</v>
      </c>
      <c r="S656" t="s">
        <v>64</v>
      </c>
      <c r="T656">
        <v>5</v>
      </c>
      <c r="U656">
        <v>6.7</v>
      </c>
      <c r="V656">
        <v>0</v>
      </c>
      <c r="W656">
        <v>1.2390000000000001</v>
      </c>
      <c r="X656">
        <v>12</v>
      </c>
      <c r="Y656">
        <v>31</v>
      </c>
      <c r="Z656">
        <v>5</v>
      </c>
      <c r="AA656">
        <v>6</v>
      </c>
      <c r="AB656">
        <v>1</v>
      </c>
      <c r="AC656">
        <v>692</v>
      </c>
      <c r="AD656" s="8">
        <v>42124</v>
      </c>
      <c r="AE656" s="8"/>
      <c r="AF656" s="8"/>
    </row>
    <row r="657" spans="1:32">
      <c r="A657" t="s">
        <v>187</v>
      </c>
      <c r="B657">
        <v>6.5</v>
      </c>
      <c r="C657" s="8" t="s">
        <v>903</v>
      </c>
      <c r="D657">
        <v>0</v>
      </c>
      <c r="E657">
        <v>4</v>
      </c>
      <c r="F657" t="s">
        <v>21</v>
      </c>
      <c r="G657">
        <v>1</v>
      </c>
      <c r="H657">
        <v>650</v>
      </c>
      <c r="I657" t="s">
        <v>22</v>
      </c>
      <c r="J657">
        <v>0</v>
      </c>
      <c r="K657">
        <v>1.7090000000000001</v>
      </c>
      <c r="L657">
        <v>21</v>
      </c>
      <c r="M657" t="s">
        <v>23</v>
      </c>
      <c r="N657">
        <v>41.54</v>
      </c>
      <c r="O657">
        <v>-30.9255</v>
      </c>
      <c r="P657">
        <v>-178.32300000000001</v>
      </c>
      <c r="Q657" t="s">
        <v>110</v>
      </c>
      <c r="R657" t="s">
        <v>25</v>
      </c>
      <c r="S657" t="s">
        <v>594</v>
      </c>
      <c r="T657">
        <v>5</v>
      </c>
      <c r="U657">
        <v>6.5</v>
      </c>
      <c r="V657">
        <v>0</v>
      </c>
      <c r="W657">
        <v>1.7090000000000001</v>
      </c>
      <c r="X657">
        <v>21</v>
      </c>
      <c r="Y657">
        <v>41.54</v>
      </c>
      <c r="Z657">
        <v>0</v>
      </c>
      <c r="AA657">
        <v>4</v>
      </c>
      <c r="AB657">
        <v>1</v>
      </c>
      <c r="AC657">
        <v>650</v>
      </c>
      <c r="AD657" s="8">
        <v>41547</v>
      </c>
      <c r="AE657" s="8"/>
      <c r="AF657" s="8"/>
    </row>
    <row r="658" spans="1:32">
      <c r="A658" t="s">
        <v>419</v>
      </c>
      <c r="B658">
        <v>6.7</v>
      </c>
      <c r="C658" s="8" t="s">
        <v>420</v>
      </c>
      <c r="D658">
        <v>2</v>
      </c>
      <c r="E658">
        <v>3</v>
      </c>
      <c r="F658" t="s">
        <v>21</v>
      </c>
      <c r="G658">
        <v>1</v>
      </c>
      <c r="H658">
        <v>691</v>
      </c>
      <c r="I658" t="s">
        <v>22</v>
      </c>
      <c r="J658">
        <v>0</v>
      </c>
      <c r="K658">
        <v>3.7450000000000001</v>
      </c>
      <c r="L658">
        <v>23</v>
      </c>
      <c r="M658" t="s">
        <v>23</v>
      </c>
      <c r="N658">
        <v>550</v>
      </c>
      <c r="O658">
        <v>-18.360399999999998</v>
      </c>
      <c r="P658">
        <v>-178.06299999999999</v>
      </c>
      <c r="Q658" t="s">
        <v>398</v>
      </c>
      <c r="R658" t="s">
        <v>25</v>
      </c>
      <c r="S658" t="s">
        <v>31</v>
      </c>
      <c r="T658">
        <v>5</v>
      </c>
      <c r="U658">
        <v>6.7</v>
      </c>
      <c r="V658">
        <v>0</v>
      </c>
      <c r="W658">
        <v>3.7450000000000001</v>
      </c>
      <c r="X658">
        <v>23</v>
      </c>
      <c r="Y658">
        <v>550</v>
      </c>
      <c r="Z658">
        <v>2</v>
      </c>
      <c r="AA658">
        <v>3</v>
      </c>
      <c r="AB658">
        <v>1</v>
      </c>
      <c r="AC658">
        <v>691</v>
      </c>
      <c r="AD658" s="8">
        <v>43373</v>
      </c>
      <c r="AE658" s="8"/>
      <c r="AF658" s="8"/>
    </row>
    <row r="659" spans="1:32">
      <c r="A659" t="s">
        <v>92</v>
      </c>
      <c r="B659">
        <v>7</v>
      </c>
      <c r="C659" s="8" t="s">
        <v>93</v>
      </c>
      <c r="D659">
        <v>6</v>
      </c>
      <c r="E659">
        <v>4</v>
      </c>
      <c r="F659" t="s">
        <v>21</v>
      </c>
      <c r="G659">
        <v>1</v>
      </c>
      <c r="H659">
        <v>763</v>
      </c>
      <c r="I659" t="s">
        <v>22</v>
      </c>
      <c r="J659">
        <v>0</v>
      </c>
      <c r="K659">
        <v>2.7050000000000001</v>
      </c>
      <c r="L659">
        <v>26</v>
      </c>
      <c r="M659" t="s">
        <v>23</v>
      </c>
      <c r="N659">
        <v>10</v>
      </c>
      <c r="O659">
        <v>-22.5732</v>
      </c>
      <c r="P659">
        <v>170.34899999999999</v>
      </c>
      <c r="Q659" t="s">
        <v>94</v>
      </c>
      <c r="R659" t="s">
        <v>25</v>
      </c>
      <c r="S659" t="s">
        <v>1750</v>
      </c>
      <c r="T659">
        <v>5</v>
      </c>
      <c r="U659">
        <v>7</v>
      </c>
      <c r="V659">
        <v>0</v>
      </c>
      <c r="W659">
        <v>2.7050000000000001</v>
      </c>
      <c r="X659">
        <v>26</v>
      </c>
      <c r="Y659">
        <v>10</v>
      </c>
      <c r="Z659">
        <v>6</v>
      </c>
      <c r="AA659">
        <v>4</v>
      </c>
      <c r="AB659">
        <v>1</v>
      </c>
      <c r="AC659">
        <v>763</v>
      </c>
      <c r="AD659" s="8">
        <v>44651</v>
      </c>
      <c r="AE659" s="8"/>
      <c r="AF659" s="8"/>
    </row>
    <row r="660" spans="1:32">
      <c r="A660" t="s">
        <v>1086</v>
      </c>
      <c r="B660">
        <v>6.6</v>
      </c>
      <c r="C660" s="8" t="s">
        <v>1087</v>
      </c>
      <c r="D660">
        <v>3</v>
      </c>
      <c r="E660">
        <v>6</v>
      </c>
      <c r="G660">
        <v>0</v>
      </c>
      <c r="H660">
        <v>674</v>
      </c>
      <c r="I660" t="s">
        <v>22</v>
      </c>
      <c r="J660">
        <v>229</v>
      </c>
      <c r="K660">
        <v>0</v>
      </c>
      <c r="L660">
        <v>16.600000000000001</v>
      </c>
      <c r="M660" t="s">
        <v>23</v>
      </c>
      <c r="N660">
        <v>10</v>
      </c>
      <c r="O660">
        <v>-3.5179999999999998</v>
      </c>
      <c r="P660">
        <v>144.828</v>
      </c>
      <c r="Q660" t="s">
        <v>500</v>
      </c>
      <c r="R660" t="s">
        <v>25</v>
      </c>
      <c r="S660" t="s">
        <v>64</v>
      </c>
      <c r="T660">
        <v>5</v>
      </c>
      <c r="U660">
        <v>6.6</v>
      </c>
      <c r="V660">
        <v>229</v>
      </c>
      <c r="W660">
        <v>0</v>
      </c>
      <c r="X660">
        <v>16.600000000000001</v>
      </c>
      <c r="Y660">
        <v>10</v>
      </c>
      <c r="Z660">
        <v>3</v>
      </c>
      <c r="AA660">
        <v>6</v>
      </c>
      <c r="AB660">
        <v>0</v>
      </c>
      <c r="AC660">
        <v>674</v>
      </c>
      <c r="AD660" s="8">
        <v>40755</v>
      </c>
      <c r="AE660" s="8"/>
      <c r="AF660" s="8"/>
    </row>
    <row r="661" spans="1:32">
      <c r="A661" t="s">
        <v>332</v>
      </c>
      <c r="B661">
        <v>6.6</v>
      </c>
      <c r="C661" s="8" t="s">
        <v>333</v>
      </c>
      <c r="D661">
        <v>0</v>
      </c>
      <c r="E661">
        <v>4</v>
      </c>
      <c r="F661" t="s">
        <v>21</v>
      </c>
      <c r="G661">
        <v>1</v>
      </c>
      <c r="H661">
        <v>670</v>
      </c>
      <c r="I661" t="s">
        <v>22</v>
      </c>
      <c r="J661">
        <v>0</v>
      </c>
      <c r="K661">
        <v>6.024</v>
      </c>
      <c r="L661">
        <v>30</v>
      </c>
      <c r="M661" t="s">
        <v>23</v>
      </c>
      <c r="N661">
        <v>181</v>
      </c>
      <c r="O661">
        <v>-16.198499999999999</v>
      </c>
      <c r="P661">
        <v>167.99799999999999</v>
      </c>
      <c r="Q661" t="s">
        <v>334</v>
      </c>
      <c r="R661" t="s">
        <v>25</v>
      </c>
      <c r="S661" t="s">
        <v>163</v>
      </c>
      <c r="T661">
        <v>5</v>
      </c>
      <c r="U661">
        <v>6.6</v>
      </c>
      <c r="V661">
        <v>0</v>
      </c>
      <c r="W661">
        <v>6.024</v>
      </c>
      <c r="X661">
        <v>30</v>
      </c>
      <c r="Y661">
        <v>181</v>
      </c>
      <c r="Z661">
        <v>0</v>
      </c>
      <c r="AA661">
        <v>4</v>
      </c>
      <c r="AB661">
        <v>1</v>
      </c>
      <c r="AC661">
        <v>670</v>
      </c>
      <c r="AD661" s="8">
        <v>43677</v>
      </c>
      <c r="AE661" s="8"/>
      <c r="AF661" s="8"/>
    </row>
    <row r="662" spans="1:32">
      <c r="A662" t="s">
        <v>614</v>
      </c>
      <c r="B662">
        <v>6.8</v>
      </c>
      <c r="C662" s="8" t="s">
        <v>615</v>
      </c>
      <c r="D662">
        <v>4</v>
      </c>
      <c r="E662">
        <v>3</v>
      </c>
      <c r="F662" t="s">
        <v>21</v>
      </c>
      <c r="G662">
        <v>1</v>
      </c>
      <c r="H662">
        <v>713</v>
      </c>
      <c r="I662" t="s">
        <v>22</v>
      </c>
      <c r="J662">
        <v>0</v>
      </c>
      <c r="K662">
        <v>0.80300000000000005</v>
      </c>
      <c r="L662">
        <v>12</v>
      </c>
      <c r="M662" t="s">
        <v>23</v>
      </c>
      <c r="N662">
        <v>476</v>
      </c>
      <c r="O662">
        <v>-3.6848999999999998</v>
      </c>
      <c r="P662">
        <v>152.792</v>
      </c>
      <c r="Q662" t="s">
        <v>616</v>
      </c>
      <c r="R662" t="s">
        <v>25</v>
      </c>
      <c r="S662" t="s">
        <v>64</v>
      </c>
      <c r="T662">
        <v>5</v>
      </c>
      <c r="U662">
        <v>6.8</v>
      </c>
      <c r="V662">
        <v>0</v>
      </c>
      <c r="W662">
        <v>0.80300000000000005</v>
      </c>
      <c r="X662">
        <v>12</v>
      </c>
      <c r="Y662">
        <v>476</v>
      </c>
      <c r="Z662">
        <v>4</v>
      </c>
      <c r="AA662">
        <v>3</v>
      </c>
      <c r="AB662">
        <v>1</v>
      </c>
      <c r="AC662">
        <v>713</v>
      </c>
      <c r="AD662" s="8">
        <v>42613</v>
      </c>
      <c r="AE662" s="8"/>
      <c r="AF662" s="8"/>
    </row>
    <row r="663" spans="1:32">
      <c r="A663" t="s">
        <v>1681</v>
      </c>
      <c r="B663">
        <v>7</v>
      </c>
      <c r="C663" s="8" t="s">
        <v>1682</v>
      </c>
      <c r="D663">
        <v>0</v>
      </c>
      <c r="E663">
        <v>7</v>
      </c>
      <c r="G663">
        <v>0</v>
      </c>
      <c r="H663">
        <v>754</v>
      </c>
      <c r="I663" t="s">
        <v>22</v>
      </c>
      <c r="J663">
        <v>254</v>
      </c>
      <c r="K663">
        <v>0</v>
      </c>
      <c r="L663">
        <v>0</v>
      </c>
      <c r="M663" t="s">
        <v>829</v>
      </c>
      <c r="N663">
        <v>33</v>
      </c>
      <c r="O663">
        <v>-5.9119999999999999</v>
      </c>
      <c r="P663">
        <v>150.196</v>
      </c>
      <c r="Q663" t="s">
        <v>418</v>
      </c>
      <c r="R663" t="s">
        <v>25</v>
      </c>
      <c r="S663" t="s">
        <v>64</v>
      </c>
      <c r="T663">
        <v>5</v>
      </c>
      <c r="U663">
        <v>7</v>
      </c>
      <c r="V663">
        <v>254</v>
      </c>
      <c r="W663">
        <v>0</v>
      </c>
      <c r="X663">
        <v>0</v>
      </c>
      <c r="Y663">
        <v>33</v>
      </c>
      <c r="Z663">
        <v>0</v>
      </c>
      <c r="AA663">
        <v>7</v>
      </c>
      <c r="AB663">
        <v>0</v>
      </c>
      <c r="AC663">
        <v>754</v>
      </c>
      <c r="AD663" s="8">
        <v>37195</v>
      </c>
      <c r="AE663" s="8"/>
      <c r="AF663" s="8"/>
    </row>
    <row r="664" spans="1:32">
      <c r="A664" t="s">
        <v>504</v>
      </c>
      <c r="B664">
        <v>6.7</v>
      </c>
      <c r="C664" s="8" t="s">
        <v>505</v>
      </c>
      <c r="D664">
        <v>3</v>
      </c>
      <c r="E664">
        <v>4</v>
      </c>
      <c r="F664" t="s">
        <v>21</v>
      </c>
      <c r="G664">
        <v>1</v>
      </c>
      <c r="H664">
        <v>691</v>
      </c>
      <c r="I664" t="s">
        <v>22</v>
      </c>
      <c r="J664">
        <v>0</v>
      </c>
      <c r="K664">
        <v>1.0620000000000001</v>
      </c>
      <c r="L664">
        <v>55</v>
      </c>
      <c r="M664" t="s">
        <v>23</v>
      </c>
      <c r="N664">
        <v>24</v>
      </c>
      <c r="O664">
        <v>-21.697099999999999</v>
      </c>
      <c r="P664">
        <v>169.148</v>
      </c>
      <c r="Q664" t="s">
        <v>97</v>
      </c>
      <c r="R664" t="s">
        <v>25</v>
      </c>
      <c r="S664" t="s">
        <v>1744</v>
      </c>
      <c r="T664">
        <v>5</v>
      </c>
      <c r="U664">
        <v>6.7</v>
      </c>
      <c r="V664">
        <v>0</v>
      </c>
      <c r="W664">
        <v>1.0620000000000001</v>
      </c>
      <c r="X664">
        <v>55</v>
      </c>
      <c r="Y664">
        <v>24</v>
      </c>
      <c r="Z664">
        <v>3</v>
      </c>
      <c r="AA664">
        <v>4</v>
      </c>
      <c r="AB664">
        <v>1</v>
      </c>
      <c r="AC664">
        <v>691</v>
      </c>
      <c r="AD664" s="8">
        <v>43039</v>
      </c>
      <c r="AE664" s="8"/>
      <c r="AF664" s="8"/>
    </row>
    <row r="665" spans="1:32">
      <c r="A665" t="s">
        <v>1697</v>
      </c>
      <c r="B665">
        <v>6.6</v>
      </c>
      <c r="C665" s="8">
        <v>37018.578472222223</v>
      </c>
      <c r="D665">
        <v>0</v>
      </c>
      <c r="E665">
        <v>7</v>
      </c>
      <c r="G665">
        <v>0</v>
      </c>
      <c r="H665">
        <v>670</v>
      </c>
      <c r="I665" t="s">
        <v>22</v>
      </c>
      <c r="J665">
        <v>324</v>
      </c>
      <c r="K665">
        <v>0</v>
      </c>
      <c r="L665">
        <v>0</v>
      </c>
      <c r="M665" t="s">
        <v>829</v>
      </c>
      <c r="N665">
        <v>62</v>
      </c>
      <c r="O665">
        <v>-16.085999999999999</v>
      </c>
      <c r="P665">
        <v>-73.986999999999995</v>
      </c>
      <c r="Q665" t="s">
        <v>1698</v>
      </c>
      <c r="R665" t="s">
        <v>78</v>
      </c>
      <c r="S665" t="s">
        <v>83</v>
      </c>
      <c r="T665">
        <v>6</v>
      </c>
      <c r="U665">
        <v>6.6</v>
      </c>
      <c r="V665">
        <v>324</v>
      </c>
      <c r="W665">
        <v>0</v>
      </c>
      <c r="X665">
        <v>0</v>
      </c>
      <c r="Y665">
        <v>62</v>
      </c>
      <c r="Z665">
        <v>0</v>
      </c>
      <c r="AA665">
        <v>7</v>
      </c>
      <c r="AB665">
        <v>0</v>
      </c>
      <c r="AC665">
        <v>670</v>
      </c>
      <c r="AD665" s="8">
        <v>37018.578472222223</v>
      </c>
      <c r="AE665" s="8"/>
      <c r="AF665" s="8"/>
    </row>
    <row r="666" spans="1:32">
      <c r="A666" t="s">
        <v>1695</v>
      </c>
      <c r="B666">
        <v>7.6</v>
      </c>
      <c r="C666" s="8">
        <v>37079.401388888888</v>
      </c>
      <c r="D666">
        <v>0</v>
      </c>
      <c r="E666">
        <v>7</v>
      </c>
      <c r="G666">
        <v>0</v>
      </c>
      <c r="H666">
        <v>889</v>
      </c>
      <c r="I666" t="s">
        <v>22</v>
      </c>
      <c r="J666">
        <v>398</v>
      </c>
      <c r="K666">
        <v>0</v>
      </c>
      <c r="L666">
        <v>0</v>
      </c>
      <c r="M666" t="s">
        <v>829</v>
      </c>
      <c r="N666">
        <v>33</v>
      </c>
      <c r="O666">
        <v>-17.542999999999999</v>
      </c>
      <c r="P666">
        <v>-72.076999999999998</v>
      </c>
      <c r="Q666" t="s">
        <v>1696</v>
      </c>
      <c r="R666" t="s">
        <v>78</v>
      </c>
      <c r="S666" t="s">
        <v>83</v>
      </c>
      <c r="T666">
        <v>6</v>
      </c>
      <c r="U666">
        <v>7.6</v>
      </c>
      <c r="V666">
        <v>398</v>
      </c>
      <c r="W666">
        <v>0</v>
      </c>
      <c r="X666">
        <v>0</v>
      </c>
      <c r="Y666">
        <v>33</v>
      </c>
      <c r="Z666">
        <v>0</v>
      </c>
      <c r="AA666">
        <v>7</v>
      </c>
      <c r="AB666">
        <v>0</v>
      </c>
      <c r="AC666">
        <v>889</v>
      </c>
      <c r="AD666" s="8">
        <v>37079.401388888888</v>
      </c>
      <c r="AE666" s="8"/>
      <c r="AF666" s="8"/>
    </row>
    <row r="667" spans="1:32">
      <c r="A667" t="s">
        <v>1550</v>
      </c>
      <c r="B667">
        <v>6.6</v>
      </c>
      <c r="C667" s="8">
        <v>38051.191666666666</v>
      </c>
      <c r="D667">
        <v>0</v>
      </c>
      <c r="E667">
        <v>7</v>
      </c>
      <c r="G667">
        <v>0</v>
      </c>
      <c r="H667">
        <v>670</v>
      </c>
      <c r="I667" t="s">
        <v>22</v>
      </c>
      <c r="J667">
        <v>282</v>
      </c>
      <c r="K667">
        <v>0</v>
      </c>
      <c r="L667">
        <v>46.9</v>
      </c>
      <c r="M667" t="s">
        <v>36</v>
      </c>
      <c r="N667">
        <v>21</v>
      </c>
      <c r="O667">
        <v>-37.695</v>
      </c>
      <c r="P667">
        <v>-73.406000000000006</v>
      </c>
      <c r="Q667" t="s">
        <v>1158</v>
      </c>
      <c r="R667" t="s">
        <v>78</v>
      </c>
      <c r="S667" t="s">
        <v>245</v>
      </c>
      <c r="T667">
        <v>6</v>
      </c>
      <c r="U667">
        <v>6.6</v>
      </c>
      <c r="V667">
        <v>282</v>
      </c>
      <c r="W667">
        <v>0</v>
      </c>
      <c r="X667">
        <v>46.9</v>
      </c>
      <c r="Y667">
        <v>21</v>
      </c>
      <c r="Z667">
        <v>0</v>
      </c>
      <c r="AA667">
        <v>7</v>
      </c>
      <c r="AB667">
        <v>0</v>
      </c>
      <c r="AC667">
        <v>670</v>
      </c>
      <c r="AD667" s="8">
        <v>38051.191666666666</v>
      </c>
      <c r="AE667" s="8"/>
      <c r="AF667" s="8"/>
    </row>
    <row r="668" spans="1:32">
      <c r="A668" t="s">
        <v>1350</v>
      </c>
      <c r="B668">
        <v>6.8</v>
      </c>
      <c r="C668" s="8">
        <v>39364.075694444444</v>
      </c>
      <c r="D668">
        <v>5</v>
      </c>
      <c r="E668">
        <v>6</v>
      </c>
      <c r="G668">
        <v>0</v>
      </c>
      <c r="H668">
        <v>747</v>
      </c>
      <c r="I668" t="s">
        <v>22</v>
      </c>
      <c r="J668">
        <v>653</v>
      </c>
      <c r="K668">
        <v>0</v>
      </c>
      <c r="L668">
        <v>17.600000000000001</v>
      </c>
      <c r="M668" t="s">
        <v>829</v>
      </c>
      <c r="N668">
        <v>15</v>
      </c>
      <c r="O668">
        <v>2.9660000000000002</v>
      </c>
      <c r="P668">
        <v>-77.962999999999994</v>
      </c>
      <c r="Q668" t="s">
        <v>1351</v>
      </c>
      <c r="R668" t="s">
        <v>78</v>
      </c>
      <c r="S668" t="s">
        <v>973</v>
      </c>
      <c r="T668">
        <v>6</v>
      </c>
      <c r="U668">
        <v>6.8</v>
      </c>
      <c r="V668">
        <v>653</v>
      </c>
      <c r="W668">
        <v>0</v>
      </c>
      <c r="X668">
        <v>17.600000000000001</v>
      </c>
      <c r="Y668">
        <v>15</v>
      </c>
      <c r="Z668">
        <v>5</v>
      </c>
      <c r="AA668">
        <v>6</v>
      </c>
      <c r="AB668">
        <v>0</v>
      </c>
      <c r="AC668">
        <v>747</v>
      </c>
      <c r="AD668" s="8">
        <v>39364.075694444444</v>
      </c>
      <c r="AE668" s="8"/>
      <c r="AF668" s="8"/>
    </row>
    <row r="669" spans="1:32">
      <c r="A669" t="s">
        <v>1189</v>
      </c>
      <c r="B669">
        <v>6.6</v>
      </c>
      <c r="C669" s="8">
        <v>40301.490972222222</v>
      </c>
      <c r="D669">
        <v>7</v>
      </c>
      <c r="E669">
        <v>7</v>
      </c>
      <c r="G669">
        <v>0</v>
      </c>
      <c r="H669">
        <v>736</v>
      </c>
      <c r="I669" t="s">
        <v>22</v>
      </c>
      <c r="J669">
        <v>255</v>
      </c>
      <c r="K669">
        <v>0</v>
      </c>
      <c r="L669">
        <v>27.8</v>
      </c>
      <c r="M669" t="s">
        <v>36</v>
      </c>
      <c r="N669">
        <v>18</v>
      </c>
      <c r="O669">
        <v>-36.664999999999999</v>
      </c>
      <c r="P669">
        <v>-73.373999999999995</v>
      </c>
      <c r="Q669" t="s">
        <v>1190</v>
      </c>
      <c r="R669" t="s">
        <v>78</v>
      </c>
      <c r="S669" t="s">
        <v>245</v>
      </c>
      <c r="T669">
        <v>6</v>
      </c>
      <c r="U669">
        <v>6.6</v>
      </c>
      <c r="V669">
        <v>255</v>
      </c>
      <c r="W669">
        <v>0</v>
      </c>
      <c r="X669">
        <v>27.8</v>
      </c>
      <c r="Y669">
        <v>18</v>
      </c>
      <c r="Z669">
        <v>7</v>
      </c>
      <c r="AA669">
        <v>7</v>
      </c>
      <c r="AB669">
        <v>0</v>
      </c>
      <c r="AC669">
        <v>736</v>
      </c>
      <c r="AD669" s="8">
        <v>40301.490972222222</v>
      </c>
      <c r="AE669" s="8"/>
      <c r="AF669" s="8"/>
    </row>
    <row r="670" spans="1:32">
      <c r="A670" t="s">
        <v>1187</v>
      </c>
      <c r="B670">
        <v>6.9</v>
      </c>
      <c r="C670" s="8">
        <v>40485.61041666667</v>
      </c>
      <c r="D670">
        <v>7</v>
      </c>
      <c r="E670">
        <v>7</v>
      </c>
      <c r="G670">
        <v>0</v>
      </c>
      <c r="H670">
        <v>1280</v>
      </c>
      <c r="I670" t="s">
        <v>22</v>
      </c>
      <c r="J670">
        <v>415</v>
      </c>
      <c r="K670">
        <v>0</v>
      </c>
      <c r="L670">
        <v>12.5</v>
      </c>
      <c r="M670" t="s">
        <v>829</v>
      </c>
      <c r="N670">
        <v>11</v>
      </c>
      <c r="O670">
        <v>-34.29</v>
      </c>
      <c r="P670">
        <v>-71.891000000000005</v>
      </c>
      <c r="Q670" t="s">
        <v>1186</v>
      </c>
      <c r="R670" t="s">
        <v>78</v>
      </c>
      <c r="S670" t="s">
        <v>245</v>
      </c>
      <c r="T670">
        <v>6</v>
      </c>
      <c r="U670">
        <v>6.9</v>
      </c>
      <c r="V670">
        <v>415</v>
      </c>
      <c r="W670">
        <v>0</v>
      </c>
      <c r="X670">
        <v>12.5</v>
      </c>
      <c r="Y670">
        <v>11</v>
      </c>
      <c r="Z670">
        <v>7</v>
      </c>
      <c r="AA670">
        <v>7</v>
      </c>
      <c r="AB670">
        <v>0</v>
      </c>
      <c r="AC670">
        <v>1280</v>
      </c>
      <c r="AD670" s="8">
        <v>40485.61041666667</v>
      </c>
      <c r="AE670" s="8"/>
      <c r="AF670" s="8"/>
    </row>
    <row r="671" spans="1:32">
      <c r="A671" t="s">
        <v>1185</v>
      </c>
      <c r="B671">
        <v>7</v>
      </c>
      <c r="C671" s="8">
        <v>40485.621527777781</v>
      </c>
      <c r="D671">
        <v>7</v>
      </c>
      <c r="E671">
        <v>7</v>
      </c>
      <c r="G671">
        <v>0</v>
      </c>
      <c r="H671">
        <v>874</v>
      </c>
      <c r="I671" t="s">
        <v>22</v>
      </c>
      <c r="J671">
        <v>403</v>
      </c>
      <c r="K671">
        <v>0</v>
      </c>
      <c r="L671">
        <v>17.100000000000001</v>
      </c>
      <c r="M671" t="s">
        <v>829</v>
      </c>
      <c r="N671">
        <v>18</v>
      </c>
      <c r="O671">
        <v>-34.326000000000001</v>
      </c>
      <c r="P671">
        <v>-71.799000000000007</v>
      </c>
      <c r="Q671" t="s">
        <v>1186</v>
      </c>
      <c r="R671" t="s">
        <v>78</v>
      </c>
      <c r="S671" t="s">
        <v>245</v>
      </c>
      <c r="T671">
        <v>6</v>
      </c>
      <c r="U671">
        <v>7</v>
      </c>
      <c r="V671">
        <v>403</v>
      </c>
      <c r="W671">
        <v>0</v>
      </c>
      <c r="X671">
        <v>17.100000000000001</v>
      </c>
      <c r="Y671">
        <v>18</v>
      </c>
      <c r="Z671">
        <v>7</v>
      </c>
      <c r="AA671">
        <v>7</v>
      </c>
      <c r="AB671">
        <v>0</v>
      </c>
      <c r="AC671">
        <v>874</v>
      </c>
      <c r="AD671" s="8">
        <v>40485.621527777781</v>
      </c>
      <c r="AE671" s="8"/>
      <c r="AF671" s="8"/>
    </row>
    <row r="672" spans="1:32">
      <c r="A672" t="s">
        <v>1143</v>
      </c>
      <c r="B672">
        <v>7.1</v>
      </c>
      <c r="C672" s="8">
        <v>40520.495833333334</v>
      </c>
      <c r="D672">
        <v>6</v>
      </c>
      <c r="E672">
        <v>5</v>
      </c>
      <c r="G672">
        <v>0</v>
      </c>
      <c r="H672">
        <v>945</v>
      </c>
      <c r="I672" t="s">
        <v>22</v>
      </c>
      <c r="J672">
        <v>672</v>
      </c>
      <c r="K672">
        <v>0</v>
      </c>
      <c r="L672">
        <v>12.4</v>
      </c>
      <c r="M672" t="s">
        <v>829</v>
      </c>
      <c r="N672">
        <v>206.7</v>
      </c>
      <c r="O672">
        <v>-1.266</v>
      </c>
      <c r="P672">
        <v>-77.305999999999997</v>
      </c>
      <c r="Q672" t="s">
        <v>371</v>
      </c>
      <c r="R672" t="s">
        <v>78</v>
      </c>
      <c r="S672" t="s">
        <v>371</v>
      </c>
      <c r="T672">
        <v>6</v>
      </c>
      <c r="U672">
        <v>7.1</v>
      </c>
      <c r="V672">
        <v>672</v>
      </c>
      <c r="W672">
        <v>0</v>
      </c>
      <c r="X672">
        <v>12.4</v>
      </c>
      <c r="Y672">
        <v>206.7</v>
      </c>
      <c r="Z672">
        <v>6</v>
      </c>
      <c r="AA672">
        <v>5</v>
      </c>
      <c r="AB672">
        <v>0</v>
      </c>
      <c r="AC672">
        <v>945</v>
      </c>
      <c r="AD672" s="8">
        <v>40520.495833333334</v>
      </c>
      <c r="AE672" s="8"/>
      <c r="AF672" s="8"/>
    </row>
    <row r="673" spans="1:32">
      <c r="A673" t="s">
        <v>1125</v>
      </c>
      <c r="B673">
        <v>7.2</v>
      </c>
      <c r="C673" s="8">
        <v>40575.847222222219</v>
      </c>
      <c r="D673">
        <v>8</v>
      </c>
      <c r="E673">
        <v>7</v>
      </c>
      <c r="G673">
        <v>0</v>
      </c>
      <c r="H673">
        <v>1054</v>
      </c>
      <c r="I673" t="s">
        <v>22</v>
      </c>
      <c r="J673">
        <v>397</v>
      </c>
      <c r="K673">
        <v>0</v>
      </c>
      <c r="L673">
        <v>30.1</v>
      </c>
      <c r="M673" t="s">
        <v>23</v>
      </c>
      <c r="N673">
        <v>24</v>
      </c>
      <c r="O673">
        <v>-38.354999999999997</v>
      </c>
      <c r="P673">
        <v>-73.325999999999993</v>
      </c>
      <c r="Q673" t="s">
        <v>1126</v>
      </c>
      <c r="R673" t="s">
        <v>78</v>
      </c>
      <c r="S673" t="s">
        <v>245</v>
      </c>
      <c r="T673">
        <v>6</v>
      </c>
      <c r="U673">
        <v>7.2</v>
      </c>
      <c r="V673">
        <v>397</v>
      </c>
      <c r="W673">
        <v>0</v>
      </c>
      <c r="X673">
        <v>30.1</v>
      </c>
      <c r="Y673">
        <v>24</v>
      </c>
      <c r="Z673">
        <v>8</v>
      </c>
      <c r="AA673">
        <v>7</v>
      </c>
      <c r="AB673">
        <v>0</v>
      </c>
      <c r="AC673">
        <v>1054</v>
      </c>
      <c r="AD673" s="8">
        <v>40575.847222222219</v>
      </c>
      <c r="AE673" s="8"/>
      <c r="AF673" s="8"/>
    </row>
    <row r="674" spans="1:32">
      <c r="A674" t="s">
        <v>1118</v>
      </c>
      <c r="B674">
        <v>6.9</v>
      </c>
      <c r="C674" s="8">
        <v>40849.836805555555</v>
      </c>
      <c r="D674">
        <v>7</v>
      </c>
      <c r="E674">
        <v>7</v>
      </c>
      <c r="G674">
        <v>0</v>
      </c>
      <c r="H674">
        <v>988</v>
      </c>
      <c r="I674" t="s">
        <v>22</v>
      </c>
      <c r="J674">
        <v>382</v>
      </c>
      <c r="K674">
        <v>0</v>
      </c>
      <c r="L674">
        <v>34.700000000000003</v>
      </c>
      <c r="M674" t="s">
        <v>23</v>
      </c>
      <c r="N674">
        <v>26</v>
      </c>
      <c r="O674">
        <v>-36.421999999999997</v>
      </c>
      <c r="P674">
        <v>-72.959999999999994</v>
      </c>
      <c r="Q674" t="s">
        <v>1119</v>
      </c>
      <c r="R674" t="s">
        <v>78</v>
      </c>
      <c r="S674" t="s">
        <v>245</v>
      </c>
      <c r="T674">
        <v>6</v>
      </c>
      <c r="U674">
        <v>6.9</v>
      </c>
      <c r="V674">
        <v>382</v>
      </c>
      <c r="W674">
        <v>0</v>
      </c>
      <c r="X674">
        <v>34.700000000000003</v>
      </c>
      <c r="Y674">
        <v>26</v>
      </c>
      <c r="Z674">
        <v>7</v>
      </c>
      <c r="AA674">
        <v>7</v>
      </c>
      <c r="AB674">
        <v>0</v>
      </c>
      <c r="AC674">
        <v>988</v>
      </c>
      <c r="AD674" s="8">
        <v>40849.836805555555</v>
      </c>
      <c r="AE674" s="8"/>
      <c r="AF674" s="8"/>
    </row>
    <row r="675" spans="1:32">
      <c r="A675" t="s">
        <v>971</v>
      </c>
      <c r="B675">
        <v>6.9</v>
      </c>
      <c r="C675" s="8">
        <v>41519.594444444447</v>
      </c>
      <c r="D675">
        <v>5</v>
      </c>
      <c r="E675">
        <v>5</v>
      </c>
      <c r="F675" t="s">
        <v>21</v>
      </c>
      <c r="G675">
        <v>1</v>
      </c>
      <c r="H675">
        <v>904</v>
      </c>
      <c r="I675" t="s">
        <v>22</v>
      </c>
      <c r="J675">
        <v>562</v>
      </c>
      <c r="K675">
        <v>0</v>
      </c>
      <c r="L675">
        <v>23.7</v>
      </c>
      <c r="M675" t="s">
        <v>23</v>
      </c>
      <c r="N675">
        <v>145</v>
      </c>
      <c r="O675">
        <v>1.135</v>
      </c>
      <c r="P675">
        <v>-77.393000000000001</v>
      </c>
      <c r="Q675" t="s">
        <v>972</v>
      </c>
      <c r="R675" t="s">
        <v>78</v>
      </c>
      <c r="S675" t="s">
        <v>973</v>
      </c>
      <c r="T675">
        <v>6</v>
      </c>
      <c r="U675">
        <v>6.9</v>
      </c>
      <c r="V675">
        <v>562</v>
      </c>
      <c r="W675">
        <v>0</v>
      </c>
      <c r="X675">
        <v>23.7</v>
      </c>
      <c r="Y675">
        <v>145</v>
      </c>
      <c r="Z675">
        <v>5</v>
      </c>
      <c r="AA675">
        <v>5</v>
      </c>
      <c r="AB675">
        <v>1</v>
      </c>
      <c r="AC675">
        <v>904</v>
      </c>
      <c r="AD675" s="8">
        <v>41519.594444444447</v>
      </c>
      <c r="AE675" s="8"/>
      <c r="AF675" s="8"/>
    </row>
    <row r="676" spans="1:32">
      <c r="A676" t="s">
        <v>863</v>
      </c>
      <c r="B676">
        <v>8.1999999999999993</v>
      </c>
      <c r="C676" s="8">
        <v>41643.990277777775</v>
      </c>
      <c r="D676">
        <v>9</v>
      </c>
      <c r="E676">
        <v>8</v>
      </c>
      <c r="F676" t="s">
        <v>45</v>
      </c>
      <c r="G676">
        <v>1</v>
      </c>
      <c r="H676">
        <v>1332</v>
      </c>
      <c r="I676" t="s">
        <v>22</v>
      </c>
      <c r="J676">
        <v>0</v>
      </c>
      <c r="K676">
        <v>0.60899999999999999</v>
      </c>
      <c r="L676">
        <v>23</v>
      </c>
      <c r="M676" t="s">
        <v>23</v>
      </c>
      <c r="N676">
        <v>25</v>
      </c>
      <c r="O676">
        <v>-19.6097</v>
      </c>
      <c r="P676">
        <v>-70.769099999999995</v>
      </c>
      <c r="Q676" t="s">
        <v>860</v>
      </c>
      <c r="R676" t="s">
        <v>78</v>
      </c>
      <c r="S676" t="s">
        <v>245</v>
      </c>
      <c r="T676">
        <v>6</v>
      </c>
      <c r="U676">
        <v>8.1999999999999993</v>
      </c>
      <c r="V676">
        <v>0</v>
      </c>
      <c r="W676">
        <v>0.60899999999999999</v>
      </c>
      <c r="X676">
        <v>23</v>
      </c>
      <c r="Y676">
        <v>25</v>
      </c>
      <c r="Z676">
        <v>9</v>
      </c>
      <c r="AA676">
        <v>8</v>
      </c>
      <c r="AB676">
        <v>1</v>
      </c>
      <c r="AC676">
        <v>1332</v>
      </c>
      <c r="AD676" s="8">
        <v>41643.990277777775</v>
      </c>
      <c r="AE676" s="8"/>
      <c r="AF676" s="8"/>
    </row>
    <row r="677" spans="1:32">
      <c r="A677" t="s">
        <v>862</v>
      </c>
      <c r="B677">
        <v>6.9</v>
      </c>
      <c r="C677" s="8">
        <v>41643.997916666667</v>
      </c>
      <c r="D677">
        <v>0</v>
      </c>
      <c r="E677">
        <v>5</v>
      </c>
      <c r="F677" t="s">
        <v>21</v>
      </c>
      <c r="G677">
        <v>0</v>
      </c>
      <c r="H677">
        <v>732</v>
      </c>
      <c r="I677" t="s">
        <v>22</v>
      </c>
      <c r="J677">
        <v>0</v>
      </c>
      <c r="K677">
        <v>0.82799999999999996</v>
      </c>
      <c r="L677">
        <v>119</v>
      </c>
      <c r="M677" t="s">
        <v>23</v>
      </c>
      <c r="N677">
        <v>28.42</v>
      </c>
      <c r="O677">
        <v>-19.892700000000001</v>
      </c>
      <c r="P677">
        <v>-70.945499999999996</v>
      </c>
      <c r="Q677" t="s">
        <v>860</v>
      </c>
      <c r="R677" t="s">
        <v>78</v>
      </c>
      <c r="S677" t="s">
        <v>245</v>
      </c>
      <c r="T677">
        <v>6</v>
      </c>
      <c r="U677">
        <v>6.9</v>
      </c>
      <c r="V677">
        <v>0</v>
      </c>
      <c r="W677">
        <v>0.82799999999999996</v>
      </c>
      <c r="X677">
        <v>119</v>
      </c>
      <c r="Y677">
        <v>28.42</v>
      </c>
      <c r="Z677">
        <v>0</v>
      </c>
      <c r="AA677">
        <v>5</v>
      </c>
      <c r="AB677">
        <v>0</v>
      </c>
      <c r="AC677">
        <v>732</v>
      </c>
      <c r="AD677" s="8">
        <v>41643.997916666667</v>
      </c>
      <c r="AE677" s="8"/>
      <c r="AF677" s="8"/>
    </row>
    <row r="678" spans="1:32">
      <c r="A678" t="s">
        <v>861</v>
      </c>
      <c r="B678">
        <v>6.5</v>
      </c>
      <c r="C678" s="8">
        <v>41702.081944444442</v>
      </c>
      <c r="D678">
        <v>7</v>
      </c>
      <c r="E678">
        <v>7</v>
      </c>
      <c r="F678" t="s">
        <v>21</v>
      </c>
      <c r="G678">
        <v>0</v>
      </c>
      <c r="H678">
        <v>670</v>
      </c>
      <c r="I678" t="s">
        <v>22</v>
      </c>
      <c r="J678">
        <v>0</v>
      </c>
      <c r="K678">
        <v>0.82799999999999996</v>
      </c>
      <c r="L678">
        <v>82</v>
      </c>
      <c r="M678" t="s">
        <v>23</v>
      </c>
      <c r="N678">
        <v>24.07</v>
      </c>
      <c r="O678">
        <v>-20.311299999999999</v>
      </c>
      <c r="P678">
        <v>-70.575599999999994</v>
      </c>
      <c r="Q678" t="s">
        <v>860</v>
      </c>
      <c r="R678" t="s">
        <v>78</v>
      </c>
      <c r="S678" t="s">
        <v>245</v>
      </c>
      <c r="T678">
        <v>6</v>
      </c>
      <c r="U678">
        <v>6.5</v>
      </c>
      <c r="V678">
        <v>0</v>
      </c>
      <c r="W678">
        <v>0.82799999999999996</v>
      </c>
      <c r="X678">
        <v>82</v>
      </c>
      <c r="Y678">
        <v>24.07</v>
      </c>
      <c r="Z678">
        <v>7</v>
      </c>
      <c r="AA678">
        <v>7</v>
      </c>
      <c r="AB678">
        <v>0</v>
      </c>
      <c r="AC678">
        <v>670</v>
      </c>
      <c r="AD678" s="8">
        <v>41702.081944444442</v>
      </c>
      <c r="AE678" s="8"/>
      <c r="AF678" s="8"/>
    </row>
    <row r="679" spans="1:32">
      <c r="A679" t="s">
        <v>859</v>
      </c>
      <c r="B679">
        <v>7.7</v>
      </c>
      <c r="C679" s="8">
        <v>41702.113194444442</v>
      </c>
      <c r="D679">
        <v>8</v>
      </c>
      <c r="E679">
        <v>9</v>
      </c>
      <c r="F679" t="s">
        <v>45</v>
      </c>
      <c r="G679">
        <v>1</v>
      </c>
      <c r="H679">
        <v>1057</v>
      </c>
      <c r="I679" t="s">
        <v>22</v>
      </c>
      <c r="J679">
        <v>0</v>
      </c>
      <c r="K679">
        <v>1.0289999999999999</v>
      </c>
      <c r="L679">
        <v>44</v>
      </c>
      <c r="M679" t="s">
        <v>23</v>
      </c>
      <c r="N679">
        <v>22.4</v>
      </c>
      <c r="O679">
        <v>-20.570900000000002</v>
      </c>
      <c r="P679">
        <v>-70.493099999999998</v>
      </c>
      <c r="Q679" t="s">
        <v>860</v>
      </c>
      <c r="R679" t="s">
        <v>78</v>
      </c>
      <c r="S679" t="s">
        <v>245</v>
      </c>
      <c r="T679">
        <v>6</v>
      </c>
      <c r="U679">
        <v>7.7</v>
      </c>
      <c r="V679">
        <v>0</v>
      </c>
      <c r="W679">
        <v>1.0289999999999999</v>
      </c>
      <c r="X679">
        <v>44</v>
      </c>
      <c r="Y679">
        <v>22.4</v>
      </c>
      <c r="Z679">
        <v>8</v>
      </c>
      <c r="AA679">
        <v>9</v>
      </c>
      <c r="AB679">
        <v>1</v>
      </c>
      <c r="AC679">
        <v>1057</v>
      </c>
      <c r="AD679" s="8">
        <v>41702.113194444442</v>
      </c>
      <c r="AE679" s="8"/>
      <c r="AF679" s="8"/>
    </row>
    <row r="680" spans="1:32">
      <c r="A680" t="s">
        <v>698</v>
      </c>
      <c r="B680">
        <v>6.8</v>
      </c>
      <c r="C680" s="8">
        <v>42196.313194444447</v>
      </c>
      <c r="D680">
        <v>7</v>
      </c>
      <c r="E680">
        <v>7</v>
      </c>
      <c r="F680" t="s">
        <v>21</v>
      </c>
      <c r="G680">
        <v>1</v>
      </c>
      <c r="H680">
        <v>841</v>
      </c>
      <c r="I680" t="s">
        <v>22</v>
      </c>
      <c r="J680">
        <v>0</v>
      </c>
      <c r="K680">
        <v>0.25800000000000001</v>
      </c>
      <c r="L680">
        <v>41</v>
      </c>
      <c r="M680" t="s">
        <v>23</v>
      </c>
      <c r="N680">
        <v>46</v>
      </c>
      <c r="O680">
        <v>-30.8796</v>
      </c>
      <c r="P680">
        <v>-71.451899999999995</v>
      </c>
      <c r="Q680" t="s">
        <v>699</v>
      </c>
      <c r="R680" t="s">
        <v>78</v>
      </c>
      <c r="S680" t="s">
        <v>245</v>
      </c>
      <c r="T680">
        <v>6</v>
      </c>
      <c r="U680">
        <v>6.8</v>
      </c>
      <c r="V680">
        <v>0</v>
      </c>
      <c r="W680">
        <v>0.25800000000000001</v>
      </c>
      <c r="X680">
        <v>41</v>
      </c>
      <c r="Y680">
        <v>46</v>
      </c>
      <c r="Z680">
        <v>7</v>
      </c>
      <c r="AA680">
        <v>7</v>
      </c>
      <c r="AB680">
        <v>1</v>
      </c>
      <c r="AC680">
        <v>841</v>
      </c>
      <c r="AD680" s="8">
        <v>42196.313194444447</v>
      </c>
      <c r="AE680" s="8"/>
      <c r="AF680" s="8"/>
    </row>
    <row r="681" spans="1:32">
      <c r="A681" t="s">
        <v>781</v>
      </c>
      <c r="B681">
        <v>6.7</v>
      </c>
      <c r="C681" s="8">
        <v>42310.789583333331</v>
      </c>
      <c r="D681">
        <v>4</v>
      </c>
      <c r="E681">
        <v>6</v>
      </c>
      <c r="F681" t="s">
        <v>21</v>
      </c>
      <c r="G681">
        <v>1</v>
      </c>
      <c r="H681">
        <v>700</v>
      </c>
      <c r="I681" t="s">
        <v>22</v>
      </c>
      <c r="J681">
        <v>0</v>
      </c>
      <c r="K681">
        <v>2.11</v>
      </c>
      <c r="L681">
        <v>16</v>
      </c>
      <c r="M681" t="s">
        <v>23</v>
      </c>
      <c r="N681">
        <v>223</v>
      </c>
      <c r="O681">
        <v>-23.112500000000001</v>
      </c>
      <c r="P681">
        <v>-66.688000000000002</v>
      </c>
      <c r="Q681" t="s">
        <v>782</v>
      </c>
      <c r="R681" t="s">
        <v>78</v>
      </c>
      <c r="S681" t="s">
        <v>88</v>
      </c>
      <c r="T681">
        <v>6</v>
      </c>
      <c r="U681">
        <v>6.7</v>
      </c>
      <c r="V681">
        <v>0</v>
      </c>
      <c r="W681">
        <v>2.11</v>
      </c>
      <c r="X681">
        <v>16</v>
      </c>
      <c r="Y681">
        <v>223</v>
      </c>
      <c r="Z681">
        <v>4</v>
      </c>
      <c r="AA681">
        <v>6</v>
      </c>
      <c r="AB681">
        <v>1</v>
      </c>
      <c r="AC681">
        <v>700</v>
      </c>
      <c r="AD681" s="8">
        <v>42310.789583333331</v>
      </c>
      <c r="AE681" s="8"/>
      <c r="AF681" s="8"/>
    </row>
    <row r="682" spans="1:32">
      <c r="A682" t="s">
        <v>695</v>
      </c>
      <c r="B682">
        <v>6.9</v>
      </c>
      <c r="C682" s="8">
        <v>42319.07916666667</v>
      </c>
      <c r="D682">
        <v>6</v>
      </c>
      <c r="E682">
        <v>6</v>
      </c>
      <c r="F682" t="s">
        <v>21</v>
      </c>
      <c r="G682">
        <v>1</v>
      </c>
      <c r="H682">
        <v>761</v>
      </c>
      <c r="I682" t="s">
        <v>22</v>
      </c>
      <c r="J682">
        <v>0</v>
      </c>
      <c r="K682">
        <v>0.78400000000000003</v>
      </c>
      <c r="L682">
        <v>32</v>
      </c>
      <c r="M682" t="s">
        <v>23</v>
      </c>
      <c r="N682">
        <v>12</v>
      </c>
      <c r="O682">
        <v>-29.506699999999999</v>
      </c>
      <c r="P682">
        <v>-72.006799999999998</v>
      </c>
      <c r="Q682" t="s">
        <v>379</v>
      </c>
      <c r="R682" t="s">
        <v>78</v>
      </c>
      <c r="S682" t="s">
        <v>245</v>
      </c>
      <c r="T682">
        <v>6</v>
      </c>
      <c r="U682">
        <v>6.9</v>
      </c>
      <c r="V682">
        <v>0</v>
      </c>
      <c r="W682">
        <v>0.78400000000000003</v>
      </c>
      <c r="X682">
        <v>32</v>
      </c>
      <c r="Y682">
        <v>12</v>
      </c>
      <c r="Z682">
        <v>6</v>
      </c>
      <c r="AA682">
        <v>6</v>
      </c>
      <c r="AB682">
        <v>1</v>
      </c>
      <c r="AC682">
        <v>761</v>
      </c>
      <c r="AD682" s="8">
        <v>42319.07916666667</v>
      </c>
      <c r="AE682" s="8"/>
      <c r="AF682" s="8"/>
    </row>
    <row r="683" spans="1:32">
      <c r="A683" t="s">
        <v>694</v>
      </c>
      <c r="B683">
        <v>6.9</v>
      </c>
      <c r="C683" s="8">
        <v>42319.115277777775</v>
      </c>
      <c r="D683">
        <v>5</v>
      </c>
      <c r="E683">
        <v>6</v>
      </c>
      <c r="F683" t="s">
        <v>21</v>
      </c>
      <c r="G683">
        <v>0</v>
      </c>
      <c r="H683">
        <v>744</v>
      </c>
      <c r="I683" t="s">
        <v>22</v>
      </c>
      <c r="J683">
        <v>0</v>
      </c>
      <c r="K683">
        <v>0.82099999999999995</v>
      </c>
      <c r="L683">
        <v>43</v>
      </c>
      <c r="M683" t="s">
        <v>23</v>
      </c>
      <c r="N683">
        <v>10</v>
      </c>
      <c r="O683">
        <v>-29.509699999999999</v>
      </c>
      <c r="P683">
        <v>-72.058499999999995</v>
      </c>
      <c r="Q683" t="s">
        <v>379</v>
      </c>
      <c r="R683" t="s">
        <v>78</v>
      </c>
      <c r="S683" t="s">
        <v>245</v>
      </c>
      <c r="T683">
        <v>6</v>
      </c>
      <c r="U683">
        <v>6.9</v>
      </c>
      <c r="V683">
        <v>0</v>
      </c>
      <c r="W683">
        <v>0.82099999999999995</v>
      </c>
      <c r="X683">
        <v>43</v>
      </c>
      <c r="Y683">
        <v>10</v>
      </c>
      <c r="Z683">
        <v>5</v>
      </c>
      <c r="AA683">
        <v>6</v>
      </c>
      <c r="AB683">
        <v>0</v>
      </c>
      <c r="AC683">
        <v>744</v>
      </c>
      <c r="AD683" s="8">
        <v>42319.115277777775</v>
      </c>
      <c r="AE683" s="8"/>
      <c r="AF683" s="8"/>
    </row>
    <row r="684" spans="1:32">
      <c r="A684" t="s">
        <v>458</v>
      </c>
      <c r="B684">
        <v>6.8</v>
      </c>
      <c r="C684" s="8">
        <v>43135.569444444445</v>
      </c>
      <c r="D684">
        <v>5</v>
      </c>
      <c r="E684">
        <v>3</v>
      </c>
      <c r="F684" t="s">
        <v>21</v>
      </c>
      <c r="G684">
        <v>0</v>
      </c>
      <c r="H684">
        <v>733</v>
      </c>
      <c r="I684" t="s">
        <v>22</v>
      </c>
      <c r="J684">
        <v>0</v>
      </c>
      <c r="K684">
        <v>5.32</v>
      </c>
      <c r="L684">
        <v>16</v>
      </c>
      <c r="M684" t="s">
        <v>23</v>
      </c>
      <c r="N684">
        <v>559</v>
      </c>
      <c r="O684">
        <v>-20.658799999999999</v>
      </c>
      <c r="P684">
        <v>-63.005800000000001</v>
      </c>
      <c r="Q684" t="s">
        <v>459</v>
      </c>
      <c r="R684" t="s">
        <v>78</v>
      </c>
      <c r="S684" t="s">
        <v>460</v>
      </c>
      <c r="T684">
        <v>6</v>
      </c>
      <c r="U684">
        <v>6.8</v>
      </c>
      <c r="V684">
        <v>0</v>
      </c>
      <c r="W684">
        <v>5.32</v>
      </c>
      <c r="X684">
        <v>16</v>
      </c>
      <c r="Y684">
        <v>559</v>
      </c>
      <c r="Z684">
        <v>5</v>
      </c>
      <c r="AA684">
        <v>3</v>
      </c>
      <c r="AB684">
        <v>0</v>
      </c>
      <c r="AC684">
        <v>733</v>
      </c>
      <c r="AD684" s="8">
        <v>43135.569444444445</v>
      </c>
      <c r="AE684" s="8"/>
      <c r="AF684" s="8"/>
    </row>
    <row r="685" spans="1:32">
      <c r="A685" t="s">
        <v>367</v>
      </c>
      <c r="B685">
        <v>7</v>
      </c>
      <c r="C685" s="8">
        <v>43468.368055555555</v>
      </c>
      <c r="D685">
        <v>7</v>
      </c>
      <c r="E685">
        <v>4</v>
      </c>
      <c r="F685" t="s">
        <v>21</v>
      </c>
      <c r="G685">
        <v>1</v>
      </c>
      <c r="H685">
        <v>869</v>
      </c>
      <c r="I685" t="s">
        <v>22</v>
      </c>
      <c r="J685">
        <v>0</v>
      </c>
      <c r="K685">
        <v>2.5009999999999999</v>
      </c>
      <c r="L685">
        <v>42</v>
      </c>
      <c r="M685" t="s">
        <v>23</v>
      </c>
      <c r="N685">
        <v>267</v>
      </c>
      <c r="O685">
        <v>-14.713100000000001</v>
      </c>
      <c r="P685">
        <v>-70.154600000000002</v>
      </c>
      <c r="Q685" t="s">
        <v>82</v>
      </c>
      <c r="R685" t="s">
        <v>78</v>
      </c>
      <c r="S685" t="s">
        <v>83</v>
      </c>
      <c r="T685">
        <v>6</v>
      </c>
      <c r="U685">
        <v>7</v>
      </c>
      <c r="V685">
        <v>0</v>
      </c>
      <c r="W685">
        <v>2.5009999999999999</v>
      </c>
      <c r="X685">
        <v>42</v>
      </c>
      <c r="Y685">
        <v>267</v>
      </c>
      <c r="Z685">
        <v>7</v>
      </c>
      <c r="AA685">
        <v>4</v>
      </c>
      <c r="AB685">
        <v>1</v>
      </c>
      <c r="AC685">
        <v>869</v>
      </c>
      <c r="AD685" s="8">
        <v>43468.368055555555</v>
      </c>
      <c r="AE685" s="8"/>
      <c r="AF685" s="8"/>
    </row>
    <row r="686" spans="1:32">
      <c r="A686" t="s">
        <v>330</v>
      </c>
      <c r="B686">
        <v>6.8</v>
      </c>
      <c r="C686" s="8">
        <v>43473.769444444442</v>
      </c>
      <c r="D686">
        <v>6</v>
      </c>
      <c r="E686">
        <v>6</v>
      </c>
      <c r="F686" t="s">
        <v>21</v>
      </c>
      <c r="G686">
        <v>1</v>
      </c>
      <c r="H686">
        <v>947</v>
      </c>
      <c r="I686" t="s">
        <v>22</v>
      </c>
      <c r="J686">
        <v>0</v>
      </c>
      <c r="K686">
        <v>0.81699999999999995</v>
      </c>
      <c r="L686">
        <v>35</v>
      </c>
      <c r="M686" t="s">
        <v>23</v>
      </c>
      <c r="N686">
        <v>25</v>
      </c>
      <c r="O686">
        <v>-34.236400000000003</v>
      </c>
      <c r="P686">
        <v>-72.310199999999995</v>
      </c>
      <c r="Q686" t="s">
        <v>331</v>
      </c>
      <c r="R686" t="s">
        <v>78</v>
      </c>
      <c r="S686" t="s">
        <v>245</v>
      </c>
      <c r="T686">
        <v>6</v>
      </c>
      <c r="U686">
        <v>6.8</v>
      </c>
      <c r="V686">
        <v>0</v>
      </c>
      <c r="W686">
        <v>0.81699999999999995</v>
      </c>
      <c r="X686">
        <v>35</v>
      </c>
      <c r="Y686">
        <v>25</v>
      </c>
      <c r="Z686">
        <v>6</v>
      </c>
      <c r="AA686">
        <v>6</v>
      </c>
      <c r="AB686">
        <v>1</v>
      </c>
      <c r="AC686">
        <v>947</v>
      </c>
      <c r="AD686" s="8">
        <v>43473.769444444442</v>
      </c>
      <c r="AE686" s="8"/>
      <c r="AF686" s="8"/>
    </row>
    <row r="687" spans="1:32">
      <c r="A687" t="s">
        <v>385</v>
      </c>
      <c r="B687">
        <v>6.8</v>
      </c>
      <c r="C687" s="8">
        <v>43586.809027777781</v>
      </c>
      <c r="D687">
        <v>3</v>
      </c>
      <c r="E687">
        <v>3</v>
      </c>
      <c r="F687" t="s">
        <v>21</v>
      </c>
      <c r="G687">
        <v>0</v>
      </c>
      <c r="H687">
        <v>715</v>
      </c>
      <c r="I687" t="s">
        <v>22</v>
      </c>
      <c r="J687">
        <v>0</v>
      </c>
      <c r="K687">
        <v>1.181</v>
      </c>
      <c r="L687">
        <v>16</v>
      </c>
      <c r="M687" t="s">
        <v>23</v>
      </c>
      <c r="N687">
        <v>570.41</v>
      </c>
      <c r="O687">
        <v>-8.1440000000000001</v>
      </c>
      <c r="P687">
        <v>-71.587000000000003</v>
      </c>
      <c r="Q687" t="s">
        <v>386</v>
      </c>
      <c r="R687" t="s">
        <v>78</v>
      </c>
      <c r="S687" t="s">
        <v>79</v>
      </c>
      <c r="T687">
        <v>6</v>
      </c>
      <c r="U687">
        <v>6.8</v>
      </c>
      <c r="V687">
        <v>0</v>
      </c>
      <c r="W687">
        <v>1.181</v>
      </c>
      <c r="X687">
        <v>16</v>
      </c>
      <c r="Y687">
        <v>570.41</v>
      </c>
      <c r="Z687">
        <v>3</v>
      </c>
      <c r="AA687">
        <v>3</v>
      </c>
      <c r="AB687">
        <v>0</v>
      </c>
      <c r="AC687">
        <v>715</v>
      </c>
      <c r="AD687" s="8">
        <v>43586.809027777781</v>
      </c>
      <c r="AE687" s="8"/>
      <c r="AF687" s="8"/>
    </row>
    <row r="688" spans="1:32">
      <c r="A688" t="s">
        <v>244</v>
      </c>
      <c r="B688">
        <v>6.8</v>
      </c>
      <c r="C688" s="8">
        <v>43839.17291666667</v>
      </c>
      <c r="D688">
        <v>6</v>
      </c>
      <c r="E688">
        <v>7</v>
      </c>
      <c r="F688" t="s">
        <v>21</v>
      </c>
      <c r="G688">
        <v>1</v>
      </c>
      <c r="H688">
        <v>824</v>
      </c>
      <c r="I688" t="s">
        <v>22</v>
      </c>
      <c r="J688">
        <v>0</v>
      </c>
      <c r="K688">
        <v>0.312</v>
      </c>
      <c r="L688">
        <v>69</v>
      </c>
      <c r="M688" t="s">
        <v>23</v>
      </c>
      <c r="N688">
        <v>21</v>
      </c>
      <c r="O688">
        <v>-28.013000000000002</v>
      </c>
      <c r="P688">
        <v>-71.195800000000006</v>
      </c>
      <c r="Q688" t="s">
        <v>243</v>
      </c>
      <c r="R688" t="s">
        <v>78</v>
      </c>
      <c r="S688" t="s">
        <v>245</v>
      </c>
      <c r="T688">
        <v>6</v>
      </c>
      <c r="U688">
        <v>6.8</v>
      </c>
      <c r="V688">
        <v>0</v>
      </c>
      <c r="W688">
        <v>0.312</v>
      </c>
      <c r="X688">
        <v>69</v>
      </c>
      <c r="Y688">
        <v>21</v>
      </c>
      <c r="Z688">
        <v>6</v>
      </c>
      <c r="AA688">
        <v>7</v>
      </c>
      <c r="AB688">
        <v>1</v>
      </c>
      <c r="AC688">
        <v>824</v>
      </c>
      <c r="AD688" s="8">
        <v>43839.17291666667</v>
      </c>
      <c r="AE688" s="8"/>
      <c r="AF688" s="8"/>
    </row>
    <row r="689" spans="1:32">
      <c r="A689" t="s">
        <v>242</v>
      </c>
      <c r="B689">
        <v>6.5</v>
      </c>
      <c r="C689" s="8">
        <v>43839.881249999999</v>
      </c>
      <c r="D689">
        <v>6</v>
      </c>
      <c r="E689">
        <v>6</v>
      </c>
      <c r="F689" t="s">
        <v>21</v>
      </c>
      <c r="G689">
        <v>0</v>
      </c>
      <c r="H689">
        <v>674</v>
      </c>
      <c r="I689" t="s">
        <v>22</v>
      </c>
      <c r="J689">
        <v>0</v>
      </c>
      <c r="K689">
        <v>0.38800000000000001</v>
      </c>
      <c r="L689">
        <v>49</v>
      </c>
      <c r="M689" t="s">
        <v>23</v>
      </c>
      <c r="N689">
        <v>16</v>
      </c>
      <c r="O689">
        <v>-27.9285</v>
      </c>
      <c r="P689">
        <v>-71.393699999999995</v>
      </c>
      <c r="Q689" t="s">
        <v>243</v>
      </c>
      <c r="R689" t="s">
        <v>78</v>
      </c>
      <c r="S689" t="s">
        <v>245</v>
      </c>
      <c r="T689">
        <v>6</v>
      </c>
      <c r="U689">
        <v>6.5</v>
      </c>
      <c r="V689">
        <v>0</v>
      </c>
      <c r="W689">
        <v>0.38800000000000001</v>
      </c>
      <c r="X689">
        <v>49</v>
      </c>
      <c r="Y689">
        <v>16</v>
      </c>
      <c r="Z689">
        <v>6</v>
      </c>
      <c r="AA689">
        <v>6</v>
      </c>
      <c r="AB689">
        <v>0</v>
      </c>
      <c r="AC689">
        <v>674</v>
      </c>
      <c r="AD689" s="8">
        <v>43839.881249999999</v>
      </c>
      <c r="AE689" s="8"/>
      <c r="AF689" s="8"/>
    </row>
    <row r="690" spans="1:32">
      <c r="A690" t="s">
        <v>273</v>
      </c>
      <c r="B690">
        <v>6.8</v>
      </c>
      <c r="C690" s="8">
        <v>43896.315972222219</v>
      </c>
      <c r="D690">
        <v>6</v>
      </c>
      <c r="E690">
        <v>6</v>
      </c>
      <c r="F690" t="s">
        <v>21</v>
      </c>
      <c r="G690">
        <v>1</v>
      </c>
      <c r="H690">
        <v>835</v>
      </c>
      <c r="I690" t="s">
        <v>22</v>
      </c>
      <c r="J690">
        <v>0</v>
      </c>
      <c r="K690">
        <v>1.1639999999999999</v>
      </c>
      <c r="L690">
        <v>21</v>
      </c>
      <c r="M690" t="s">
        <v>23</v>
      </c>
      <c r="N690">
        <v>112</v>
      </c>
      <c r="O690">
        <v>-23.296600000000002</v>
      </c>
      <c r="P690">
        <v>-68.420400000000001</v>
      </c>
      <c r="Q690" t="s">
        <v>274</v>
      </c>
      <c r="R690" t="s">
        <v>78</v>
      </c>
      <c r="S690" t="s">
        <v>245</v>
      </c>
      <c r="T690">
        <v>6</v>
      </c>
      <c r="U690">
        <v>6.8</v>
      </c>
      <c r="V690">
        <v>0</v>
      </c>
      <c r="W690">
        <v>1.1639999999999999</v>
      </c>
      <c r="X690">
        <v>21</v>
      </c>
      <c r="Y690">
        <v>112</v>
      </c>
      <c r="Z690">
        <v>6</v>
      </c>
      <c r="AA690">
        <v>6</v>
      </c>
      <c r="AB690">
        <v>1</v>
      </c>
      <c r="AC690">
        <v>835</v>
      </c>
      <c r="AD690" s="8">
        <v>43896.315972222219</v>
      </c>
      <c r="AE690" s="8"/>
      <c r="AF690" s="8"/>
    </row>
    <row r="691" spans="1:32">
      <c r="A691" t="s">
        <v>112</v>
      </c>
      <c r="B691">
        <v>6.5</v>
      </c>
      <c r="C691" s="8">
        <v>44622.665277777778</v>
      </c>
      <c r="D691">
        <v>8</v>
      </c>
      <c r="E691">
        <v>6</v>
      </c>
      <c r="F691" t="s">
        <v>21</v>
      </c>
      <c r="G691">
        <v>0</v>
      </c>
      <c r="H691">
        <v>690</v>
      </c>
      <c r="I691" t="s">
        <v>22</v>
      </c>
      <c r="J691">
        <v>0</v>
      </c>
      <c r="K691">
        <v>3.0259999999999998</v>
      </c>
      <c r="L691">
        <v>22</v>
      </c>
      <c r="M691" t="s">
        <v>23</v>
      </c>
      <c r="N691">
        <v>110</v>
      </c>
      <c r="O691">
        <v>-4.4550000000000001</v>
      </c>
      <c r="P691">
        <v>-76.939499999999995</v>
      </c>
      <c r="Q691" t="s">
        <v>113</v>
      </c>
      <c r="R691" t="s">
        <v>78</v>
      </c>
      <c r="S691" t="s">
        <v>83</v>
      </c>
      <c r="T691">
        <v>6</v>
      </c>
      <c r="U691">
        <v>6.5</v>
      </c>
      <c r="V691">
        <v>0</v>
      </c>
      <c r="W691">
        <v>3.0259999999999998</v>
      </c>
      <c r="X691">
        <v>22</v>
      </c>
      <c r="Y691">
        <v>110</v>
      </c>
      <c r="Z691">
        <v>8</v>
      </c>
      <c r="AA691">
        <v>6</v>
      </c>
      <c r="AB691">
        <v>0</v>
      </c>
      <c r="AC691">
        <v>690</v>
      </c>
      <c r="AD691" s="8">
        <v>44622.665277777778</v>
      </c>
      <c r="AE691" s="8"/>
      <c r="AF691" s="8"/>
    </row>
    <row r="692" spans="1:32">
      <c r="A692" t="s">
        <v>76</v>
      </c>
      <c r="B692">
        <v>6.5</v>
      </c>
      <c r="C692" s="8">
        <v>44779.038194444445</v>
      </c>
      <c r="D692">
        <v>3</v>
      </c>
      <c r="E692">
        <v>2</v>
      </c>
      <c r="F692" t="s">
        <v>21</v>
      </c>
      <c r="G692">
        <v>0</v>
      </c>
      <c r="H692">
        <v>653</v>
      </c>
      <c r="I692" t="s">
        <v>22</v>
      </c>
      <c r="J692">
        <v>236</v>
      </c>
      <c r="K692">
        <v>1.9990000000000001</v>
      </c>
      <c r="L692">
        <v>31</v>
      </c>
      <c r="M692" t="s">
        <v>23</v>
      </c>
      <c r="N692">
        <v>622.73</v>
      </c>
      <c r="O692">
        <v>-9.0617999999999999</v>
      </c>
      <c r="P692">
        <v>-71.164699999999996</v>
      </c>
      <c r="Q692" t="s">
        <v>77</v>
      </c>
      <c r="R692" t="s">
        <v>78</v>
      </c>
      <c r="S692" t="s">
        <v>79</v>
      </c>
      <c r="T692">
        <v>6</v>
      </c>
      <c r="U692">
        <v>6.5</v>
      </c>
      <c r="V692">
        <v>236</v>
      </c>
      <c r="W692">
        <v>1.9990000000000001</v>
      </c>
      <c r="X692">
        <v>31</v>
      </c>
      <c r="Y692">
        <v>622.73</v>
      </c>
      <c r="Z692">
        <v>3</v>
      </c>
      <c r="AA692">
        <v>2</v>
      </c>
      <c r="AB692">
        <v>0</v>
      </c>
      <c r="AC692">
        <v>653</v>
      </c>
      <c r="AD692" s="8">
        <v>44779.038194444445</v>
      </c>
      <c r="AE692" s="8"/>
      <c r="AF692" s="8"/>
    </row>
    <row r="693" spans="1:32">
      <c r="A693" t="s">
        <v>86</v>
      </c>
      <c r="B693">
        <v>6.8</v>
      </c>
      <c r="C693" s="8">
        <v>44839.962500000001</v>
      </c>
      <c r="D693">
        <v>6</v>
      </c>
      <c r="E693">
        <v>5</v>
      </c>
      <c r="F693" t="s">
        <v>21</v>
      </c>
      <c r="G693">
        <v>1</v>
      </c>
      <c r="H693">
        <v>762</v>
      </c>
      <c r="I693" t="s">
        <v>22</v>
      </c>
      <c r="J693">
        <v>162</v>
      </c>
      <c r="K693">
        <v>1.5049999999999999</v>
      </c>
      <c r="L693">
        <v>30</v>
      </c>
      <c r="M693" t="s">
        <v>23</v>
      </c>
      <c r="N693">
        <v>220</v>
      </c>
      <c r="O693">
        <v>-23.614100000000001</v>
      </c>
      <c r="P693">
        <v>-66.723600000000005</v>
      </c>
      <c r="Q693" t="s">
        <v>87</v>
      </c>
      <c r="R693" t="s">
        <v>78</v>
      </c>
      <c r="S693" t="s">
        <v>88</v>
      </c>
      <c r="T693">
        <v>6</v>
      </c>
      <c r="U693">
        <v>6.8</v>
      </c>
      <c r="V693">
        <v>162</v>
      </c>
      <c r="W693">
        <v>1.5049999999999999</v>
      </c>
      <c r="X693">
        <v>30</v>
      </c>
      <c r="Y693">
        <v>220</v>
      </c>
      <c r="Z693">
        <v>6</v>
      </c>
      <c r="AA693">
        <v>5</v>
      </c>
      <c r="AB693">
        <v>1</v>
      </c>
      <c r="AC693">
        <v>762</v>
      </c>
      <c r="AD693" s="8">
        <v>44839.962500000001</v>
      </c>
      <c r="AE693" s="8"/>
      <c r="AF693" s="8"/>
    </row>
    <row r="694" spans="1:32">
      <c r="A694" t="s">
        <v>1473</v>
      </c>
      <c r="B694">
        <v>7.8</v>
      </c>
      <c r="C694" s="8" t="s">
        <v>1474</v>
      </c>
      <c r="D694">
        <v>8</v>
      </c>
      <c r="E694">
        <v>7</v>
      </c>
      <c r="G694">
        <v>0</v>
      </c>
      <c r="H694">
        <v>1020</v>
      </c>
      <c r="I694" t="s">
        <v>22</v>
      </c>
      <c r="J694">
        <v>714</v>
      </c>
      <c r="K694">
        <v>0</v>
      </c>
      <c r="L694">
        <v>16.100000000000001</v>
      </c>
      <c r="M694" t="s">
        <v>36</v>
      </c>
      <c r="N694">
        <v>115.6</v>
      </c>
      <c r="O694">
        <v>-19.986999999999998</v>
      </c>
      <c r="P694">
        <v>-69.197000000000003</v>
      </c>
      <c r="Q694" t="s">
        <v>860</v>
      </c>
      <c r="R694" t="s">
        <v>78</v>
      </c>
      <c r="S694" t="s">
        <v>245</v>
      </c>
      <c r="T694">
        <v>6</v>
      </c>
      <c r="U694">
        <v>7.8</v>
      </c>
      <c r="V694">
        <v>714</v>
      </c>
      <c r="W694">
        <v>0</v>
      </c>
      <c r="X694">
        <v>16.100000000000001</v>
      </c>
      <c r="Y694">
        <v>115.6</v>
      </c>
      <c r="Z694">
        <v>8</v>
      </c>
      <c r="AA694">
        <v>7</v>
      </c>
      <c r="AB694">
        <v>0</v>
      </c>
      <c r="AC694">
        <v>1020</v>
      </c>
      <c r="AD694" s="8">
        <v>38516</v>
      </c>
      <c r="AE694" s="8"/>
      <c r="AF694" s="8"/>
    </row>
    <row r="695" spans="1:32">
      <c r="A695" t="s">
        <v>1370</v>
      </c>
      <c r="B695">
        <v>6.7</v>
      </c>
      <c r="C695" s="8" t="s">
        <v>1371</v>
      </c>
      <c r="D695">
        <v>6</v>
      </c>
      <c r="E695">
        <v>6</v>
      </c>
      <c r="G695">
        <v>0</v>
      </c>
      <c r="H695">
        <v>972</v>
      </c>
      <c r="I695" t="s">
        <v>22</v>
      </c>
      <c r="J695">
        <v>468</v>
      </c>
      <c r="K695">
        <v>0</v>
      </c>
      <c r="L695">
        <v>37.700000000000003</v>
      </c>
      <c r="M695" t="s">
        <v>829</v>
      </c>
      <c r="N695">
        <v>23</v>
      </c>
      <c r="O695">
        <v>13.554</v>
      </c>
      <c r="P695">
        <v>-90.617999999999995</v>
      </c>
      <c r="Q695" t="s">
        <v>1372</v>
      </c>
      <c r="R695" t="s">
        <v>78</v>
      </c>
      <c r="S695" t="s">
        <v>534</v>
      </c>
      <c r="T695">
        <v>6</v>
      </c>
      <c r="U695">
        <v>6.7</v>
      </c>
      <c r="V695">
        <v>468</v>
      </c>
      <c r="W695">
        <v>0</v>
      </c>
      <c r="X695">
        <v>37.700000000000003</v>
      </c>
      <c r="Y695">
        <v>23</v>
      </c>
      <c r="Z695">
        <v>6</v>
      </c>
      <c r="AA695">
        <v>6</v>
      </c>
      <c r="AB695">
        <v>0</v>
      </c>
      <c r="AC695">
        <v>972</v>
      </c>
      <c r="AD695" s="8">
        <v>39246</v>
      </c>
      <c r="AE695" s="8"/>
      <c r="AF695" s="8"/>
    </row>
    <row r="696" spans="1:32">
      <c r="A696" t="s">
        <v>922</v>
      </c>
      <c r="B696">
        <v>6.7</v>
      </c>
      <c r="C696" s="8" t="s">
        <v>923</v>
      </c>
      <c r="D696">
        <v>4</v>
      </c>
      <c r="E696">
        <v>5</v>
      </c>
      <c r="F696" t="s">
        <v>21</v>
      </c>
      <c r="G696">
        <v>1</v>
      </c>
      <c r="H696">
        <v>715</v>
      </c>
      <c r="I696" t="s">
        <v>22</v>
      </c>
      <c r="J696">
        <v>0</v>
      </c>
      <c r="K696">
        <v>3.7410000000000001</v>
      </c>
      <c r="L696">
        <v>22</v>
      </c>
      <c r="M696" t="s">
        <v>23</v>
      </c>
      <c r="N696">
        <v>12</v>
      </c>
      <c r="O696">
        <v>5.7732000000000001</v>
      </c>
      <c r="P696">
        <v>-78.1999</v>
      </c>
      <c r="Q696" t="s">
        <v>924</v>
      </c>
      <c r="R696" t="s">
        <v>78</v>
      </c>
      <c r="S696" t="s">
        <v>973</v>
      </c>
      <c r="T696">
        <v>6</v>
      </c>
      <c r="U696">
        <v>6.7</v>
      </c>
      <c r="V696">
        <v>0</v>
      </c>
      <c r="W696">
        <v>3.7410000000000001</v>
      </c>
      <c r="X696">
        <v>22</v>
      </c>
      <c r="Y696">
        <v>12</v>
      </c>
      <c r="Z696">
        <v>4</v>
      </c>
      <c r="AA696">
        <v>5</v>
      </c>
      <c r="AB696">
        <v>1</v>
      </c>
      <c r="AC696">
        <v>715</v>
      </c>
      <c r="AD696" s="8">
        <v>41499</v>
      </c>
      <c r="AE696" s="8"/>
      <c r="AF696" s="8"/>
    </row>
    <row r="697" spans="1:32">
      <c r="A697" t="s">
        <v>1207</v>
      </c>
      <c r="B697">
        <v>6.5</v>
      </c>
      <c r="C697" s="8" t="s">
        <v>1208</v>
      </c>
      <c r="D697">
        <v>6</v>
      </c>
      <c r="E697">
        <v>7</v>
      </c>
      <c r="G697">
        <v>0</v>
      </c>
      <c r="H697">
        <v>698</v>
      </c>
      <c r="I697" t="s">
        <v>22</v>
      </c>
      <c r="J697">
        <v>390</v>
      </c>
      <c r="K697">
        <v>0</v>
      </c>
      <c r="L697">
        <v>17.7</v>
      </c>
      <c r="M697" t="s">
        <v>829</v>
      </c>
      <c r="N697">
        <v>27</v>
      </c>
      <c r="O697">
        <v>-19.393999999999998</v>
      </c>
      <c r="P697">
        <v>-70.320999999999998</v>
      </c>
      <c r="Q697" t="s">
        <v>860</v>
      </c>
      <c r="R697" t="s">
        <v>78</v>
      </c>
      <c r="S697" t="s">
        <v>245</v>
      </c>
      <c r="T697">
        <v>6</v>
      </c>
      <c r="U697">
        <v>6.5</v>
      </c>
      <c r="V697">
        <v>390</v>
      </c>
      <c r="W697">
        <v>0</v>
      </c>
      <c r="X697">
        <v>17.7</v>
      </c>
      <c r="Y697">
        <v>27</v>
      </c>
      <c r="Z697">
        <v>6</v>
      </c>
      <c r="AA697">
        <v>7</v>
      </c>
      <c r="AB697">
        <v>0</v>
      </c>
      <c r="AC697">
        <v>698</v>
      </c>
      <c r="AD697" s="8">
        <v>40130</v>
      </c>
      <c r="AE697" s="8"/>
      <c r="AF697" s="8"/>
    </row>
    <row r="698" spans="1:32">
      <c r="A698" t="s">
        <v>477</v>
      </c>
      <c r="B698">
        <v>7.1</v>
      </c>
      <c r="C698" s="8" t="s">
        <v>478</v>
      </c>
      <c r="D698">
        <v>9</v>
      </c>
      <c r="E698">
        <v>7</v>
      </c>
      <c r="F698" t="s">
        <v>21</v>
      </c>
      <c r="G698">
        <v>1</v>
      </c>
      <c r="H698">
        <v>1075</v>
      </c>
      <c r="I698" t="s">
        <v>22</v>
      </c>
      <c r="J698">
        <v>0</v>
      </c>
      <c r="K698">
        <v>4.29</v>
      </c>
      <c r="L698">
        <v>23</v>
      </c>
      <c r="M698" t="s">
        <v>23</v>
      </c>
      <c r="N698">
        <v>39</v>
      </c>
      <c r="O698">
        <v>-15.7675</v>
      </c>
      <c r="P698">
        <v>-74.709199999999996</v>
      </c>
      <c r="Q698" t="s">
        <v>479</v>
      </c>
      <c r="R698" t="s">
        <v>78</v>
      </c>
      <c r="S698" t="s">
        <v>83</v>
      </c>
      <c r="T698">
        <v>6</v>
      </c>
      <c r="U698">
        <v>7.1</v>
      </c>
      <c r="V698">
        <v>0</v>
      </c>
      <c r="W698">
        <v>4.29</v>
      </c>
      <c r="X698">
        <v>23</v>
      </c>
      <c r="Y698">
        <v>39</v>
      </c>
      <c r="Z698">
        <v>9</v>
      </c>
      <c r="AA698">
        <v>7</v>
      </c>
      <c r="AB698">
        <v>1</v>
      </c>
      <c r="AC698">
        <v>1075</v>
      </c>
      <c r="AD698" s="8">
        <v>43114</v>
      </c>
      <c r="AE698" s="8"/>
      <c r="AF698" s="8"/>
    </row>
    <row r="699" spans="1:32">
      <c r="A699" t="s">
        <v>1116</v>
      </c>
      <c r="B699">
        <v>6.7</v>
      </c>
      <c r="C699" s="8" t="s">
        <v>1117</v>
      </c>
      <c r="D699">
        <v>5</v>
      </c>
      <c r="E699">
        <v>6</v>
      </c>
      <c r="G699">
        <v>0</v>
      </c>
      <c r="H699">
        <v>731</v>
      </c>
      <c r="I699" t="s">
        <v>22</v>
      </c>
      <c r="J699">
        <v>358</v>
      </c>
      <c r="K699">
        <v>0</v>
      </c>
      <c r="L699">
        <v>33.9</v>
      </c>
      <c r="M699" t="s">
        <v>23</v>
      </c>
      <c r="N699">
        <v>21</v>
      </c>
      <c r="O699">
        <v>-35.380000000000003</v>
      </c>
      <c r="P699">
        <v>-72.834000000000003</v>
      </c>
      <c r="Q699" t="s">
        <v>320</v>
      </c>
      <c r="R699" t="s">
        <v>78</v>
      </c>
      <c r="S699" t="s">
        <v>245</v>
      </c>
      <c r="T699">
        <v>6</v>
      </c>
      <c r="U699">
        <v>6.7</v>
      </c>
      <c r="V699">
        <v>358</v>
      </c>
      <c r="W699">
        <v>0</v>
      </c>
      <c r="X699">
        <v>33.9</v>
      </c>
      <c r="Y699">
        <v>21</v>
      </c>
      <c r="Z699">
        <v>5</v>
      </c>
      <c r="AA699">
        <v>6</v>
      </c>
      <c r="AB699">
        <v>0</v>
      </c>
      <c r="AC699">
        <v>731</v>
      </c>
      <c r="AD699" s="8">
        <v>40588</v>
      </c>
      <c r="AE699" s="8"/>
      <c r="AF699" s="8"/>
    </row>
    <row r="700" spans="1:32">
      <c r="A700" t="s">
        <v>1156</v>
      </c>
      <c r="B700">
        <v>6.6</v>
      </c>
      <c r="C700" s="8" t="s">
        <v>1157</v>
      </c>
      <c r="D700">
        <v>6</v>
      </c>
      <c r="E700">
        <v>7</v>
      </c>
      <c r="G700">
        <v>0</v>
      </c>
      <c r="H700">
        <v>753</v>
      </c>
      <c r="I700" t="s">
        <v>22</v>
      </c>
      <c r="J700">
        <v>295</v>
      </c>
      <c r="K700">
        <v>0</v>
      </c>
      <c r="L700">
        <v>52.8</v>
      </c>
      <c r="M700" t="s">
        <v>829</v>
      </c>
      <c r="N700">
        <v>22</v>
      </c>
      <c r="O700">
        <v>-38.067</v>
      </c>
      <c r="P700">
        <v>-73.31</v>
      </c>
      <c r="Q700" t="s">
        <v>1158</v>
      </c>
      <c r="R700" t="s">
        <v>78</v>
      </c>
      <c r="S700" t="s">
        <v>245</v>
      </c>
      <c r="T700">
        <v>6</v>
      </c>
      <c r="U700">
        <v>6.6</v>
      </c>
      <c r="V700">
        <v>295</v>
      </c>
      <c r="W700">
        <v>0</v>
      </c>
      <c r="X700">
        <v>52.8</v>
      </c>
      <c r="Y700">
        <v>22</v>
      </c>
      <c r="Z700">
        <v>6</v>
      </c>
      <c r="AA700">
        <v>7</v>
      </c>
      <c r="AB700">
        <v>0</v>
      </c>
      <c r="AC700">
        <v>753</v>
      </c>
      <c r="AD700" s="8">
        <v>40373</v>
      </c>
      <c r="AE700" s="8"/>
      <c r="AF700" s="8"/>
    </row>
    <row r="701" spans="1:32">
      <c r="A701" t="s">
        <v>1331</v>
      </c>
      <c r="B701">
        <v>7.7</v>
      </c>
      <c r="C701" s="8" t="s">
        <v>1332</v>
      </c>
      <c r="D701">
        <v>8</v>
      </c>
      <c r="E701">
        <v>7</v>
      </c>
      <c r="G701">
        <v>0</v>
      </c>
      <c r="H701">
        <v>995</v>
      </c>
      <c r="I701" t="s">
        <v>22</v>
      </c>
      <c r="J701">
        <v>610</v>
      </c>
      <c r="K701">
        <v>0</v>
      </c>
      <c r="L701">
        <v>22.4</v>
      </c>
      <c r="M701" t="s">
        <v>829</v>
      </c>
      <c r="N701">
        <v>40</v>
      </c>
      <c r="O701">
        <v>-22.247</v>
      </c>
      <c r="P701">
        <v>-69.89</v>
      </c>
      <c r="Q701" t="s">
        <v>1333</v>
      </c>
      <c r="R701" t="s">
        <v>78</v>
      </c>
      <c r="S701" t="s">
        <v>245</v>
      </c>
      <c r="T701">
        <v>6</v>
      </c>
      <c r="U701">
        <v>7.7</v>
      </c>
      <c r="V701">
        <v>610</v>
      </c>
      <c r="W701">
        <v>0</v>
      </c>
      <c r="X701">
        <v>22.4</v>
      </c>
      <c r="Y701">
        <v>40</v>
      </c>
      <c r="Z701">
        <v>8</v>
      </c>
      <c r="AA701">
        <v>7</v>
      </c>
      <c r="AB701">
        <v>0</v>
      </c>
      <c r="AC701">
        <v>995</v>
      </c>
      <c r="AD701" s="8">
        <v>39400</v>
      </c>
      <c r="AE701" s="8"/>
      <c r="AF701" s="8"/>
    </row>
    <row r="702" spans="1:32">
      <c r="A702" t="s">
        <v>1355</v>
      </c>
      <c r="B702">
        <v>8</v>
      </c>
      <c r="C702" s="8" t="s">
        <v>1356</v>
      </c>
      <c r="D702">
        <v>9</v>
      </c>
      <c r="E702">
        <v>8</v>
      </c>
      <c r="G702">
        <v>0</v>
      </c>
      <c r="H702">
        <v>1385</v>
      </c>
      <c r="I702" t="s">
        <v>22</v>
      </c>
      <c r="J702">
        <v>625</v>
      </c>
      <c r="K702">
        <v>0</v>
      </c>
      <c r="L702">
        <v>25.7</v>
      </c>
      <c r="M702" t="s">
        <v>829</v>
      </c>
      <c r="N702">
        <v>39</v>
      </c>
      <c r="O702">
        <v>-13.385999999999999</v>
      </c>
      <c r="P702">
        <v>-76.602999999999994</v>
      </c>
      <c r="Q702" t="s">
        <v>1357</v>
      </c>
      <c r="R702" t="s">
        <v>78</v>
      </c>
      <c r="S702" t="s">
        <v>83</v>
      </c>
      <c r="T702">
        <v>6</v>
      </c>
      <c r="U702">
        <v>8</v>
      </c>
      <c r="V702">
        <v>625</v>
      </c>
      <c r="W702">
        <v>0</v>
      </c>
      <c r="X702">
        <v>25.7</v>
      </c>
      <c r="Y702">
        <v>39</v>
      </c>
      <c r="Z702">
        <v>9</v>
      </c>
      <c r="AA702">
        <v>8</v>
      </c>
      <c r="AB702">
        <v>0</v>
      </c>
      <c r="AC702">
        <v>1385</v>
      </c>
      <c r="AD702" s="8">
        <v>39309</v>
      </c>
      <c r="AE702" s="8"/>
      <c r="AF702" s="8"/>
    </row>
    <row r="703" spans="1:32">
      <c r="A703" t="s">
        <v>1523</v>
      </c>
      <c r="B703">
        <v>7.2</v>
      </c>
      <c r="C703" s="8" t="s">
        <v>1524</v>
      </c>
      <c r="D703">
        <v>8</v>
      </c>
      <c r="E703">
        <v>8</v>
      </c>
      <c r="G703">
        <v>0</v>
      </c>
      <c r="H703">
        <v>820</v>
      </c>
      <c r="I703" t="s">
        <v>22</v>
      </c>
      <c r="J703">
        <v>708</v>
      </c>
      <c r="K703">
        <v>0</v>
      </c>
      <c r="L703">
        <v>50.2</v>
      </c>
      <c r="M703" t="s">
        <v>36</v>
      </c>
      <c r="N703">
        <v>15</v>
      </c>
      <c r="O703">
        <v>4.6950000000000003</v>
      </c>
      <c r="P703">
        <v>-77.507999999999996</v>
      </c>
      <c r="Q703" t="s">
        <v>1525</v>
      </c>
      <c r="R703" t="s">
        <v>78</v>
      </c>
      <c r="S703" t="s">
        <v>973</v>
      </c>
      <c r="T703">
        <v>6</v>
      </c>
      <c r="U703">
        <v>7.2</v>
      </c>
      <c r="V703">
        <v>708</v>
      </c>
      <c r="W703">
        <v>0</v>
      </c>
      <c r="X703">
        <v>50.2</v>
      </c>
      <c r="Y703">
        <v>15</v>
      </c>
      <c r="Z703">
        <v>8</v>
      </c>
      <c r="AA703">
        <v>8</v>
      </c>
      <c r="AB703">
        <v>0</v>
      </c>
      <c r="AC703">
        <v>820</v>
      </c>
      <c r="AD703" s="8">
        <v>38306</v>
      </c>
      <c r="AE703" s="8"/>
      <c r="AF703" s="8"/>
    </row>
    <row r="704" spans="1:32">
      <c r="A704" t="s">
        <v>1329</v>
      </c>
      <c r="B704">
        <v>6.8</v>
      </c>
      <c r="C704" s="8" t="s">
        <v>1330</v>
      </c>
      <c r="D704">
        <v>6</v>
      </c>
      <c r="E704">
        <v>7</v>
      </c>
      <c r="G704">
        <v>0</v>
      </c>
      <c r="H704">
        <v>716</v>
      </c>
      <c r="I704" t="s">
        <v>22</v>
      </c>
      <c r="J704">
        <v>285</v>
      </c>
      <c r="K704">
        <v>0</v>
      </c>
      <c r="L704">
        <v>40.1</v>
      </c>
      <c r="M704" t="s">
        <v>829</v>
      </c>
      <c r="N704">
        <v>26</v>
      </c>
      <c r="O704">
        <v>-22.925000000000001</v>
      </c>
      <c r="P704">
        <v>-70.236999999999995</v>
      </c>
      <c r="Q704" t="s">
        <v>1312</v>
      </c>
      <c r="R704" t="s">
        <v>78</v>
      </c>
      <c r="S704" t="s">
        <v>245</v>
      </c>
      <c r="T704">
        <v>6</v>
      </c>
      <c r="U704">
        <v>6.8</v>
      </c>
      <c r="V704">
        <v>285</v>
      </c>
      <c r="W704">
        <v>0</v>
      </c>
      <c r="X704">
        <v>40.1</v>
      </c>
      <c r="Y704">
        <v>26</v>
      </c>
      <c r="Z704">
        <v>6</v>
      </c>
      <c r="AA704">
        <v>7</v>
      </c>
      <c r="AB704">
        <v>0</v>
      </c>
      <c r="AC704">
        <v>716</v>
      </c>
      <c r="AD704" s="8">
        <v>39401</v>
      </c>
      <c r="AE704" s="8"/>
      <c r="AF704" s="8"/>
    </row>
    <row r="705" spans="1:32">
      <c r="A705" t="s">
        <v>1181</v>
      </c>
      <c r="B705">
        <v>6.7</v>
      </c>
      <c r="C705" s="8" t="s">
        <v>1182</v>
      </c>
      <c r="D705">
        <v>5</v>
      </c>
      <c r="E705">
        <v>6</v>
      </c>
      <c r="G705">
        <v>0</v>
      </c>
      <c r="H705">
        <v>856</v>
      </c>
      <c r="I705" t="s">
        <v>22</v>
      </c>
      <c r="J705">
        <v>312</v>
      </c>
      <c r="K705">
        <v>0</v>
      </c>
      <c r="L705">
        <v>34.700000000000003</v>
      </c>
      <c r="M705" t="s">
        <v>829</v>
      </c>
      <c r="N705">
        <v>18</v>
      </c>
      <c r="O705">
        <v>-36.216999999999999</v>
      </c>
      <c r="P705">
        <v>-73.257000000000005</v>
      </c>
      <c r="Q705" t="s">
        <v>1119</v>
      </c>
      <c r="R705" t="s">
        <v>78</v>
      </c>
      <c r="S705" t="s">
        <v>245</v>
      </c>
      <c r="T705">
        <v>6</v>
      </c>
      <c r="U705">
        <v>6.7</v>
      </c>
      <c r="V705">
        <v>312</v>
      </c>
      <c r="W705">
        <v>0</v>
      </c>
      <c r="X705">
        <v>34.700000000000003</v>
      </c>
      <c r="Y705">
        <v>18</v>
      </c>
      <c r="Z705">
        <v>5</v>
      </c>
      <c r="AA705">
        <v>6</v>
      </c>
      <c r="AB705">
        <v>0</v>
      </c>
      <c r="AC705">
        <v>856</v>
      </c>
      <c r="AD705" s="8">
        <v>40253</v>
      </c>
      <c r="AE705" s="8"/>
      <c r="AF705" s="8"/>
    </row>
    <row r="706" spans="1:32">
      <c r="A706" t="s">
        <v>864</v>
      </c>
      <c r="B706">
        <v>6.7</v>
      </c>
      <c r="C706" s="8" t="s">
        <v>865</v>
      </c>
      <c r="D706">
        <v>7</v>
      </c>
      <c r="E706">
        <v>7</v>
      </c>
      <c r="F706" t="s">
        <v>21</v>
      </c>
      <c r="G706">
        <v>1</v>
      </c>
      <c r="H706">
        <v>718</v>
      </c>
      <c r="I706" t="s">
        <v>22</v>
      </c>
      <c r="J706">
        <v>0</v>
      </c>
      <c r="K706">
        <v>1.008</v>
      </c>
      <c r="L706">
        <v>44</v>
      </c>
      <c r="M706" t="s">
        <v>23</v>
      </c>
      <c r="N706">
        <v>20</v>
      </c>
      <c r="O706">
        <v>-19.980699999999999</v>
      </c>
      <c r="P706">
        <v>-70.702200000000005</v>
      </c>
      <c r="Q706" t="s">
        <v>860</v>
      </c>
      <c r="R706" t="s">
        <v>78</v>
      </c>
      <c r="S706" t="s">
        <v>245</v>
      </c>
      <c r="T706">
        <v>6</v>
      </c>
      <c r="U706">
        <v>6.7</v>
      </c>
      <c r="V706">
        <v>0</v>
      </c>
      <c r="W706">
        <v>1.008</v>
      </c>
      <c r="X706">
        <v>44</v>
      </c>
      <c r="Y706">
        <v>20</v>
      </c>
      <c r="Z706">
        <v>7</v>
      </c>
      <c r="AA706">
        <v>7</v>
      </c>
      <c r="AB706">
        <v>1</v>
      </c>
      <c r="AC706">
        <v>718</v>
      </c>
      <c r="AD706" s="8">
        <v>41714</v>
      </c>
      <c r="AE706" s="8"/>
      <c r="AF706" s="8"/>
    </row>
    <row r="707" spans="1:32">
      <c r="A707" t="s">
        <v>639</v>
      </c>
      <c r="B707">
        <v>7.8</v>
      </c>
      <c r="C707" s="8" t="s">
        <v>640</v>
      </c>
      <c r="D707">
        <v>9</v>
      </c>
      <c r="E707">
        <v>9</v>
      </c>
      <c r="F707" t="s">
        <v>66</v>
      </c>
      <c r="G707">
        <v>1</v>
      </c>
      <c r="H707">
        <v>1163</v>
      </c>
      <c r="I707" t="s">
        <v>22</v>
      </c>
      <c r="J707">
        <v>0</v>
      </c>
      <c r="K707">
        <v>1.44</v>
      </c>
      <c r="L707">
        <v>15</v>
      </c>
      <c r="M707" t="s">
        <v>23</v>
      </c>
      <c r="N707">
        <v>20.59</v>
      </c>
      <c r="O707">
        <v>0.38190000000000002</v>
      </c>
      <c r="P707">
        <v>-79.921800000000005</v>
      </c>
      <c r="Q707" t="s">
        <v>635</v>
      </c>
      <c r="R707" t="s">
        <v>78</v>
      </c>
      <c r="S707" t="s">
        <v>371</v>
      </c>
      <c r="T707">
        <v>6</v>
      </c>
      <c r="U707">
        <v>7.8</v>
      </c>
      <c r="V707">
        <v>0</v>
      </c>
      <c r="W707">
        <v>1.44</v>
      </c>
      <c r="X707">
        <v>15</v>
      </c>
      <c r="Y707">
        <v>20.59</v>
      </c>
      <c r="Z707">
        <v>9</v>
      </c>
      <c r="AA707">
        <v>9</v>
      </c>
      <c r="AB707">
        <v>1</v>
      </c>
      <c r="AC707">
        <v>1163</v>
      </c>
      <c r="AD707" s="8">
        <v>42476</v>
      </c>
      <c r="AE707" s="8"/>
      <c r="AF707" s="8"/>
    </row>
    <row r="708" spans="1:32">
      <c r="A708" t="s">
        <v>719</v>
      </c>
      <c r="B708">
        <v>8.3000000000000007</v>
      </c>
      <c r="C708" s="8" t="s">
        <v>720</v>
      </c>
      <c r="D708">
        <v>9</v>
      </c>
      <c r="E708">
        <v>8</v>
      </c>
      <c r="F708" t="s">
        <v>66</v>
      </c>
      <c r="G708">
        <v>1</v>
      </c>
      <c r="H708">
        <v>1960</v>
      </c>
      <c r="I708" t="s">
        <v>22</v>
      </c>
      <c r="J708">
        <v>0</v>
      </c>
      <c r="K708">
        <v>0.68400000000000005</v>
      </c>
      <c r="L708">
        <v>19</v>
      </c>
      <c r="M708" t="s">
        <v>23</v>
      </c>
      <c r="N708">
        <v>22.44</v>
      </c>
      <c r="O708">
        <v>-31.572900000000001</v>
      </c>
      <c r="P708">
        <v>-71.674400000000006</v>
      </c>
      <c r="Q708" t="s">
        <v>712</v>
      </c>
      <c r="R708" t="s">
        <v>78</v>
      </c>
      <c r="S708" t="s">
        <v>245</v>
      </c>
      <c r="T708">
        <v>6</v>
      </c>
      <c r="U708">
        <v>8.3000000000000007</v>
      </c>
      <c r="V708">
        <v>0</v>
      </c>
      <c r="W708">
        <v>0.68400000000000005</v>
      </c>
      <c r="X708">
        <v>19</v>
      </c>
      <c r="Y708">
        <v>22.44</v>
      </c>
      <c r="Z708">
        <v>9</v>
      </c>
      <c r="AA708">
        <v>8</v>
      </c>
      <c r="AB708">
        <v>1</v>
      </c>
      <c r="AC708">
        <v>1960</v>
      </c>
      <c r="AD708" s="8">
        <v>42263</v>
      </c>
      <c r="AE708" s="8"/>
      <c r="AF708" s="8"/>
    </row>
    <row r="709" spans="1:32">
      <c r="A709" t="s">
        <v>717</v>
      </c>
      <c r="B709">
        <v>7</v>
      </c>
      <c r="C709" s="8" t="s">
        <v>718</v>
      </c>
      <c r="D709">
        <v>8</v>
      </c>
      <c r="E709">
        <v>7</v>
      </c>
      <c r="F709" t="s">
        <v>21</v>
      </c>
      <c r="G709">
        <v>0</v>
      </c>
      <c r="H709">
        <v>799</v>
      </c>
      <c r="I709" t="s">
        <v>22</v>
      </c>
      <c r="J709">
        <v>0</v>
      </c>
      <c r="K709">
        <v>0.90300000000000002</v>
      </c>
      <c r="L709">
        <v>13</v>
      </c>
      <c r="M709" t="s">
        <v>23</v>
      </c>
      <c r="N709">
        <v>28.41</v>
      </c>
      <c r="O709">
        <v>-31.562200000000001</v>
      </c>
      <c r="P709">
        <v>-71.426199999999994</v>
      </c>
      <c r="Q709" t="s">
        <v>712</v>
      </c>
      <c r="R709" t="s">
        <v>78</v>
      </c>
      <c r="S709" t="s">
        <v>245</v>
      </c>
      <c r="T709">
        <v>6</v>
      </c>
      <c r="U709">
        <v>7</v>
      </c>
      <c r="V709">
        <v>0</v>
      </c>
      <c r="W709">
        <v>0.90300000000000002</v>
      </c>
      <c r="X709">
        <v>13</v>
      </c>
      <c r="Y709">
        <v>28.41</v>
      </c>
      <c r="Z709">
        <v>8</v>
      </c>
      <c r="AA709">
        <v>7</v>
      </c>
      <c r="AB709">
        <v>0</v>
      </c>
      <c r="AC709">
        <v>799</v>
      </c>
      <c r="AD709" s="8">
        <v>42263</v>
      </c>
      <c r="AE709" s="8"/>
      <c r="AF709" s="8"/>
    </row>
    <row r="710" spans="1:32">
      <c r="A710" t="s">
        <v>1326</v>
      </c>
      <c r="B710">
        <v>6.8</v>
      </c>
      <c r="C710" s="8" t="s">
        <v>1327</v>
      </c>
      <c r="D710">
        <v>7</v>
      </c>
      <c r="E710">
        <v>6</v>
      </c>
      <c r="G710">
        <v>0</v>
      </c>
      <c r="H710">
        <v>790</v>
      </c>
      <c r="I710" t="s">
        <v>22</v>
      </c>
      <c r="J710">
        <v>649</v>
      </c>
      <c r="K710">
        <v>0</v>
      </c>
      <c r="L710">
        <v>27</v>
      </c>
      <c r="M710" t="s">
        <v>829</v>
      </c>
      <c r="N710">
        <v>122.9</v>
      </c>
      <c r="O710">
        <v>-2.3119999999999998</v>
      </c>
      <c r="P710">
        <v>-77.837999999999994</v>
      </c>
      <c r="Q710" t="s">
        <v>1328</v>
      </c>
      <c r="R710" t="s">
        <v>78</v>
      </c>
      <c r="S710" t="s">
        <v>371</v>
      </c>
      <c r="T710">
        <v>6</v>
      </c>
      <c r="U710">
        <v>6.8</v>
      </c>
      <c r="V710">
        <v>649</v>
      </c>
      <c r="W710">
        <v>0</v>
      </c>
      <c r="X710">
        <v>27</v>
      </c>
      <c r="Y710">
        <v>122.9</v>
      </c>
      <c r="Z710">
        <v>7</v>
      </c>
      <c r="AA710">
        <v>6</v>
      </c>
      <c r="AB710">
        <v>0</v>
      </c>
      <c r="AC710">
        <v>790</v>
      </c>
      <c r="AD710" s="8">
        <v>39402</v>
      </c>
      <c r="AE710" s="8"/>
      <c r="AF710" s="8"/>
    </row>
    <row r="711" spans="1:32">
      <c r="A711" t="s">
        <v>1310</v>
      </c>
      <c r="B711">
        <v>6.7</v>
      </c>
      <c r="C711" s="8" t="s">
        <v>1311</v>
      </c>
      <c r="D711">
        <v>5</v>
      </c>
      <c r="E711">
        <v>7</v>
      </c>
      <c r="G711">
        <v>0</v>
      </c>
      <c r="H711">
        <v>704</v>
      </c>
      <c r="I711" t="s">
        <v>22</v>
      </c>
      <c r="J711">
        <v>481</v>
      </c>
      <c r="K711">
        <v>0</v>
      </c>
      <c r="L711">
        <v>30.3</v>
      </c>
      <c r="M711" t="s">
        <v>36</v>
      </c>
      <c r="N711">
        <v>45</v>
      </c>
      <c r="O711">
        <v>-22.954000000000001</v>
      </c>
      <c r="P711">
        <v>-70.182000000000002</v>
      </c>
      <c r="Q711" t="s">
        <v>1312</v>
      </c>
      <c r="R711" t="s">
        <v>78</v>
      </c>
      <c r="S711" t="s">
        <v>245</v>
      </c>
      <c r="T711">
        <v>6</v>
      </c>
      <c r="U711">
        <v>6.7</v>
      </c>
      <c r="V711">
        <v>481</v>
      </c>
      <c r="W711">
        <v>0</v>
      </c>
      <c r="X711">
        <v>30.3</v>
      </c>
      <c r="Y711">
        <v>45</v>
      </c>
      <c r="Z711">
        <v>5</v>
      </c>
      <c r="AA711">
        <v>7</v>
      </c>
      <c r="AB711">
        <v>0</v>
      </c>
      <c r="AC711">
        <v>704</v>
      </c>
      <c r="AD711" s="8">
        <v>39432</v>
      </c>
      <c r="AE711" s="8"/>
      <c r="AF711" s="8"/>
    </row>
    <row r="712" spans="1:32">
      <c r="A712" t="s">
        <v>1029</v>
      </c>
      <c r="B712">
        <v>6.7</v>
      </c>
      <c r="C712" s="8" t="s">
        <v>1030</v>
      </c>
      <c r="D712">
        <v>0</v>
      </c>
      <c r="E712">
        <v>7</v>
      </c>
      <c r="G712">
        <v>0</v>
      </c>
      <c r="H712">
        <v>691</v>
      </c>
      <c r="I712" t="s">
        <v>22</v>
      </c>
      <c r="J712">
        <v>518</v>
      </c>
      <c r="K712">
        <v>0</v>
      </c>
      <c r="L712">
        <v>26.9</v>
      </c>
      <c r="M712" t="s">
        <v>23</v>
      </c>
      <c r="N712">
        <v>29</v>
      </c>
      <c r="O712">
        <v>-32.625</v>
      </c>
      <c r="P712">
        <v>-71.364999999999995</v>
      </c>
      <c r="Q712" t="s">
        <v>1031</v>
      </c>
      <c r="R712" t="s">
        <v>78</v>
      </c>
      <c r="S712" t="s">
        <v>245</v>
      </c>
      <c r="T712">
        <v>6</v>
      </c>
      <c r="U712">
        <v>6.7</v>
      </c>
      <c r="V712">
        <v>518</v>
      </c>
      <c r="W712">
        <v>0</v>
      </c>
      <c r="X712">
        <v>26.9</v>
      </c>
      <c r="Y712">
        <v>29</v>
      </c>
      <c r="Z712">
        <v>0</v>
      </c>
      <c r="AA712">
        <v>7</v>
      </c>
      <c r="AB712">
        <v>0</v>
      </c>
      <c r="AC712">
        <v>691</v>
      </c>
      <c r="AD712" s="8">
        <v>41016</v>
      </c>
      <c r="AE712" s="8"/>
      <c r="AF712" s="8"/>
    </row>
    <row r="713" spans="1:32">
      <c r="A713" t="s">
        <v>715</v>
      </c>
      <c r="B713">
        <v>6.5</v>
      </c>
      <c r="C713" s="8" t="s">
        <v>716</v>
      </c>
      <c r="D713">
        <v>6</v>
      </c>
      <c r="E713">
        <v>7</v>
      </c>
      <c r="F713" t="s">
        <v>21</v>
      </c>
      <c r="G713">
        <v>0</v>
      </c>
      <c r="H713">
        <v>657</v>
      </c>
      <c r="I713" t="s">
        <v>22</v>
      </c>
      <c r="J713">
        <v>0</v>
      </c>
      <c r="K713">
        <v>0.749</v>
      </c>
      <c r="L713">
        <v>62</v>
      </c>
      <c r="M713" t="s">
        <v>23</v>
      </c>
      <c r="N713">
        <v>27</v>
      </c>
      <c r="O713">
        <v>-31.424399999999999</v>
      </c>
      <c r="P713">
        <v>-71.687600000000003</v>
      </c>
      <c r="Q713" t="s">
        <v>712</v>
      </c>
      <c r="R713" t="s">
        <v>78</v>
      </c>
      <c r="S713" t="s">
        <v>245</v>
      </c>
      <c r="T713">
        <v>6</v>
      </c>
      <c r="U713">
        <v>6.5</v>
      </c>
      <c r="V713">
        <v>0</v>
      </c>
      <c r="W713">
        <v>0.749</v>
      </c>
      <c r="X713">
        <v>62</v>
      </c>
      <c r="Y713">
        <v>27</v>
      </c>
      <c r="Z713">
        <v>6</v>
      </c>
      <c r="AA713">
        <v>7</v>
      </c>
      <c r="AB713">
        <v>0</v>
      </c>
      <c r="AC713">
        <v>657</v>
      </c>
      <c r="AD713" s="8">
        <v>42264</v>
      </c>
      <c r="AE713" s="8"/>
      <c r="AF713" s="8"/>
    </row>
    <row r="714" spans="1:32">
      <c r="A714" t="s">
        <v>713</v>
      </c>
      <c r="B714">
        <v>6.7</v>
      </c>
      <c r="C714" s="8" t="s">
        <v>714</v>
      </c>
      <c r="D714">
        <v>5</v>
      </c>
      <c r="E714">
        <v>7</v>
      </c>
      <c r="F714" t="s">
        <v>21</v>
      </c>
      <c r="G714">
        <v>0</v>
      </c>
      <c r="H714">
        <v>718</v>
      </c>
      <c r="I714" t="s">
        <v>22</v>
      </c>
      <c r="J714">
        <v>0</v>
      </c>
      <c r="K714">
        <v>0.85299999999999998</v>
      </c>
      <c r="L714">
        <v>35</v>
      </c>
      <c r="M714" t="s">
        <v>23</v>
      </c>
      <c r="N714">
        <v>23</v>
      </c>
      <c r="O714">
        <v>-31.517299999999999</v>
      </c>
      <c r="P714">
        <v>-71.804000000000002</v>
      </c>
      <c r="Q714" t="s">
        <v>712</v>
      </c>
      <c r="R714" t="s">
        <v>78</v>
      </c>
      <c r="S714" t="s">
        <v>245</v>
      </c>
      <c r="T714">
        <v>6</v>
      </c>
      <c r="U714">
        <v>6.7</v>
      </c>
      <c r="V714">
        <v>0</v>
      </c>
      <c r="W714">
        <v>0.85299999999999998</v>
      </c>
      <c r="X714">
        <v>35</v>
      </c>
      <c r="Y714">
        <v>23</v>
      </c>
      <c r="Z714">
        <v>5</v>
      </c>
      <c r="AA714">
        <v>7</v>
      </c>
      <c r="AB714">
        <v>0</v>
      </c>
      <c r="AC714">
        <v>718</v>
      </c>
      <c r="AD714" s="8">
        <v>42264</v>
      </c>
      <c r="AE714" s="8"/>
      <c r="AF714" s="8"/>
    </row>
    <row r="715" spans="1:32">
      <c r="A715" t="s">
        <v>1453</v>
      </c>
      <c r="B715">
        <v>6.8</v>
      </c>
      <c r="C715" s="8" t="s">
        <v>1454</v>
      </c>
      <c r="D715">
        <v>0</v>
      </c>
      <c r="E715">
        <v>6</v>
      </c>
      <c r="G715">
        <v>0</v>
      </c>
      <c r="H715">
        <v>711</v>
      </c>
      <c r="I715" t="s">
        <v>22</v>
      </c>
      <c r="J715">
        <v>509</v>
      </c>
      <c r="K715">
        <v>0</v>
      </c>
      <c r="L715">
        <v>30.1</v>
      </c>
      <c r="M715" t="s">
        <v>36</v>
      </c>
      <c r="N715">
        <v>147</v>
      </c>
      <c r="O715">
        <v>-22.361000000000001</v>
      </c>
      <c r="P715">
        <v>-67.894999999999996</v>
      </c>
      <c r="Q715" t="s">
        <v>274</v>
      </c>
      <c r="R715" t="s">
        <v>78</v>
      </c>
      <c r="S715" t="s">
        <v>460</v>
      </c>
      <c r="T715">
        <v>6</v>
      </c>
      <c r="U715">
        <v>6.8</v>
      </c>
      <c r="V715">
        <v>509</v>
      </c>
      <c r="W715">
        <v>0</v>
      </c>
      <c r="X715">
        <v>30.1</v>
      </c>
      <c r="Y715">
        <v>147</v>
      </c>
      <c r="Z715">
        <v>0</v>
      </c>
      <c r="AA715">
        <v>6</v>
      </c>
      <c r="AB715">
        <v>0</v>
      </c>
      <c r="AC715">
        <v>711</v>
      </c>
      <c r="AD715" s="8">
        <v>38673</v>
      </c>
      <c r="AE715" s="8"/>
      <c r="AF715" s="8"/>
    </row>
    <row r="716" spans="1:32">
      <c r="A716" t="s">
        <v>1654</v>
      </c>
      <c r="B716">
        <v>6.7</v>
      </c>
      <c r="C716" s="8" t="s">
        <v>1655</v>
      </c>
      <c r="D716">
        <v>0</v>
      </c>
      <c r="E716">
        <v>7</v>
      </c>
      <c r="G716">
        <v>0</v>
      </c>
      <c r="H716">
        <v>691</v>
      </c>
      <c r="I716" t="s">
        <v>22</v>
      </c>
      <c r="J716">
        <v>462</v>
      </c>
      <c r="K716">
        <v>0</v>
      </c>
      <c r="L716">
        <v>0</v>
      </c>
      <c r="M716" t="s">
        <v>36</v>
      </c>
      <c r="N716">
        <v>62</v>
      </c>
      <c r="O716">
        <v>-27.535</v>
      </c>
      <c r="P716">
        <v>-70.585999999999999</v>
      </c>
      <c r="Q716" t="s">
        <v>1427</v>
      </c>
      <c r="R716" t="s">
        <v>78</v>
      </c>
      <c r="S716" t="s">
        <v>245</v>
      </c>
      <c r="T716">
        <v>6</v>
      </c>
      <c r="U716">
        <v>6.7</v>
      </c>
      <c r="V716">
        <v>462</v>
      </c>
      <c r="W716">
        <v>0</v>
      </c>
      <c r="X716">
        <v>0</v>
      </c>
      <c r="Y716">
        <v>62</v>
      </c>
      <c r="Z716">
        <v>0</v>
      </c>
      <c r="AA716">
        <v>7</v>
      </c>
      <c r="AB716">
        <v>0</v>
      </c>
      <c r="AC716">
        <v>691</v>
      </c>
      <c r="AD716" s="8">
        <v>37364</v>
      </c>
      <c r="AE716" s="8"/>
      <c r="AF716" s="8"/>
    </row>
    <row r="717" spans="1:32">
      <c r="A717" t="s">
        <v>633</v>
      </c>
      <c r="B717">
        <v>6.7</v>
      </c>
      <c r="C717" s="8" t="s">
        <v>634</v>
      </c>
      <c r="D717">
        <v>5</v>
      </c>
      <c r="E717">
        <v>7</v>
      </c>
      <c r="F717" t="s">
        <v>21</v>
      </c>
      <c r="G717">
        <v>1</v>
      </c>
      <c r="H717">
        <v>744</v>
      </c>
      <c r="I717" t="s">
        <v>22</v>
      </c>
      <c r="J717">
        <v>0</v>
      </c>
      <c r="K717">
        <v>1.3520000000000001</v>
      </c>
      <c r="L717">
        <v>21</v>
      </c>
      <c r="M717" t="s">
        <v>23</v>
      </c>
      <c r="N717">
        <v>16</v>
      </c>
      <c r="O717">
        <v>0.42609999999999998</v>
      </c>
      <c r="P717">
        <v>-79.789900000000003</v>
      </c>
      <c r="Q717" t="s">
        <v>635</v>
      </c>
      <c r="R717" t="s">
        <v>78</v>
      </c>
      <c r="S717" t="s">
        <v>371</v>
      </c>
      <c r="T717">
        <v>6</v>
      </c>
      <c r="U717">
        <v>6.7</v>
      </c>
      <c r="V717">
        <v>0</v>
      </c>
      <c r="W717">
        <v>1.3520000000000001</v>
      </c>
      <c r="X717">
        <v>21</v>
      </c>
      <c r="Y717">
        <v>16</v>
      </c>
      <c r="Z717">
        <v>5</v>
      </c>
      <c r="AA717">
        <v>7</v>
      </c>
      <c r="AB717">
        <v>1</v>
      </c>
      <c r="AC717">
        <v>744</v>
      </c>
      <c r="AD717" s="8">
        <v>42508</v>
      </c>
      <c r="AE717" s="8"/>
    </row>
    <row r="718" spans="1:32">
      <c r="A718" t="s">
        <v>630</v>
      </c>
      <c r="B718">
        <v>6.9</v>
      </c>
      <c r="C718" s="8" t="s">
        <v>631</v>
      </c>
      <c r="D718">
        <v>8</v>
      </c>
      <c r="E718">
        <v>7</v>
      </c>
      <c r="F718" t="s">
        <v>21</v>
      </c>
      <c r="G718">
        <v>1</v>
      </c>
      <c r="H718">
        <v>780</v>
      </c>
      <c r="I718" t="s">
        <v>22</v>
      </c>
      <c r="J718">
        <v>0</v>
      </c>
      <c r="K718">
        <v>1.1919999999999999</v>
      </c>
      <c r="L718">
        <v>17</v>
      </c>
      <c r="M718" t="s">
        <v>23</v>
      </c>
      <c r="N718">
        <v>29.95</v>
      </c>
      <c r="O718">
        <v>0.49469999999999997</v>
      </c>
      <c r="P718">
        <v>-79.616</v>
      </c>
      <c r="Q718" t="s">
        <v>632</v>
      </c>
      <c r="R718" t="s">
        <v>78</v>
      </c>
      <c r="S718" t="s">
        <v>371</v>
      </c>
      <c r="T718">
        <v>6</v>
      </c>
      <c r="U718">
        <v>6.9</v>
      </c>
      <c r="V718">
        <v>0</v>
      </c>
      <c r="W718">
        <v>1.1919999999999999</v>
      </c>
      <c r="X718">
        <v>17</v>
      </c>
      <c r="Y718">
        <v>29.95</v>
      </c>
      <c r="Z718">
        <v>8</v>
      </c>
      <c r="AA718">
        <v>7</v>
      </c>
      <c r="AB718">
        <v>1</v>
      </c>
      <c r="AC718">
        <v>780</v>
      </c>
      <c r="AD718" s="8">
        <v>42508</v>
      </c>
      <c r="AE718" s="8"/>
      <c r="AF718" s="8"/>
    </row>
    <row r="719" spans="1:32">
      <c r="A719" t="s">
        <v>1646</v>
      </c>
      <c r="B719">
        <v>6.6</v>
      </c>
      <c r="C719" s="8" t="s">
        <v>1647</v>
      </c>
      <c r="D719">
        <v>0</v>
      </c>
      <c r="E719">
        <v>7</v>
      </c>
      <c r="G719">
        <v>0</v>
      </c>
      <c r="H719">
        <v>670</v>
      </c>
      <c r="I719" t="s">
        <v>22</v>
      </c>
      <c r="J719">
        <v>420</v>
      </c>
      <c r="K719">
        <v>0</v>
      </c>
      <c r="L719">
        <v>0</v>
      </c>
      <c r="M719" t="s">
        <v>36</v>
      </c>
      <c r="N719">
        <v>54</v>
      </c>
      <c r="O719">
        <v>-30.805</v>
      </c>
      <c r="P719">
        <v>-71.123999999999995</v>
      </c>
      <c r="Q719" t="s">
        <v>1648</v>
      </c>
      <c r="R719" t="s">
        <v>78</v>
      </c>
      <c r="S719" t="s">
        <v>245</v>
      </c>
      <c r="T719">
        <v>6</v>
      </c>
      <c r="U719">
        <v>6.6</v>
      </c>
      <c r="V719">
        <v>420</v>
      </c>
      <c r="W719">
        <v>0</v>
      </c>
      <c r="X719">
        <v>0</v>
      </c>
      <c r="Y719">
        <v>54</v>
      </c>
      <c r="Z719">
        <v>0</v>
      </c>
      <c r="AA719">
        <v>7</v>
      </c>
      <c r="AB719">
        <v>0</v>
      </c>
      <c r="AC719">
        <v>670</v>
      </c>
      <c r="AD719" s="8">
        <v>37425</v>
      </c>
      <c r="AE719" s="8"/>
      <c r="AF719" s="8"/>
    </row>
    <row r="720" spans="1:32">
      <c r="A720" t="s">
        <v>377</v>
      </c>
      <c r="B720">
        <v>6.7</v>
      </c>
      <c r="C720" s="8" t="s">
        <v>378</v>
      </c>
      <c r="D720">
        <v>8</v>
      </c>
      <c r="E720">
        <v>8</v>
      </c>
      <c r="F720" t="s">
        <v>66</v>
      </c>
      <c r="G720">
        <v>1</v>
      </c>
      <c r="H720">
        <v>1600</v>
      </c>
      <c r="I720" t="s">
        <v>22</v>
      </c>
      <c r="J720">
        <v>0</v>
      </c>
      <c r="K720">
        <v>0.17299999999999999</v>
      </c>
      <c r="L720">
        <v>22</v>
      </c>
      <c r="M720" t="s">
        <v>23</v>
      </c>
      <c r="N720">
        <v>63</v>
      </c>
      <c r="O720">
        <v>-30.040400000000002</v>
      </c>
      <c r="P720">
        <v>-71.381500000000003</v>
      </c>
      <c r="Q720" t="s">
        <v>379</v>
      </c>
      <c r="R720" t="s">
        <v>78</v>
      </c>
      <c r="S720" t="s">
        <v>245</v>
      </c>
      <c r="T720">
        <v>6</v>
      </c>
      <c r="U720">
        <v>6.7</v>
      </c>
      <c r="V720">
        <v>0</v>
      </c>
      <c r="W720">
        <v>0.17299999999999999</v>
      </c>
      <c r="X720">
        <v>22</v>
      </c>
      <c r="Y720">
        <v>63</v>
      </c>
      <c r="Z720">
        <v>8</v>
      </c>
      <c r="AA720">
        <v>8</v>
      </c>
      <c r="AB720">
        <v>1</v>
      </c>
      <c r="AC720">
        <v>1600</v>
      </c>
      <c r="AD720" s="8">
        <v>43485</v>
      </c>
      <c r="AE720" s="8"/>
      <c r="AF720" s="8"/>
    </row>
    <row r="721" spans="1:32">
      <c r="A721" t="s">
        <v>1601</v>
      </c>
      <c r="B721">
        <v>6.8</v>
      </c>
      <c r="C721" s="8" t="s">
        <v>1602</v>
      </c>
      <c r="D721">
        <v>0</v>
      </c>
      <c r="E721">
        <v>7</v>
      </c>
      <c r="G721">
        <v>0</v>
      </c>
      <c r="H721">
        <v>711</v>
      </c>
      <c r="I721" t="s">
        <v>22</v>
      </c>
      <c r="J721">
        <v>398</v>
      </c>
      <c r="K721">
        <v>0</v>
      </c>
      <c r="L721">
        <v>39.1</v>
      </c>
      <c r="M721" t="s">
        <v>829</v>
      </c>
      <c r="N721">
        <v>33</v>
      </c>
      <c r="O721">
        <v>-30.608000000000001</v>
      </c>
      <c r="P721">
        <v>-71.637</v>
      </c>
      <c r="Q721" t="s">
        <v>699</v>
      </c>
      <c r="R721" t="s">
        <v>78</v>
      </c>
      <c r="S721" t="s">
        <v>245</v>
      </c>
      <c r="T721">
        <v>6</v>
      </c>
      <c r="U721">
        <v>6.8</v>
      </c>
      <c r="V721">
        <v>398</v>
      </c>
      <c r="W721">
        <v>0</v>
      </c>
      <c r="X721">
        <v>39.1</v>
      </c>
      <c r="Y721">
        <v>33</v>
      </c>
      <c r="Z721">
        <v>0</v>
      </c>
      <c r="AA721">
        <v>7</v>
      </c>
      <c r="AB721">
        <v>0</v>
      </c>
      <c r="AC721">
        <v>711</v>
      </c>
      <c r="AD721" s="8">
        <v>37792</v>
      </c>
      <c r="AE721" s="8"/>
      <c r="AF721" s="8"/>
    </row>
    <row r="722" spans="1:32">
      <c r="A722" t="s">
        <v>1398</v>
      </c>
      <c r="B722">
        <v>6.7</v>
      </c>
      <c r="C722" s="8" t="s">
        <v>1399</v>
      </c>
      <c r="D722">
        <v>5</v>
      </c>
      <c r="E722">
        <v>6</v>
      </c>
      <c r="G722">
        <v>0</v>
      </c>
      <c r="H722">
        <v>732</v>
      </c>
      <c r="I722" t="s">
        <v>22</v>
      </c>
      <c r="J722">
        <v>444</v>
      </c>
      <c r="K722">
        <v>0</v>
      </c>
      <c r="L722">
        <v>53.4</v>
      </c>
      <c r="M722" t="s">
        <v>829</v>
      </c>
      <c r="N722">
        <v>23</v>
      </c>
      <c r="O722">
        <v>-13.457000000000001</v>
      </c>
      <c r="P722">
        <v>-76.677000000000007</v>
      </c>
      <c r="Q722" t="s">
        <v>1357</v>
      </c>
      <c r="R722" t="s">
        <v>78</v>
      </c>
      <c r="S722" t="s">
        <v>83</v>
      </c>
      <c r="T722">
        <v>6</v>
      </c>
      <c r="U722">
        <v>6.7</v>
      </c>
      <c r="V722">
        <v>444</v>
      </c>
      <c r="W722">
        <v>0</v>
      </c>
      <c r="X722">
        <v>53.4</v>
      </c>
      <c r="Y722">
        <v>23</v>
      </c>
      <c r="Z722">
        <v>5</v>
      </c>
      <c r="AA722">
        <v>6</v>
      </c>
      <c r="AB722">
        <v>0</v>
      </c>
      <c r="AC722">
        <v>732</v>
      </c>
      <c r="AD722" s="8">
        <v>39010</v>
      </c>
      <c r="AE722" s="8"/>
      <c r="AF722" s="8"/>
    </row>
    <row r="723" spans="1:32">
      <c r="A723" t="s">
        <v>555</v>
      </c>
      <c r="B723">
        <v>6.5</v>
      </c>
      <c r="C723" s="8" t="s">
        <v>556</v>
      </c>
      <c r="D723">
        <v>3</v>
      </c>
      <c r="E723">
        <v>3</v>
      </c>
      <c r="F723" t="s">
        <v>21</v>
      </c>
      <c r="G723">
        <v>0</v>
      </c>
      <c r="H723">
        <v>653</v>
      </c>
      <c r="I723" t="s">
        <v>22</v>
      </c>
      <c r="J723">
        <v>0</v>
      </c>
      <c r="K723">
        <v>4.242</v>
      </c>
      <c r="L723">
        <v>14</v>
      </c>
      <c r="M723" t="s">
        <v>23</v>
      </c>
      <c r="N723">
        <v>595.98</v>
      </c>
      <c r="O723">
        <v>-19.281400000000001</v>
      </c>
      <c r="P723">
        <v>-63.904699999999998</v>
      </c>
      <c r="Q723" t="s">
        <v>557</v>
      </c>
      <c r="R723" t="s">
        <v>78</v>
      </c>
      <c r="S723" t="s">
        <v>460</v>
      </c>
      <c r="T723">
        <v>6</v>
      </c>
      <c r="U723">
        <v>6.5</v>
      </c>
      <c r="V723">
        <v>0</v>
      </c>
      <c r="W723">
        <v>4.242</v>
      </c>
      <c r="X723">
        <v>14</v>
      </c>
      <c r="Y723">
        <v>595.98</v>
      </c>
      <c r="Z723">
        <v>3</v>
      </c>
      <c r="AA723">
        <v>3</v>
      </c>
      <c r="AB723">
        <v>0</v>
      </c>
      <c r="AC723">
        <v>653</v>
      </c>
      <c r="AD723" s="8">
        <v>42787</v>
      </c>
      <c r="AE723" s="8"/>
      <c r="AF723" s="8"/>
    </row>
    <row r="724" spans="1:32">
      <c r="A724" t="s">
        <v>184</v>
      </c>
      <c r="B724">
        <v>6.7</v>
      </c>
      <c r="C724" s="8" t="s">
        <v>185</v>
      </c>
      <c r="D724">
        <v>6</v>
      </c>
      <c r="E724">
        <v>6</v>
      </c>
      <c r="F724" t="s">
        <v>21</v>
      </c>
      <c r="G724">
        <v>1</v>
      </c>
      <c r="H724">
        <v>830</v>
      </c>
      <c r="I724" t="s">
        <v>22</v>
      </c>
      <c r="J724">
        <v>0</v>
      </c>
      <c r="K724">
        <v>1.395</v>
      </c>
      <c r="L724">
        <v>61</v>
      </c>
      <c r="M724" t="s">
        <v>23</v>
      </c>
      <c r="N724">
        <v>10</v>
      </c>
      <c r="O724">
        <v>7.5903999999999998</v>
      </c>
      <c r="P724">
        <v>-82.881299999999996</v>
      </c>
      <c r="Q724" t="s">
        <v>186</v>
      </c>
      <c r="R724" t="s">
        <v>78</v>
      </c>
      <c r="S724" t="s">
        <v>42</v>
      </c>
      <c r="T724">
        <v>6</v>
      </c>
      <c r="U724">
        <v>6.7</v>
      </c>
      <c r="V724">
        <v>0</v>
      </c>
      <c r="W724">
        <v>1.395</v>
      </c>
      <c r="X724">
        <v>61</v>
      </c>
      <c r="Y724">
        <v>10</v>
      </c>
      <c r="Z724">
        <v>6</v>
      </c>
      <c r="AA724">
        <v>6</v>
      </c>
      <c r="AB724">
        <v>1</v>
      </c>
      <c r="AC724">
        <v>830</v>
      </c>
      <c r="AD724" s="8">
        <v>44398</v>
      </c>
      <c r="AE724" s="8"/>
      <c r="AF724" s="8"/>
    </row>
    <row r="725" spans="1:32">
      <c r="A725" t="s">
        <v>439</v>
      </c>
      <c r="B725">
        <v>7.3</v>
      </c>
      <c r="C725" s="8" t="s">
        <v>440</v>
      </c>
      <c r="D725">
        <v>8</v>
      </c>
      <c r="E725">
        <v>6</v>
      </c>
      <c r="F725" t="s">
        <v>45</v>
      </c>
      <c r="G725">
        <v>1</v>
      </c>
      <c r="H725">
        <v>1570</v>
      </c>
      <c r="I725" t="s">
        <v>22</v>
      </c>
      <c r="J725">
        <v>0</v>
      </c>
      <c r="K725">
        <v>1.8220000000000001</v>
      </c>
      <c r="L725">
        <v>15</v>
      </c>
      <c r="M725" t="s">
        <v>23</v>
      </c>
      <c r="N725">
        <v>146.82</v>
      </c>
      <c r="O725">
        <v>10.773099999999999</v>
      </c>
      <c r="P725">
        <v>-62.901899999999998</v>
      </c>
      <c r="Q725" t="s">
        <v>441</v>
      </c>
      <c r="R725" t="s">
        <v>78</v>
      </c>
      <c r="S725" t="s">
        <v>442</v>
      </c>
      <c r="T725">
        <v>6</v>
      </c>
      <c r="U725">
        <v>7.3</v>
      </c>
      <c r="V725">
        <v>0</v>
      </c>
      <c r="W725">
        <v>1.8220000000000001</v>
      </c>
      <c r="X725">
        <v>15</v>
      </c>
      <c r="Y725">
        <v>146.82</v>
      </c>
      <c r="Z725">
        <v>8</v>
      </c>
      <c r="AA725">
        <v>6</v>
      </c>
      <c r="AB725">
        <v>1</v>
      </c>
      <c r="AC725">
        <v>1570</v>
      </c>
      <c r="AD725" s="8">
        <v>43333</v>
      </c>
      <c r="AE725" s="8"/>
      <c r="AF725" s="8"/>
    </row>
    <row r="726" spans="1:32">
      <c r="A726" t="s">
        <v>710</v>
      </c>
      <c r="B726">
        <v>6.6</v>
      </c>
      <c r="C726" s="8" t="s">
        <v>711</v>
      </c>
      <c r="D726">
        <v>5</v>
      </c>
      <c r="E726">
        <v>7</v>
      </c>
      <c r="F726" t="s">
        <v>21</v>
      </c>
      <c r="G726">
        <v>1</v>
      </c>
      <c r="H726">
        <v>820</v>
      </c>
      <c r="I726" t="s">
        <v>22</v>
      </c>
      <c r="J726">
        <v>0</v>
      </c>
      <c r="K726">
        <v>1.0640000000000001</v>
      </c>
      <c r="L726">
        <v>14</v>
      </c>
      <c r="M726" t="s">
        <v>23</v>
      </c>
      <c r="N726">
        <v>35</v>
      </c>
      <c r="O726">
        <v>-31.727499999999999</v>
      </c>
      <c r="P726">
        <v>-71.379199999999997</v>
      </c>
      <c r="Q726" t="s">
        <v>712</v>
      </c>
      <c r="R726" t="s">
        <v>78</v>
      </c>
      <c r="S726" t="s">
        <v>245</v>
      </c>
      <c r="T726">
        <v>6</v>
      </c>
      <c r="U726">
        <v>6.6</v>
      </c>
      <c r="V726">
        <v>0</v>
      </c>
      <c r="W726">
        <v>1.0640000000000001</v>
      </c>
      <c r="X726">
        <v>14</v>
      </c>
      <c r="Y726">
        <v>35</v>
      </c>
      <c r="Z726">
        <v>5</v>
      </c>
      <c r="AA726">
        <v>7</v>
      </c>
      <c r="AB726">
        <v>1</v>
      </c>
      <c r="AC726">
        <v>820</v>
      </c>
      <c r="AD726" s="8">
        <v>42268</v>
      </c>
      <c r="AE726" s="8"/>
      <c r="AF726" s="8"/>
    </row>
    <row r="727" spans="1:32">
      <c r="A727" t="s">
        <v>368</v>
      </c>
      <c r="B727">
        <v>7.5</v>
      </c>
      <c r="C727" s="8" t="s">
        <v>369</v>
      </c>
      <c r="D727">
        <v>7</v>
      </c>
      <c r="E727">
        <v>7</v>
      </c>
      <c r="F727" t="s">
        <v>45</v>
      </c>
      <c r="G727">
        <v>1</v>
      </c>
      <c r="H727">
        <v>1145</v>
      </c>
      <c r="I727" t="s">
        <v>22</v>
      </c>
      <c r="J727">
        <v>0</v>
      </c>
      <c r="K727">
        <v>2.0449999999999999</v>
      </c>
      <c r="L727">
        <v>15</v>
      </c>
      <c r="M727" t="s">
        <v>23</v>
      </c>
      <c r="N727">
        <v>145</v>
      </c>
      <c r="O727">
        <v>-2.1861999999999999</v>
      </c>
      <c r="P727">
        <v>-77.0505</v>
      </c>
      <c r="Q727" t="s">
        <v>370</v>
      </c>
      <c r="R727" t="s">
        <v>78</v>
      </c>
      <c r="S727" t="s">
        <v>371</v>
      </c>
      <c r="T727">
        <v>6</v>
      </c>
      <c r="U727">
        <v>7.5</v>
      </c>
      <c r="V727">
        <v>0</v>
      </c>
      <c r="W727">
        <v>2.0449999999999999</v>
      </c>
      <c r="X727">
        <v>15</v>
      </c>
      <c r="Y727">
        <v>145</v>
      </c>
      <c r="Z727">
        <v>7</v>
      </c>
      <c r="AA727">
        <v>7</v>
      </c>
      <c r="AB727">
        <v>1</v>
      </c>
      <c r="AC727">
        <v>1145</v>
      </c>
      <c r="AD727" s="8">
        <v>43518</v>
      </c>
      <c r="AE727" s="8"/>
      <c r="AF727" s="8"/>
    </row>
    <row r="728" spans="1:32">
      <c r="A728" t="s">
        <v>528</v>
      </c>
      <c r="B728">
        <v>6.8</v>
      </c>
      <c r="C728" s="8" t="s">
        <v>529</v>
      </c>
      <c r="D728">
        <v>6</v>
      </c>
      <c r="E728">
        <v>6</v>
      </c>
      <c r="F728" t="s">
        <v>45</v>
      </c>
      <c r="G728">
        <v>1</v>
      </c>
      <c r="H728">
        <v>1034</v>
      </c>
      <c r="I728" t="s">
        <v>22</v>
      </c>
      <c r="J728">
        <v>0</v>
      </c>
      <c r="K728">
        <v>1.0649999999999999</v>
      </c>
      <c r="L728">
        <v>38</v>
      </c>
      <c r="M728" t="s">
        <v>23</v>
      </c>
      <c r="N728">
        <v>38.119999999999997</v>
      </c>
      <c r="O728">
        <v>13.7174</v>
      </c>
      <c r="P728">
        <v>-90.971800000000002</v>
      </c>
      <c r="Q728" t="s">
        <v>530</v>
      </c>
      <c r="R728" t="s">
        <v>78</v>
      </c>
      <c r="S728" t="s">
        <v>534</v>
      </c>
      <c r="T728">
        <v>6</v>
      </c>
      <c r="U728">
        <v>6.8</v>
      </c>
      <c r="V728">
        <v>0</v>
      </c>
      <c r="W728">
        <v>1.0649999999999999</v>
      </c>
      <c r="X728">
        <v>38</v>
      </c>
      <c r="Y728">
        <v>38.119999999999997</v>
      </c>
      <c r="Z728">
        <v>6</v>
      </c>
      <c r="AA728">
        <v>6</v>
      </c>
      <c r="AB728">
        <v>1</v>
      </c>
      <c r="AC728">
        <v>1034</v>
      </c>
      <c r="AD728" s="8">
        <v>42908</v>
      </c>
      <c r="AE728" s="8"/>
      <c r="AF728" s="8"/>
    </row>
    <row r="729" spans="1:32">
      <c r="A729" t="s">
        <v>1702</v>
      </c>
      <c r="B729">
        <v>8.4</v>
      </c>
      <c r="C729" s="8" t="s">
        <v>1703</v>
      </c>
      <c r="D729">
        <v>0</v>
      </c>
      <c r="E729">
        <v>8</v>
      </c>
      <c r="G729">
        <v>0</v>
      </c>
      <c r="H729">
        <v>1086</v>
      </c>
      <c r="I729" t="s">
        <v>1039</v>
      </c>
      <c r="J729">
        <v>518</v>
      </c>
      <c r="K729">
        <v>0</v>
      </c>
      <c r="L729">
        <v>0</v>
      </c>
      <c r="M729" t="s">
        <v>23</v>
      </c>
      <c r="N729">
        <v>33</v>
      </c>
      <c r="O729">
        <v>-16.265000000000001</v>
      </c>
      <c r="P729">
        <v>-73.641000000000005</v>
      </c>
      <c r="Q729" t="s">
        <v>1704</v>
      </c>
      <c r="R729" t="s">
        <v>78</v>
      </c>
      <c r="S729" t="s">
        <v>83</v>
      </c>
      <c r="T729">
        <v>6</v>
      </c>
      <c r="U729">
        <v>8.4</v>
      </c>
      <c r="V729">
        <v>518</v>
      </c>
      <c r="W729">
        <v>0</v>
      </c>
      <c r="X729">
        <v>0</v>
      </c>
      <c r="Y729">
        <v>33</v>
      </c>
      <c r="Z729">
        <v>0</v>
      </c>
      <c r="AA729">
        <v>8</v>
      </c>
      <c r="AB729">
        <v>0</v>
      </c>
      <c r="AC729">
        <v>1086</v>
      </c>
      <c r="AD729" s="8">
        <v>37065</v>
      </c>
      <c r="AE729" s="8"/>
      <c r="AF729" s="8"/>
    </row>
    <row r="730" spans="1:32">
      <c r="A730" t="s">
        <v>544</v>
      </c>
      <c r="B730">
        <v>6.9</v>
      </c>
      <c r="C730" s="8" t="s">
        <v>545</v>
      </c>
      <c r="D730">
        <v>9</v>
      </c>
      <c r="E730">
        <v>7</v>
      </c>
      <c r="F730" t="s">
        <v>45</v>
      </c>
      <c r="G730">
        <v>1</v>
      </c>
      <c r="H730">
        <v>1642</v>
      </c>
      <c r="I730" t="s">
        <v>22</v>
      </c>
      <c r="J730">
        <v>0</v>
      </c>
      <c r="K730">
        <v>0.35599999999999998</v>
      </c>
      <c r="L730">
        <v>39</v>
      </c>
      <c r="M730" t="s">
        <v>23</v>
      </c>
      <c r="N730">
        <v>28</v>
      </c>
      <c r="O730">
        <v>-33.037500000000001</v>
      </c>
      <c r="P730">
        <v>-72.061700000000002</v>
      </c>
      <c r="Q730" t="s">
        <v>546</v>
      </c>
      <c r="R730" t="s">
        <v>78</v>
      </c>
      <c r="S730" t="s">
        <v>245</v>
      </c>
      <c r="T730">
        <v>6</v>
      </c>
      <c r="U730">
        <v>6.9</v>
      </c>
      <c r="V730">
        <v>0</v>
      </c>
      <c r="W730">
        <v>0.35599999999999998</v>
      </c>
      <c r="X730">
        <v>39</v>
      </c>
      <c r="Y730">
        <v>28</v>
      </c>
      <c r="Z730">
        <v>9</v>
      </c>
      <c r="AA730">
        <v>7</v>
      </c>
      <c r="AB730">
        <v>1</v>
      </c>
      <c r="AC730">
        <v>1642</v>
      </c>
      <c r="AD730" s="8">
        <v>42849</v>
      </c>
      <c r="AE730" s="8"/>
      <c r="AF730" s="8"/>
    </row>
    <row r="731" spans="1:32">
      <c r="A731" t="s">
        <v>1077</v>
      </c>
      <c r="B731">
        <v>7</v>
      </c>
      <c r="C731" s="8" t="s">
        <v>1078</v>
      </c>
      <c r="D731">
        <v>6</v>
      </c>
      <c r="E731">
        <v>6</v>
      </c>
      <c r="G731">
        <v>0</v>
      </c>
      <c r="H731">
        <v>913</v>
      </c>
      <c r="I731" t="s">
        <v>22</v>
      </c>
      <c r="J731">
        <v>471</v>
      </c>
      <c r="K731">
        <v>0</v>
      </c>
      <c r="L731">
        <v>26.9</v>
      </c>
      <c r="M731" t="s">
        <v>23</v>
      </c>
      <c r="N731">
        <v>147</v>
      </c>
      <c r="O731">
        <v>-7.641</v>
      </c>
      <c r="P731">
        <v>-74.525000000000006</v>
      </c>
      <c r="Q731" t="s">
        <v>1079</v>
      </c>
      <c r="R731" t="s">
        <v>78</v>
      </c>
      <c r="S731" t="s">
        <v>83</v>
      </c>
      <c r="T731">
        <v>6</v>
      </c>
      <c r="U731">
        <v>7</v>
      </c>
      <c r="V731">
        <v>471</v>
      </c>
      <c r="W731">
        <v>0</v>
      </c>
      <c r="X731">
        <v>26.9</v>
      </c>
      <c r="Y731">
        <v>147</v>
      </c>
      <c r="Z731">
        <v>6</v>
      </c>
      <c r="AA731">
        <v>6</v>
      </c>
      <c r="AB731">
        <v>0</v>
      </c>
      <c r="AC731">
        <v>913</v>
      </c>
      <c r="AD731" s="8">
        <v>40779</v>
      </c>
      <c r="AE731" s="8"/>
      <c r="AF731" s="8"/>
    </row>
    <row r="732" spans="1:32">
      <c r="A732" t="s">
        <v>811</v>
      </c>
      <c r="B732">
        <v>6.8</v>
      </c>
      <c r="C732" s="8" t="s">
        <v>812</v>
      </c>
      <c r="D732">
        <v>6</v>
      </c>
      <c r="E732">
        <v>6</v>
      </c>
      <c r="F732" t="s">
        <v>21</v>
      </c>
      <c r="G732">
        <v>1</v>
      </c>
      <c r="H732">
        <v>741</v>
      </c>
      <c r="I732" t="s">
        <v>22</v>
      </c>
      <c r="J732">
        <v>0</v>
      </c>
      <c r="K732">
        <v>4.1070000000000002</v>
      </c>
      <c r="L732">
        <v>18</v>
      </c>
      <c r="M732" t="s">
        <v>23</v>
      </c>
      <c r="N732">
        <v>101</v>
      </c>
      <c r="O732">
        <v>-14.598000000000001</v>
      </c>
      <c r="P732">
        <v>-73.571399999999997</v>
      </c>
      <c r="Q732" t="s">
        <v>813</v>
      </c>
      <c r="R732" t="s">
        <v>78</v>
      </c>
      <c r="S732" t="s">
        <v>83</v>
      </c>
      <c r="T732">
        <v>6</v>
      </c>
      <c r="U732">
        <v>6.8</v>
      </c>
      <c r="V732">
        <v>0</v>
      </c>
      <c r="W732">
        <v>4.1070000000000002</v>
      </c>
      <c r="X732">
        <v>18</v>
      </c>
      <c r="Y732">
        <v>101</v>
      </c>
      <c r="Z732">
        <v>6</v>
      </c>
      <c r="AA732">
        <v>6</v>
      </c>
      <c r="AB732">
        <v>1</v>
      </c>
      <c r="AC732">
        <v>741</v>
      </c>
      <c r="AD732" s="8">
        <v>41875</v>
      </c>
      <c r="AE732" s="8"/>
      <c r="AF732" s="8"/>
    </row>
    <row r="733" spans="1:32">
      <c r="A733" t="s">
        <v>434</v>
      </c>
      <c r="B733">
        <v>7.1</v>
      </c>
      <c r="C733" s="8" t="s">
        <v>435</v>
      </c>
      <c r="D733">
        <v>0</v>
      </c>
      <c r="E733">
        <v>3</v>
      </c>
      <c r="F733" t="s">
        <v>21</v>
      </c>
      <c r="G733">
        <v>0</v>
      </c>
      <c r="H733">
        <v>776</v>
      </c>
      <c r="I733" t="s">
        <v>22</v>
      </c>
      <c r="J733">
        <v>0</v>
      </c>
      <c r="K733">
        <v>3.77</v>
      </c>
      <c r="L733">
        <v>12</v>
      </c>
      <c r="M733" t="s">
        <v>23</v>
      </c>
      <c r="N733">
        <v>630</v>
      </c>
      <c r="O733">
        <v>-11.035500000000001</v>
      </c>
      <c r="P733">
        <v>-70.828400000000002</v>
      </c>
      <c r="Q733" t="s">
        <v>436</v>
      </c>
      <c r="R733" t="s">
        <v>78</v>
      </c>
      <c r="S733" t="s">
        <v>83</v>
      </c>
      <c r="T733">
        <v>6</v>
      </c>
      <c r="U733">
        <v>7.1</v>
      </c>
      <c r="V733">
        <v>0</v>
      </c>
      <c r="W733">
        <v>3.77</v>
      </c>
      <c r="X733">
        <v>12</v>
      </c>
      <c r="Y733">
        <v>630</v>
      </c>
      <c r="Z733">
        <v>0</v>
      </c>
      <c r="AA733">
        <v>3</v>
      </c>
      <c r="AB733">
        <v>0</v>
      </c>
      <c r="AC733">
        <v>776</v>
      </c>
      <c r="AD733" s="8">
        <v>43336</v>
      </c>
      <c r="AE733" s="8"/>
      <c r="AF733" s="8"/>
    </row>
    <row r="734" spans="1:32">
      <c r="A734" t="s">
        <v>683</v>
      </c>
      <c r="B734">
        <v>7.6</v>
      </c>
      <c r="C734" s="8" t="s">
        <v>684</v>
      </c>
      <c r="D734">
        <v>6</v>
      </c>
      <c r="E734">
        <v>5</v>
      </c>
      <c r="F734" t="s">
        <v>21</v>
      </c>
      <c r="G734">
        <v>1</v>
      </c>
      <c r="H734">
        <v>957</v>
      </c>
      <c r="I734" t="s">
        <v>22</v>
      </c>
      <c r="J734">
        <v>0</v>
      </c>
      <c r="K734">
        <v>3.2869999999999999</v>
      </c>
      <c r="L734">
        <v>10</v>
      </c>
      <c r="M734" t="s">
        <v>23</v>
      </c>
      <c r="N734">
        <v>606.21</v>
      </c>
      <c r="O734">
        <v>-10.5372</v>
      </c>
      <c r="P734">
        <v>-70.943700000000007</v>
      </c>
      <c r="Q734" t="s">
        <v>436</v>
      </c>
      <c r="R734" t="s">
        <v>78</v>
      </c>
      <c r="S734" t="s">
        <v>83</v>
      </c>
      <c r="T734">
        <v>6</v>
      </c>
      <c r="U734">
        <v>7.6</v>
      </c>
      <c r="V734">
        <v>0</v>
      </c>
      <c r="W734">
        <v>3.2869999999999999</v>
      </c>
      <c r="X734">
        <v>10</v>
      </c>
      <c r="Y734">
        <v>606.21</v>
      </c>
      <c r="Z734">
        <v>6</v>
      </c>
      <c r="AA734">
        <v>5</v>
      </c>
      <c r="AB734">
        <v>1</v>
      </c>
      <c r="AC734">
        <v>957</v>
      </c>
      <c r="AD734" s="8">
        <v>42332</v>
      </c>
      <c r="AE734" s="8"/>
      <c r="AF734" s="8"/>
    </row>
    <row r="735" spans="1:32">
      <c r="A735" t="s">
        <v>681</v>
      </c>
      <c r="B735">
        <v>7.6</v>
      </c>
      <c r="C735" s="8" t="s">
        <v>682</v>
      </c>
      <c r="D735">
        <v>5</v>
      </c>
      <c r="E735">
        <v>4</v>
      </c>
      <c r="F735" t="s">
        <v>21</v>
      </c>
      <c r="G735">
        <v>0</v>
      </c>
      <c r="H735">
        <v>896</v>
      </c>
      <c r="I735" t="s">
        <v>22</v>
      </c>
      <c r="J735">
        <v>0</v>
      </c>
      <c r="K735">
        <v>2.8519999999999999</v>
      </c>
      <c r="L735">
        <v>10</v>
      </c>
      <c r="M735" t="s">
        <v>23</v>
      </c>
      <c r="N735">
        <v>620.55999999999995</v>
      </c>
      <c r="O735">
        <v>-10.059799999999999</v>
      </c>
      <c r="P735">
        <v>-71.0184</v>
      </c>
      <c r="Q735" t="s">
        <v>436</v>
      </c>
      <c r="R735" t="s">
        <v>78</v>
      </c>
      <c r="S735" t="s">
        <v>83</v>
      </c>
      <c r="T735">
        <v>6</v>
      </c>
      <c r="U735">
        <v>7.6</v>
      </c>
      <c r="V735">
        <v>0</v>
      </c>
      <c r="W735">
        <v>2.8519999999999999</v>
      </c>
      <c r="X735">
        <v>10</v>
      </c>
      <c r="Y735">
        <v>620.55999999999995</v>
      </c>
      <c r="Z735">
        <v>5</v>
      </c>
      <c r="AA735">
        <v>4</v>
      </c>
      <c r="AB735">
        <v>0</v>
      </c>
      <c r="AC735">
        <v>896</v>
      </c>
      <c r="AD735" s="8">
        <v>42332</v>
      </c>
      <c r="AE735" s="8"/>
      <c r="AF735" s="8"/>
    </row>
    <row r="736" spans="1:32">
      <c r="A736" t="s">
        <v>1040</v>
      </c>
      <c r="B736">
        <v>7.1</v>
      </c>
      <c r="C736" s="8" t="s">
        <v>1041</v>
      </c>
      <c r="D736">
        <v>7</v>
      </c>
      <c r="E736">
        <v>7</v>
      </c>
      <c r="G736">
        <v>0</v>
      </c>
      <c r="H736">
        <v>1496</v>
      </c>
      <c r="I736" t="s">
        <v>22</v>
      </c>
      <c r="J736">
        <v>553</v>
      </c>
      <c r="K736">
        <v>0</v>
      </c>
      <c r="L736">
        <v>15.2</v>
      </c>
      <c r="M736" t="s">
        <v>23</v>
      </c>
      <c r="N736">
        <v>40.700000000000003</v>
      </c>
      <c r="O736">
        <v>-35.200000000000003</v>
      </c>
      <c r="P736">
        <v>-72.216999999999999</v>
      </c>
      <c r="Q736" t="s">
        <v>320</v>
      </c>
      <c r="R736" t="s">
        <v>78</v>
      </c>
      <c r="S736" t="s">
        <v>245</v>
      </c>
      <c r="T736">
        <v>6</v>
      </c>
      <c r="U736">
        <v>7.1</v>
      </c>
      <c r="V736">
        <v>553</v>
      </c>
      <c r="W736">
        <v>0</v>
      </c>
      <c r="X736">
        <v>15.2</v>
      </c>
      <c r="Y736">
        <v>40.700000000000003</v>
      </c>
      <c r="Z736">
        <v>7</v>
      </c>
      <c r="AA736">
        <v>7</v>
      </c>
      <c r="AB736">
        <v>0</v>
      </c>
      <c r="AC736">
        <v>1496</v>
      </c>
      <c r="AD736" s="8">
        <v>40993</v>
      </c>
      <c r="AE736" s="8"/>
      <c r="AF736" s="8"/>
    </row>
    <row r="737" spans="1:32">
      <c r="A737" t="s">
        <v>908</v>
      </c>
      <c r="B737">
        <v>7.1</v>
      </c>
      <c r="C737" s="8" t="s">
        <v>909</v>
      </c>
      <c r="D737">
        <v>8</v>
      </c>
      <c r="E737">
        <v>7</v>
      </c>
      <c r="F737" t="s">
        <v>21</v>
      </c>
      <c r="G737">
        <v>1</v>
      </c>
      <c r="H737">
        <v>843</v>
      </c>
      <c r="I737" t="s">
        <v>22</v>
      </c>
      <c r="J737">
        <v>0</v>
      </c>
      <c r="K737">
        <v>4.4459999999999997</v>
      </c>
      <c r="L737">
        <v>17</v>
      </c>
      <c r="M737" t="s">
        <v>23</v>
      </c>
      <c r="N737">
        <v>40</v>
      </c>
      <c r="O737">
        <v>-15.8385</v>
      </c>
      <c r="P737">
        <v>-74.511200000000002</v>
      </c>
      <c r="Q737" t="s">
        <v>479</v>
      </c>
      <c r="R737" t="s">
        <v>78</v>
      </c>
      <c r="S737" t="s">
        <v>83</v>
      </c>
      <c r="T737">
        <v>6</v>
      </c>
      <c r="U737">
        <v>7.1</v>
      </c>
      <c r="V737">
        <v>0</v>
      </c>
      <c r="W737">
        <v>4.4459999999999997</v>
      </c>
      <c r="X737">
        <v>17</v>
      </c>
      <c r="Y737">
        <v>40</v>
      </c>
      <c r="Z737">
        <v>8</v>
      </c>
      <c r="AA737">
        <v>7</v>
      </c>
      <c r="AB737">
        <v>1</v>
      </c>
      <c r="AC737">
        <v>843</v>
      </c>
      <c r="AD737" s="8">
        <v>41542</v>
      </c>
      <c r="AE737" s="8"/>
      <c r="AF737" s="8"/>
    </row>
    <row r="738" spans="1:32">
      <c r="A738" t="s">
        <v>569</v>
      </c>
      <c r="B738">
        <v>7.6</v>
      </c>
      <c r="C738" s="8" t="s">
        <v>570</v>
      </c>
      <c r="D738">
        <v>9</v>
      </c>
      <c r="E738">
        <v>8</v>
      </c>
      <c r="F738" t="s">
        <v>45</v>
      </c>
      <c r="G738">
        <v>1</v>
      </c>
      <c r="H738">
        <v>1152</v>
      </c>
      <c r="I738" t="s">
        <v>22</v>
      </c>
      <c r="J738">
        <v>0</v>
      </c>
      <c r="K738">
        <v>0.35499999999999998</v>
      </c>
      <c r="L738">
        <v>29</v>
      </c>
      <c r="M738" t="s">
        <v>23</v>
      </c>
      <c r="N738">
        <v>38</v>
      </c>
      <c r="O738">
        <v>-43.406399999999998</v>
      </c>
      <c r="P738">
        <v>-73.941299999999998</v>
      </c>
      <c r="Q738" t="s">
        <v>571</v>
      </c>
      <c r="R738" t="s">
        <v>78</v>
      </c>
      <c r="S738" t="s">
        <v>245</v>
      </c>
      <c r="T738">
        <v>6</v>
      </c>
      <c r="U738">
        <v>7.6</v>
      </c>
      <c r="V738">
        <v>0</v>
      </c>
      <c r="W738">
        <v>0.35499999999999998</v>
      </c>
      <c r="X738">
        <v>29</v>
      </c>
      <c r="Y738">
        <v>38</v>
      </c>
      <c r="Z738">
        <v>9</v>
      </c>
      <c r="AA738">
        <v>8</v>
      </c>
      <c r="AB738">
        <v>1</v>
      </c>
      <c r="AC738">
        <v>1152</v>
      </c>
      <c r="AD738" s="8">
        <v>42729</v>
      </c>
      <c r="AE738" s="8"/>
      <c r="AF738" s="8"/>
    </row>
    <row r="739" spans="1:32">
      <c r="A739" t="s">
        <v>356</v>
      </c>
      <c r="B739">
        <v>8</v>
      </c>
      <c r="C739" s="8" t="s">
        <v>357</v>
      </c>
      <c r="D739">
        <v>9</v>
      </c>
      <c r="E739">
        <v>8</v>
      </c>
      <c r="F739" t="s">
        <v>66</v>
      </c>
      <c r="G739">
        <v>1</v>
      </c>
      <c r="H739">
        <v>1890</v>
      </c>
      <c r="I739" t="s">
        <v>22</v>
      </c>
      <c r="J739">
        <v>0</v>
      </c>
      <c r="K739">
        <v>3.18</v>
      </c>
      <c r="L739">
        <v>17</v>
      </c>
      <c r="M739" t="s">
        <v>23</v>
      </c>
      <c r="N739">
        <v>122.57</v>
      </c>
      <c r="O739">
        <v>-5.8118999999999996</v>
      </c>
      <c r="P739">
        <v>-75.2697</v>
      </c>
      <c r="Q739" t="s">
        <v>358</v>
      </c>
      <c r="R739" t="s">
        <v>78</v>
      </c>
      <c r="S739" t="s">
        <v>83</v>
      </c>
      <c r="T739">
        <v>6</v>
      </c>
      <c r="U739">
        <v>8</v>
      </c>
      <c r="V739">
        <v>0</v>
      </c>
      <c r="W739">
        <v>3.18</v>
      </c>
      <c r="X739">
        <v>17</v>
      </c>
      <c r="Y739">
        <v>122.57</v>
      </c>
      <c r="Z739">
        <v>9</v>
      </c>
      <c r="AA739">
        <v>8</v>
      </c>
      <c r="AB739">
        <v>1</v>
      </c>
      <c r="AC739">
        <v>1890</v>
      </c>
      <c r="AD739" s="8">
        <v>43611</v>
      </c>
      <c r="AE739" s="8"/>
      <c r="AF739" s="8"/>
    </row>
    <row r="740" spans="1:32">
      <c r="A740" t="s">
        <v>80</v>
      </c>
      <c r="B740">
        <v>7.2</v>
      </c>
      <c r="C740" s="8" t="s">
        <v>81</v>
      </c>
      <c r="D740">
        <v>7</v>
      </c>
      <c r="E740">
        <v>5</v>
      </c>
      <c r="F740" t="s">
        <v>21</v>
      </c>
      <c r="G740">
        <v>1</v>
      </c>
      <c r="H740">
        <v>876</v>
      </c>
      <c r="I740" t="s">
        <v>22</v>
      </c>
      <c r="J740">
        <v>144</v>
      </c>
      <c r="K740">
        <v>2.4940000000000002</v>
      </c>
      <c r="L740">
        <v>40</v>
      </c>
      <c r="M740" t="s">
        <v>23</v>
      </c>
      <c r="N740">
        <v>236</v>
      </c>
      <c r="O740">
        <v>-14.8628</v>
      </c>
      <c r="P740">
        <v>-70.308099999999996</v>
      </c>
      <c r="Q740" t="s">
        <v>82</v>
      </c>
      <c r="R740" t="s">
        <v>78</v>
      </c>
      <c r="S740" t="s">
        <v>83</v>
      </c>
      <c r="T740">
        <v>6</v>
      </c>
      <c r="U740">
        <v>7.2</v>
      </c>
      <c r="V740">
        <v>144</v>
      </c>
      <c r="W740">
        <v>2.4940000000000002</v>
      </c>
      <c r="X740">
        <v>40</v>
      </c>
      <c r="Y740">
        <v>236</v>
      </c>
      <c r="Z740">
        <v>7</v>
      </c>
      <c r="AA740">
        <v>5</v>
      </c>
      <c r="AB740">
        <v>1</v>
      </c>
      <c r="AC740">
        <v>876</v>
      </c>
      <c r="AD740" s="8">
        <v>44707</v>
      </c>
      <c r="AE740" s="8"/>
      <c r="AF740" s="8"/>
    </row>
    <row r="741" spans="1:32">
      <c r="A741" t="s">
        <v>1699</v>
      </c>
      <c r="B741">
        <v>6.7</v>
      </c>
      <c r="C741" s="8" t="s">
        <v>1700</v>
      </c>
      <c r="D741">
        <v>0</v>
      </c>
      <c r="E741">
        <v>6</v>
      </c>
      <c r="G741">
        <v>0</v>
      </c>
      <c r="H741">
        <v>691</v>
      </c>
      <c r="I741" t="s">
        <v>22</v>
      </c>
      <c r="J741">
        <v>422</v>
      </c>
      <c r="K741">
        <v>0</v>
      </c>
      <c r="L741">
        <v>0</v>
      </c>
      <c r="M741" t="s">
        <v>829</v>
      </c>
      <c r="N741">
        <v>24</v>
      </c>
      <c r="O741">
        <v>-17.745000000000001</v>
      </c>
      <c r="P741">
        <v>-71.649000000000001</v>
      </c>
      <c r="Q741" t="s">
        <v>1701</v>
      </c>
      <c r="R741" t="s">
        <v>78</v>
      </c>
      <c r="S741" t="s">
        <v>83</v>
      </c>
      <c r="T741">
        <v>6</v>
      </c>
      <c r="U741">
        <v>6.7</v>
      </c>
      <c r="V741">
        <v>422</v>
      </c>
      <c r="W741">
        <v>0</v>
      </c>
      <c r="X741">
        <v>0</v>
      </c>
      <c r="Y741">
        <v>24</v>
      </c>
      <c r="Z741">
        <v>0</v>
      </c>
      <c r="AA741">
        <v>6</v>
      </c>
      <c r="AB741">
        <v>0</v>
      </c>
      <c r="AC741">
        <v>691</v>
      </c>
      <c r="AD741" s="8">
        <v>37068</v>
      </c>
      <c r="AE741" s="8"/>
      <c r="AF741" s="8"/>
    </row>
    <row r="742" spans="1:32">
      <c r="A742" t="s">
        <v>1459</v>
      </c>
      <c r="B742">
        <v>7.5</v>
      </c>
      <c r="C742" s="8" t="s">
        <v>1460</v>
      </c>
      <c r="D742">
        <v>8</v>
      </c>
      <c r="E742">
        <v>7</v>
      </c>
      <c r="G742">
        <v>0</v>
      </c>
      <c r="H742">
        <v>1018</v>
      </c>
      <c r="I742" t="s">
        <v>22</v>
      </c>
      <c r="J742">
        <v>696</v>
      </c>
      <c r="K742">
        <v>0</v>
      </c>
      <c r="L742">
        <v>26.2</v>
      </c>
      <c r="M742" t="s">
        <v>36</v>
      </c>
      <c r="N742">
        <v>115</v>
      </c>
      <c r="O742">
        <v>-5.6779999999999999</v>
      </c>
      <c r="P742">
        <v>-76.397999999999996</v>
      </c>
      <c r="Q742" t="s">
        <v>1461</v>
      </c>
      <c r="R742" t="s">
        <v>78</v>
      </c>
      <c r="S742" t="s">
        <v>83</v>
      </c>
      <c r="T742">
        <v>6</v>
      </c>
      <c r="U742">
        <v>7.5</v>
      </c>
      <c r="V742">
        <v>696</v>
      </c>
      <c r="W742">
        <v>0</v>
      </c>
      <c r="X742">
        <v>26.2</v>
      </c>
      <c r="Y742">
        <v>115</v>
      </c>
      <c r="Z742">
        <v>8</v>
      </c>
      <c r="AA742">
        <v>7</v>
      </c>
      <c r="AB742">
        <v>0</v>
      </c>
      <c r="AC742">
        <v>1018</v>
      </c>
      <c r="AD742" s="8">
        <v>38621</v>
      </c>
      <c r="AE742" s="8"/>
      <c r="AF742" s="8"/>
    </row>
    <row r="743" spans="1:32">
      <c r="A743" t="s">
        <v>679</v>
      </c>
      <c r="B743">
        <v>6.7</v>
      </c>
      <c r="C743" s="8" t="s">
        <v>680</v>
      </c>
      <c r="D743">
        <v>2</v>
      </c>
      <c r="E743">
        <v>3</v>
      </c>
      <c r="F743" t="s">
        <v>21</v>
      </c>
      <c r="G743">
        <v>0</v>
      </c>
      <c r="H743">
        <v>691</v>
      </c>
      <c r="I743" t="s">
        <v>22</v>
      </c>
      <c r="J743">
        <v>0</v>
      </c>
      <c r="K743">
        <v>2.0329999999999999</v>
      </c>
      <c r="L743">
        <v>19</v>
      </c>
      <c r="M743" t="s">
        <v>23</v>
      </c>
      <c r="N743">
        <v>602.75</v>
      </c>
      <c r="O743">
        <v>-9.1824999999999992</v>
      </c>
      <c r="P743">
        <v>-71.257400000000004</v>
      </c>
      <c r="Q743" t="s">
        <v>77</v>
      </c>
      <c r="R743" t="s">
        <v>78</v>
      </c>
      <c r="S743" t="s">
        <v>79</v>
      </c>
      <c r="T743">
        <v>6</v>
      </c>
      <c r="U743">
        <v>6.7</v>
      </c>
      <c r="V743">
        <v>0</v>
      </c>
      <c r="W743">
        <v>2.0329999999999999</v>
      </c>
      <c r="X743">
        <v>19</v>
      </c>
      <c r="Y743">
        <v>602.75</v>
      </c>
      <c r="Z743">
        <v>2</v>
      </c>
      <c r="AA743">
        <v>3</v>
      </c>
      <c r="AB743">
        <v>0</v>
      </c>
      <c r="AC743">
        <v>691</v>
      </c>
      <c r="AD743" s="8">
        <v>42334</v>
      </c>
      <c r="AE743" s="8"/>
      <c r="AF743" s="8"/>
    </row>
    <row r="744" spans="1:32">
      <c r="A744" t="s">
        <v>1195</v>
      </c>
      <c r="B744">
        <v>8.8000000000000007</v>
      </c>
      <c r="C744" s="8" t="s">
        <v>1196</v>
      </c>
      <c r="D744">
        <v>8</v>
      </c>
      <c r="E744">
        <v>8</v>
      </c>
      <c r="G744">
        <v>0</v>
      </c>
      <c r="H744">
        <v>1991</v>
      </c>
      <c r="I744" t="s">
        <v>1039</v>
      </c>
      <c r="J744">
        <v>454</v>
      </c>
      <c r="K744">
        <v>0</v>
      </c>
      <c r="L744">
        <v>17.8</v>
      </c>
      <c r="M744" t="s">
        <v>23</v>
      </c>
      <c r="N744">
        <v>22.9</v>
      </c>
      <c r="O744">
        <v>-36.122</v>
      </c>
      <c r="P744">
        <v>-72.897999999999996</v>
      </c>
      <c r="Q744" t="s">
        <v>1197</v>
      </c>
      <c r="R744" t="s">
        <v>78</v>
      </c>
      <c r="S744" t="s">
        <v>245</v>
      </c>
      <c r="T744">
        <v>6</v>
      </c>
      <c r="U744">
        <v>8.8000000000000007</v>
      </c>
      <c r="V744">
        <v>454</v>
      </c>
      <c r="W744">
        <v>0</v>
      </c>
      <c r="X744">
        <v>17.8</v>
      </c>
      <c r="Y744">
        <v>22.9</v>
      </c>
      <c r="Z744">
        <v>8</v>
      </c>
      <c r="AA744">
        <v>8</v>
      </c>
      <c r="AB744">
        <v>0</v>
      </c>
      <c r="AC744">
        <v>1991</v>
      </c>
      <c r="AD744" s="8">
        <v>40236</v>
      </c>
      <c r="AE744" s="8"/>
      <c r="AF744" s="8"/>
    </row>
    <row r="745" spans="1:32">
      <c r="A745" t="s">
        <v>1192</v>
      </c>
      <c r="B745">
        <v>7.4</v>
      </c>
      <c r="C745" s="8" t="s">
        <v>1193</v>
      </c>
      <c r="D745">
        <v>0</v>
      </c>
      <c r="E745">
        <v>5</v>
      </c>
      <c r="G745">
        <v>0</v>
      </c>
      <c r="H745">
        <v>842</v>
      </c>
      <c r="I745" t="s">
        <v>22</v>
      </c>
      <c r="J745">
        <v>409</v>
      </c>
      <c r="K745">
        <v>0</v>
      </c>
      <c r="L745">
        <v>17.600000000000001</v>
      </c>
      <c r="M745" t="s">
        <v>829</v>
      </c>
      <c r="N745">
        <v>35</v>
      </c>
      <c r="O745">
        <v>-37.773000000000003</v>
      </c>
      <c r="P745">
        <v>-75.048000000000002</v>
      </c>
      <c r="Q745" t="s">
        <v>1194</v>
      </c>
      <c r="R745" t="s">
        <v>78</v>
      </c>
      <c r="S745" t="s">
        <v>245</v>
      </c>
      <c r="T745">
        <v>6</v>
      </c>
      <c r="U745">
        <v>7.4</v>
      </c>
      <c r="V745">
        <v>409</v>
      </c>
      <c r="W745">
        <v>0</v>
      </c>
      <c r="X745">
        <v>17.600000000000001</v>
      </c>
      <c r="Y745">
        <v>35</v>
      </c>
      <c r="Z745">
        <v>0</v>
      </c>
      <c r="AA745">
        <v>5</v>
      </c>
      <c r="AB745">
        <v>0</v>
      </c>
      <c r="AC745">
        <v>842</v>
      </c>
      <c r="AD745" s="8">
        <v>40236</v>
      </c>
      <c r="AE745" s="8"/>
      <c r="AF745" s="8"/>
    </row>
    <row r="746" spans="1:32">
      <c r="A746" t="s">
        <v>228</v>
      </c>
      <c r="B746">
        <v>6.7</v>
      </c>
      <c r="C746" s="8" t="s">
        <v>229</v>
      </c>
      <c r="D746">
        <v>5</v>
      </c>
      <c r="E746">
        <v>5</v>
      </c>
      <c r="F746" t="s">
        <v>21</v>
      </c>
      <c r="G746">
        <v>1</v>
      </c>
      <c r="H746">
        <v>776</v>
      </c>
      <c r="I746" t="s">
        <v>22</v>
      </c>
      <c r="J746">
        <v>0</v>
      </c>
      <c r="K746">
        <v>1.319</v>
      </c>
      <c r="L746">
        <v>19</v>
      </c>
      <c r="M746" t="s">
        <v>23</v>
      </c>
      <c r="N746">
        <v>10</v>
      </c>
      <c r="O746">
        <v>-39.3264</v>
      </c>
      <c r="P746">
        <v>-74.906700000000001</v>
      </c>
      <c r="Q746" t="s">
        <v>230</v>
      </c>
      <c r="R746" t="s">
        <v>78</v>
      </c>
      <c r="S746" t="s">
        <v>245</v>
      </c>
      <c r="T746">
        <v>6</v>
      </c>
      <c r="U746">
        <v>6.7</v>
      </c>
      <c r="V746">
        <v>0</v>
      </c>
      <c r="W746">
        <v>1.319</v>
      </c>
      <c r="X746">
        <v>19</v>
      </c>
      <c r="Y746">
        <v>10</v>
      </c>
      <c r="Z746">
        <v>5</v>
      </c>
      <c r="AA746">
        <v>5</v>
      </c>
      <c r="AB746">
        <v>1</v>
      </c>
      <c r="AC746">
        <v>776</v>
      </c>
      <c r="AD746" s="8">
        <v>44192</v>
      </c>
      <c r="AE746" s="8"/>
      <c r="AF746" s="8"/>
    </row>
    <row r="747" spans="1:32">
      <c r="A747" t="s">
        <v>1661</v>
      </c>
      <c r="B747">
        <v>6.5</v>
      </c>
      <c r="C747" s="8" t="s">
        <v>1662</v>
      </c>
      <c r="D747">
        <v>0</v>
      </c>
      <c r="E747">
        <v>5</v>
      </c>
      <c r="G747">
        <v>0</v>
      </c>
      <c r="H747">
        <v>650</v>
      </c>
      <c r="I747" t="s">
        <v>22</v>
      </c>
      <c r="J747">
        <v>486</v>
      </c>
      <c r="K747">
        <v>0</v>
      </c>
      <c r="L747">
        <v>0</v>
      </c>
      <c r="M747" t="s">
        <v>829</v>
      </c>
      <c r="N747">
        <v>125.1</v>
      </c>
      <c r="O747">
        <v>-21.663</v>
      </c>
      <c r="P747">
        <v>-68.328999999999994</v>
      </c>
      <c r="Q747" t="s">
        <v>1663</v>
      </c>
      <c r="R747" t="s">
        <v>78</v>
      </c>
      <c r="S747" t="s">
        <v>245</v>
      </c>
      <c r="T747">
        <v>6</v>
      </c>
      <c r="U747">
        <v>6.5</v>
      </c>
      <c r="V747">
        <v>486</v>
      </c>
      <c r="W747">
        <v>0</v>
      </c>
      <c r="X747">
        <v>0</v>
      </c>
      <c r="Y747">
        <v>125.1</v>
      </c>
      <c r="Z747">
        <v>0</v>
      </c>
      <c r="AA747">
        <v>5</v>
      </c>
      <c r="AB747">
        <v>0</v>
      </c>
      <c r="AC747">
        <v>650</v>
      </c>
      <c r="AD747" s="8">
        <v>37343</v>
      </c>
      <c r="AE747" s="8"/>
      <c r="AF747" s="8"/>
    </row>
    <row r="748" spans="1:32">
      <c r="A748" t="s">
        <v>1543</v>
      </c>
      <c r="B748">
        <v>6.5</v>
      </c>
      <c r="C748" s="8" t="s">
        <v>1544</v>
      </c>
      <c r="D748">
        <v>0</v>
      </c>
      <c r="E748">
        <v>7</v>
      </c>
      <c r="G748">
        <v>0</v>
      </c>
      <c r="H748">
        <v>650</v>
      </c>
      <c r="I748" t="s">
        <v>22</v>
      </c>
      <c r="J748">
        <v>349</v>
      </c>
      <c r="K748">
        <v>0</v>
      </c>
      <c r="L748">
        <v>30.1</v>
      </c>
      <c r="M748" t="s">
        <v>36</v>
      </c>
      <c r="N748">
        <v>5</v>
      </c>
      <c r="O748">
        <v>-35.173000000000002</v>
      </c>
      <c r="P748">
        <v>-70.525000000000006</v>
      </c>
      <c r="Q748" t="s">
        <v>1545</v>
      </c>
      <c r="R748" t="s">
        <v>78</v>
      </c>
      <c r="S748" t="s">
        <v>245</v>
      </c>
      <c r="T748">
        <v>6</v>
      </c>
      <c r="U748">
        <v>6.5</v>
      </c>
      <c r="V748">
        <v>349</v>
      </c>
      <c r="W748">
        <v>0</v>
      </c>
      <c r="X748">
        <v>30.1</v>
      </c>
      <c r="Y748">
        <v>5</v>
      </c>
      <c r="Z748">
        <v>0</v>
      </c>
      <c r="AA748">
        <v>7</v>
      </c>
      <c r="AB748">
        <v>0</v>
      </c>
      <c r="AC748">
        <v>650</v>
      </c>
      <c r="AD748" s="8">
        <v>38227</v>
      </c>
      <c r="AE748" s="8"/>
      <c r="AF748" s="8"/>
    </row>
    <row r="749" spans="1:32">
      <c r="A749" t="s">
        <v>1061</v>
      </c>
      <c r="B749">
        <v>6.9</v>
      </c>
      <c r="C749" s="8" t="s">
        <v>1062</v>
      </c>
      <c r="D749">
        <v>6</v>
      </c>
      <c r="E749">
        <v>7</v>
      </c>
      <c r="G749">
        <v>0</v>
      </c>
      <c r="H749">
        <v>847</v>
      </c>
      <c r="I749" t="s">
        <v>22</v>
      </c>
      <c r="J749">
        <v>474</v>
      </c>
      <c r="K749">
        <v>0</v>
      </c>
      <c r="L749">
        <v>46.5</v>
      </c>
      <c r="M749" t="s">
        <v>23</v>
      </c>
      <c r="N749">
        <v>24</v>
      </c>
      <c r="O749">
        <v>-14.438000000000001</v>
      </c>
      <c r="P749">
        <v>-75.965999999999994</v>
      </c>
      <c r="Q749" t="s">
        <v>1063</v>
      </c>
      <c r="R749" t="s">
        <v>78</v>
      </c>
      <c r="S749" t="s">
        <v>83</v>
      </c>
      <c r="T749">
        <v>6</v>
      </c>
      <c r="U749">
        <v>6.9</v>
      </c>
      <c r="V749">
        <v>474</v>
      </c>
      <c r="W749">
        <v>0</v>
      </c>
      <c r="X749">
        <v>46.5</v>
      </c>
      <c r="Y749">
        <v>24</v>
      </c>
      <c r="Z749">
        <v>6</v>
      </c>
      <c r="AA749">
        <v>7</v>
      </c>
      <c r="AB749">
        <v>0</v>
      </c>
      <c r="AC749">
        <v>847</v>
      </c>
      <c r="AD749" s="8">
        <v>40844</v>
      </c>
      <c r="AE749" s="8"/>
      <c r="AF749" s="8"/>
    </row>
    <row r="750" spans="1:32">
      <c r="A750" t="s">
        <v>138</v>
      </c>
      <c r="B750">
        <v>7.5</v>
      </c>
      <c r="C750" s="8" t="s">
        <v>139</v>
      </c>
      <c r="D750">
        <v>8</v>
      </c>
      <c r="E750">
        <v>8</v>
      </c>
      <c r="F750" t="s">
        <v>45</v>
      </c>
      <c r="G750">
        <v>1</v>
      </c>
      <c r="H750">
        <v>1094</v>
      </c>
      <c r="I750" t="s">
        <v>22</v>
      </c>
      <c r="J750">
        <v>0</v>
      </c>
      <c r="K750">
        <v>4.9509999999999996</v>
      </c>
      <c r="L750">
        <v>40</v>
      </c>
      <c r="M750" t="s">
        <v>23</v>
      </c>
      <c r="N750">
        <v>126</v>
      </c>
      <c r="O750">
        <v>-4.4897999999999998</v>
      </c>
      <c r="P750">
        <v>-76.846100000000007</v>
      </c>
      <c r="Q750" t="s">
        <v>113</v>
      </c>
      <c r="R750" t="s">
        <v>78</v>
      </c>
      <c r="S750" t="s">
        <v>83</v>
      </c>
      <c r="T750">
        <v>6</v>
      </c>
      <c r="U750">
        <v>7.5</v>
      </c>
      <c r="V750">
        <v>0</v>
      </c>
      <c r="W750">
        <v>4.9509999999999996</v>
      </c>
      <c r="X750">
        <v>40</v>
      </c>
      <c r="Y750">
        <v>126</v>
      </c>
      <c r="Z750">
        <v>8</v>
      </c>
      <c r="AA750">
        <v>8</v>
      </c>
      <c r="AB750">
        <v>1</v>
      </c>
      <c r="AC750">
        <v>1094</v>
      </c>
      <c r="AD750" s="8">
        <v>44528</v>
      </c>
      <c r="AE750" s="8"/>
      <c r="AF750" s="8"/>
    </row>
    <row r="751" spans="1:32">
      <c r="A751" t="s">
        <v>318</v>
      </c>
      <c r="B751">
        <v>6.7</v>
      </c>
      <c r="C751" s="8" t="s">
        <v>319</v>
      </c>
      <c r="D751">
        <v>7</v>
      </c>
      <c r="E751">
        <v>6</v>
      </c>
      <c r="F751" t="s">
        <v>21</v>
      </c>
      <c r="G751">
        <v>1</v>
      </c>
      <c r="H751">
        <v>844</v>
      </c>
      <c r="I751" t="s">
        <v>22</v>
      </c>
      <c r="J751">
        <v>0</v>
      </c>
      <c r="K751">
        <v>1.2689999999999999</v>
      </c>
      <c r="L751">
        <v>98</v>
      </c>
      <c r="M751" t="s">
        <v>23</v>
      </c>
      <c r="N751">
        <v>11</v>
      </c>
      <c r="O751">
        <v>-35.4758</v>
      </c>
      <c r="P751">
        <v>-73.162999999999997</v>
      </c>
      <c r="Q751" t="s">
        <v>320</v>
      </c>
      <c r="R751" t="s">
        <v>78</v>
      </c>
      <c r="S751" t="s">
        <v>245</v>
      </c>
      <c r="T751">
        <v>6</v>
      </c>
      <c r="U751">
        <v>6.7</v>
      </c>
      <c r="V751">
        <v>0</v>
      </c>
      <c r="W751">
        <v>1.2689999999999999</v>
      </c>
      <c r="X751">
        <v>98</v>
      </c>
      <c r="Y751">
        <v>11</v>
      </c>
      <c r="Z751">
        <v>7</v>
      </c>
      <c r="AA751">
        <v>6</v>
      </c>
      <c r="AB751">
        <v>1</v>
      </c>
      <c r="AC751">
        <v>844</v>
      </c>
      <c r="AD751" s="8">
        <v>43737</v>
      </c>
      <c r="AE751" s="8"/>
      <c r="AF751" s="8"/>
    </row>
    <row r="752" spans="1:32">
      <c r="A752" t="s">
        <v>982</v>
      </c>
      <c r="B752">
        <v>6.8</v>
      </c>
      <c r="C752" s="8" t="s">
        <v>983</v>
      </c>
      <c r="D752">
        <v>6</v>
      </c>
      <c r="E752">
        <v>7</v>
      </c>
      <c r="F752" t="s">
        <v>21</v>
      </c>
      <c r="G752">
        <v>0</v>
      </c>
      <c r="H752">
        <v>771</v>
      </c>
      <c r="I752" t="s">
        <v>22</v>
      </c>
      <c r="J752">
        <v>596</v>
      </c>
      <c r="K752">
        <v>0</v>
      </c>
      <c r="L752">
        <v>19.3</v>
      </c>
      <c r="M752" t="s">
        <v>23</v>
      </c>
      <c r="N752">
        <v>45</v>
      </c>
      <c r="O752">
        <v>-28.094000000000001</v>
      </c>
      <c r="P752">
        <v>-70.653000000000006</v>
      </c>
      <c r="Q752" t="s">
        <v>243</v>
      </c>
      <c r="R752" t="s">
        <v>78</v>
      </c>
      <c r="S752" t="s">
        <v>245</v>
      </c>
      <c r="T752">
        <v>6</v>
      </c>
      <c r="U752">
        <v>6.8</v>
      </c>
      <c r="V752">
        <v>596</v>
      </c>
      <c r="W752">
        <v>0</v>
      </c>
      <c r="X752">
        <v>19.3</v>
      </c>
      <c r="Y752">
        <v>45</v>
      </c>
      <c r="Z752">
        <v>6</v>
      </c>
      <c r="AA752">
        <v>7</v>
      </c>
      <c r="AB752">
        <v>0</v>
      </c>
      <c r="AC752">
        <v>771</v>
      </c>
      <c r="AD752" s="8">
        <v>41304</v>
      </c>
      <c r="AE752" s="8"/>
      <c r="AF752" s="8"/>
    </row>
    <row r="753" spans="1:32">
      <c r="A753" t="s">
        <v>1428</v>
      </c>
      <c r="B753">
        <v>6.7</v>
      </c>
      <c r="C753" s="8" t="s">
        <v>1429</v>
      </c>
      <c r="D753">
        <v>6</v>
      </c>
      <c r="E753">
        <v>7</v>
      </c>
      <c r="G753">
        <v>0</v>
      </c>
      <c r="H753">
        <v>696</v>
      </c>
      <c r="I753" t="s">
        <v>22</v>
      </c>
      <c r="J753">
        <v>277</v>
      </c>
      <c r="K753">
        <v>0</v>
      </c>
      <c r="L753">
        <v>25.6</v>
      </c>
      <c r="M753" t="s">
        <v>36</v>
      </c>
      <c r="N753">
        <v>12</v>
      </c>
      <c r="O753">
        <v>-27.016999999999999</v>
      </c>
      <c r="P753">
        <v>-71.022000000000006</v>
      </c>
      <c r="Q753" t="s">
        <v>1427</v>
      </c>
      <c r="R753" t="s">
        <v>78</v>
      </c>
      <c r="S753" t="s">
        <v>245</v>
      </c>
      <c r="T753">
        <v>6</v>
      </c>
      <c r="U753">
        <v>6.7</v>
      </c>
      <c r="V753">
        <v>277</v>
      </c>
      <c r="W753">
        <v>0</v>
      </c>
      <c r="X753">
        <v>25.6</v>
      </c>
      <c r="Y753">
        <v>12</v>
      </c>
      <c r="Z753">
        <v>6</v>
      </c>
      <c r="AA753">
        <v>7</v>
      </c>
      <c r="AB753">
        <v>0</v>
      </c>
      <c r="AC753">
        <v>696</v>
      </c>
      <c r="AD753" s="8">
        <v>38837</v>
      </c>
      <c r="AE753" s="8"/>
      <c r="AF753" s="8"/>
    </row>
    <row r="754" spans="1:32">
      <c r="A754" t="s">
        <v>1425</v>
      </c>
      <c r="B754">
        <v>6.5</v>
      </c>
      <c r="C754" s="8" t="s">
        <v>1426</v>
      </c>
      <c r="D754">
        <v>7</v>
      </c>
      <c r="E754">
        <v>7</v>
      </c>
      <c r="G754">
        <v>0</v>
      </c>
      <c r="H754">
        <v>653</v>
      </c>
      <c r="I754" t="s">
        <v>22</v>
      </c>
      <c r="J754">
        <v>282</v>
      </c>
      <c r="K754">
        <v>0</v>
      </c>
      <c r="L754">
        <v>46.3</v>
      </c>
      <c r="M754" t="s">
        <v>829</v>
      </c>
      <c r="N754">
        <v>12</v>
      </c>
      <c r="O754">
        <v>-27.210999999999999</v>
      </c>
      <c r="P754">
        <v>-71.055999999999997</v>
      </c>
      <c r="Q754" t="s">
        <v>1427</v>
      </c>
      <c r="R754" t="s">
        <v>78</v>
      </c>
      <c r="S754" t="s">
        <v>245</v>
      </c>
      <c r="T754">
        <v>6</v>
      </c>
      <c r="U754">
        <v>6.5</v>
      </c>
      <c r="V754">
        <v>282</v>
      </c>
      <c r="W754">
        <v>0</v>
      </c>
      <c r="X754">
        <v>46.3</v>
      </c>
      <c r="Y754">
        <v>12</v>
      </c>
      <c r="Z754">
        <v>7</v>
      </c>
      <c r="AA754">
        <v>7</v>
      </c>
      <c r="AB754">
        <v>0</v>
      </c>
      <c r="AC754">
        <v>653</v>
      </c>
      <c r="AD754" s="8">
        <v>38837</v>
      </c>
      <c r="AE754" s="8"/>
      <c r="AF754" s="8"/>
    </row>
    <row r="755" spans="1:32">
      <c r="A755" t="s">
        <v>1003</v>
      </c>
      <c r="B755">
        <v>7.3</v>
      </c>
      <c r="C755" s="8" t="s">
        <v>1004</v>
      </c>
      <c r="D755">
        <v>7</v>
      </c>
      <c r="E755">
        <v>6</v>
      </c>
      <c r="G755">
        <v>0</v>
      </c>
      <c r="H755">
        <v>1221</v>
      </c>
      <c r="I755" t="s">
        <v>22</v>
      </c>
      <c r="J755">
        <v>934</v>
      </c>
      <c r="K755">
        <v>0</v>
      </c>
      <c r="L755">
        <v>15.5</v>
      </c>
      <c r="M755" t="s">
        <v>23</v>
      </c>
      <c r="N755">
        <v>170</v>
      </c>
      <c r="O755">
        <v>1.929</v>
      </c>
      <c r="P755">
        <v>-76.361999999999995</v>
      </c>
      <c r="Q755" t="s">
        <v>1005</v>
      </c>
      <c r="R755" t="s">
        <v>78</v>
      </c>
      <c r="S755" t="s">
        <v>973</v>
      </c>
      <c r="T755">
        <v>6</v>
      </c>
      <c r="U755">
        <v>7.3</v>
      </c>
      <c r="V755">
        <v>934</v>
      </c>
      <c r="W755">
        <v>0</v>
      </c>
      <c r="X755">
        <v>15.5</v>
      </c>
      <c r="Y755">
        <v>170</v>
      </c>
      <c r="Z755">
        <v>7</v>
      </c>
      <c r="AA755">
        <v>6</v>
      </c>
      <c r="AB755">
        <v>0</v>
      </c>
      <c r="AC755">
        <v>1221</v>
      </c>
      <c r="AD755" s="8">
        <v>41182</v>
      </c>
      <c r="AE755" s="8"/>
      <c r="AF755" s="8"/>
    </row>
    <row r="756" spans="1:32">
      <c r="A756" t="s">
        <v>886</v>
      </c>
      <c r="B756">
        <v>6.6</v>
      </c>
      <c r="C756" s="8" t="s">
        <v>887</v>
      </c>
      <c r="D756">
        <v>6</v>
      </c>
      <c r="E756">
        <v>7</v>
      </c>
      <c r="F756" t="s">
        <v>21</v>
      </c>
      <c r="G756">
        <v>1</v>
      </c>
      <c r="H756">
        <v>723</v>
      </c>
      <c r="I756" t="s">
        <v>22</v>
      </c>
      <c r="J756">
        <v>0</v>
      </c>
      <c r="K756">
        <v>0.63600000000000001</v>
      </c>
      <c r="L756">
        <v>31</v>
      </c>
      <c r="M756" t="s">
        <v>23</v>
      </c>
      <c r="N756">
        <v>27</v>
      </c>
      <c r="O756">
        <v>-30.292100000000001</v>
      </c>
      <c r="P756">
        <v>-71.521500000000003</v>
      </c>
      <c r="Q756" t="s">
        <v>379</v>
      </c>
      <c r="R756" t="s">
        <v>78</v>
      </c>
      <c r="S756" t="s">
        <v>245</v>
      </c>
      <c r="T756">
        <v>6</v>
      </c>
      <c r="U756">
        <v>6.6</v>
      </c>
      <c r="V756">
        <v>0</v>
      </c>
      <c r="W756">
        <v>0.63600000000000001</v>
      </c>
      <c r="X756">
        <v>31</v>
      </c>
      <c r="Y756">
        <v>27</v>
      </c>
      <c r="Z756">
        <v>6</v>
      </c>
      <c r="AA756">
        <v>7</v>
      </c>
      <c r="AB756">
        <v>1</v>
      </c>
      <c r="AC756">
        <v>723</v>
      </c>
      <c r="AD756" s="8">
        <v>41578</v>
      </c>
      <c r="AE756" s="8"/>
      <c r="AF756" s="8"/>
    </row>
    <row r="757" spans="1:32">
      <c r="A757" t="s">
        <v>539</v>
      </c>
      <c r="B757">
        <v>6.5</v>
      </c>
      <c r="C757" s="8">
        <v>43013.974305555559</v>
      </c>
      <c r="D757">
        <v>0</v>
      </c>
      <c r="E757">
        <v>4</v>
      </c>
      <c r="F757" t="s">
        <v>21</v>
      </c>
      <c r="G757">
        <v>1</v>
      </c>
      <c r="H757">
        <v>650</v>
      </c>
      <c r="I757" t="s">
        <v>22</v>
      </c>
      <c r="J757">
        <v>0</v>
      </c>
      <c r="K757">
        <v>6.4889999999999999</v>
      </c>
      <c r="L757">
        <v>17</v>
      </c>
      <c r="M757" t="s">
        <v>23</v>
      </c>
      <c r="N757">
        <v>15</v>
      </c>
      <c r="O757">
        <v>-56.414000000000001</v>
      </c>
      <c r="P757">
        <v>-25.743200000000002</v>
      </c>
      <c r="Q757" t="s">
        <v>156</v>
      </c>
      <c r="R757" t="s">
        <v>157</v>
      </c>
      <c r="S757" t="s">
        <v>1750</v>
      </c>
      <c r="T757">
        <v>7</v>
      </c>
      <c r="U757">
        <v>6.5</v>
      </c>
      <c r="V757">
        <v>0</v>
      </c>
      <c r="W757">
        <v>6.4889999999999999</v>
      </c>
      <c r="X757">
        <v>17</v>
      </c>
      <c r="Y757">
        <v>15</v>
      </c>
      <c r="Z757">
        <v>0</v>
      </c>
      <c r="AA757">
        <v>4</v>
      </c>
      <c r="AB757">
        <v>1</v>
      </c>
      <c r="AC757">
        <v>650</v>
      </c>
      <c r="AD757" s="8">
        <v>43013.974305555559</v>
      </c>
      <c r="AE757" s="8"/>
      <c r="AF757" s="8"/>
    </row>
    <row r="758" spans="1:32">
      <c r="A758" t="s">
        <v>154</v>
      </c>
      <c r="B758">
        <v>7.1</v>
      </c>
      <c r="C758" s="8">
        <v>43416.101388888892</v>
      </c>
      <c r="D758">
        <v>0</v>
      </c>
      <c r="E758">
        <v>5</v>
      </c>
      <c r="F758" t="s">
        <v>21</v>
      </c>
      <c r="G758">
        <v>1</v>
      </c>
      <c r="H758">
        <v>776</v>
      </c>
      <c r="I758" t="s">
        <v>22</v>
      </c>
      <c r="J758">
        <v>0</v>
      </c>
      <c r="K758">
        <v>7.0430000000000001</v>
      </c>
      <c r="L758">
        <v>20</v>
      </c>
      <c r="M758" t="s">
        <v>23</v>
      </c>
      <c r="N758">
        <v>133</v>
      </c>
      <c r="O758">
        <v>-58.544600000000003</v>
      </c>
      <c r="P758">
        <v>-26.3856</v>
      </c>
      <c r="Q758" t="s">
        <v>156</v>
      </c>
      <c r="R758" t="s">
        <v>157</v>
      </c>
      <c r="S758" t="s">
        <v>1750</v>
      </c>
      <c r="T758">
        <v>7</v>
      </c>
      <c r="U758">
        <v>7.1</v>
      </c>
      <c r="V758">
        <v>0</v>
      </c>
      <c r="W758">
        <v>7.0430000000000001</v>
      </c>
      <c r="X758">
        <v>20</v>
      </c>
      <c r="Y758">
        <v>133</v>
      </c>
      <c r="Z758">
        <v>0</v>
      </c>
      <c r="AA758">
        <v>5</v>
      </c>
      <c r="AB758">
        <v>1</v>
      </c>
      <c r="AC758">
        <v>776</v>
      </c>
      <c r="AD758" s="8">
        <v>43416.101388888892</v>
      </c>
      <c r="AE758" s="8"/>
      <c r="AF758" s="8"/>
    </row>
    <row r="759" spans="1:32">
      <c r="A759" t="s">
        <v>175</v>
      </c>
      <c r="B759">
        <v>7.5</v>
      </c>
      <c r="C759" s="8">
        <v>44538.772222222222</v>
      </c>
      <c r="D759">
        <v>9</v>
      </c>
      <c r="E759">
        <v>6</v>
      </c>
      <c r="F759" t="s">
        <v>21</v>
      </c>
      <c r="G759">
        <v>1</v>
      </c>
      <c r="H759">
        <v>868</v>
      </c>
      <c r="I759" t="s">
        <v>22</v>
      </c>
      <c r="J759">
        <v>0</v>
      </c>
      <c r="K759">
        <v>7.2270000000000003</v>
      </c>
      <c r="L759">
        <v>38</v>
      </c>
      <c r="M759" t="s">
        <v>23</v>
      </c>
      <c r="N759">
        <v>47.23</v>
      </c>
      <c r="O759">
        <v>-57.5959</v>
      </c>
      <c r="P759">
        <v>-25.1874</v>
      </c>
      <c r="Q759" t="s">
        <v>156</v>
      </c>
      <c r="R759" t="s">
        <v>157</v>
      </c>
      <c r="S759" t="s">
        <v>1750</v>
      </c>
      <c r="T759">
        <v>7</v>
      </c>
      <c r="U759">
        <v>7.5</v>
      </c>
      <c r="V759">
        <v>0</v>
      </c>
      <c r="W759">
        <v>7.2270000000000003</v>
      </c>
      <c r="X759">
        <v>38</v>
      </c>
      <c r="Y759">
        <v>47.23</v>
      </c>
      <c r="Z759">
        <v>9</v>
      </c>
      <c r="AA759">
        <v>6</v>
      </c>
      <c r="AB759">
        <v>1</v>
      </c>
      <c r="AC759">
        <v>868</v>
      </c>
      <c r="AD759" s="8">
        <v>44538.772222222222</v>
      </c>
      <c r="AE759" s="8"/>
      <c r="AF759" s="8"/>
    </row>
    <row r="760" spans="1:32">
      <c r="A760" t="s">
        <v>174</v>
      </c>
      <c r="B760">
        <v>8.1</v>
      </c>
      <c r="C760" s="8">
        <v>44538.774305555555</v>
      </c>
      <c r="D760">
        <v>0</v>
      </c>
      <c r="E760">
        <v>7</v>
      </c>
      <c r="F760" t="s">
        <v>21</v>
      </c>
      <c r="G760">
        <v>0</v>
      </c>
      <c r="H760">
        <v>1009</v>
      </c>
      <c r="I760" t="s">
        <v>22</v>
      </c>
      <c r="J760">
        <v>0</v>
      </c>
      <c r="K760">
        <v>7.4630000000000001</v>
      </c>
      <c r="L760">
        <v>78</v>
      </c>
      <c r="M760" t="s">
        <v>23</v>
      </c>
      <c r="N760">
        <v>22.79</v>
      </c>
      <c r="O760">
        <v>-58.415700000000001</v>
      </c>
      <c r="P760">
        <v>-25.320599999999999</v>
      </c>
      <c r="Q760" t="s">
        <v>156</v>
      </c>
      <c r="R760" t="s">
        <v>157</v>
      </c>
      <c r="S760" t="s">
        <v>1750</v>
      </c>
      <c r="T760">
        <v>7</v>
      </c>
      <c r="U760">
        <v>8.1</v>
      </c>
      <c r="V760">
        <v>0</v>
      </c>
      <c r="W760">
        <v>7.4630000000000001</v>
      </c>
      <c r="X760">
        <v>78</v>
      </c>
      <c r="Y760">
        <v>22.79</v>
      </c>
      <c r="Z760">
        <v>0</v>
      </c>
      <c r="AA760">
        <v>7</v>
      </c>
      <c r="AB760">
        <v>0</v>
      </c>
      <c r="AC760">
        <v>1009</v>
      </c>
      <c r="AD760" s="8">
        <v>44538.774305555555</v>
      </c>
      <c r="AE760" s="8"/>
      <c r="AF760" s="8"/>
    </row>
    <row r="761" spans="1:32">
      <c r="A761" t="s">
        <v>485</v>
      </c>
      <c r="B761">
        <v>6.5</v>
      </c>
      <c r="C761" s="8" t="s">
        <v>486</v>
      </c>
      <c r="D761">
        <v>1</v>
      </c>
      <c r="E761">
        <v>5</v>
      </c>
      <c r="F761" t="s">
        <v>21</v>
      </c>
      <c r="G761">
        <v>1</v>
      </c>
      <c r="H761">
        <v>651</v>
      </c>
      <c r="I761" t="s">
        <v>22</v>
      </c>
      <c r="J761">
        <v>0</v>
      </c>
      <c r="K761">
        <v>17.654</v>
      </c>
      <c r="L761">
        <v>23</v>
      </c>
      <c r="M761" t="s">
        <v>23</v>
      </c>
      <c r="N761">
        <v>17</v>
      </c>
      <c r="O761">
        <v>-54.218899999999998</v>
      </c>
      <c r="P761">
        <v>2.1627999999999998</v>
      </c>
      <c r="Q761" t="s">
        <v>487</v>
      </c>
      <c r="R761" t="s">
        <v>157</v>
      </c>
      <c r="S761" t="s">
        <v>1750</v>
      </c>
      <c r="T761">
        <v>7</v>
      </c>
      <c r="U761">
        <v>6.5</v>
      </c>
      <c r="V761">
        <v>0</v>
      </c>
      <c r="W761">
        <v>17.654</v>
      </c>
      <c r="X761">
        <v>23</v>
      </c>
      <c r="Y761">
        <v>17</v>
      </c>
      <c r="Z761">
        <v>1</v>
      </c>
      <c r="AA761">
        <v>5</v>
      </c>
      <c r="AB761">
        <v>1</v>
      </c>
      <c r="AC761">
        <v>651</v>
      </c>
      <c r="AD761" s="8">
        <v>43082</v>
      </c>
      <c r="AE761" s="8"/>
      <c r="AF761" s="8"/>
    </row>
    <row r="762" spans="1:32">
      <c r="A762" t="s">
        <v>164</v>
      </c>
      <c r="B762">
        <v>6.9</v>
      </c>
      <c r="C762" s="8" t="s">
        <v>165</v>
      </c>
      <c r="D762">
        <v>6</v>
      </c>
      <c r="E762">
        <v>4</v>
      </c>
      <c r="F762" t="s">
        <v>21</v>
      </c>
      <c r="G762">
        <v>1</v>
      </c>
      <c r="H762">
        <v>734</v>
      </c>
      <c r="I762" t="s">
        <v>22</v>
      </c>
      <c r="J762">
        <v>0</v>
      </c>
      <c r="K762">
        <v>8.3629999999999995</v>
      </c>
      <c r="L762">
        <v>48</v>
      </c>
      <c r="M762" t="s">
        <v>23</v>
      </c>
      <c r="N762">
        <v>16.7</v>
      </c>
      <c r="O762">
        <v>-58.381399999999999</v>
      </c>
      <c r="P762">
        <v>-23.331800000000001</v>
      </c>
      <c r="Q762" t="s">
        <v>156</v>
      </c>
      <c r="R762" t="s">
        <v>157</v>
      </c>
      <c r="S762" t="s">
        <v>1750</v>
      </c>
      <c r="T762">
        <v>7</v>
      </c>
      <c r="U762">
        <v>6.9</v>
      </c>
      <c r="V762">
        <v>0</v>
      </c>
      <c r="W762">
        <v>8.3629999999999995</v>
      </c>
      <c r="X762">
        <v>48</v>
      </c>
      <c r="Y762">
        <v>16.7</v>
      </c>
      <c r="Z762">
        <v>6</v>
      </c>
      <c r="AA762">
        <v>4</v>
      </c>
      <c r="AB762">
        <v>1</v>
      </c>
      <c r="AC762">
        <v>734</v>
      </c>
      <c r="AD762" s="8">
        <v>44424</v>
      </c>
      <c r="AE762" s="8"/>
      <c r="AF762" s="8"/>
    </row>
    <row r="763" spans="1:32">
      <c r="A763" t="s">
        <v>158</v>
      </c>
      <c r="B763">
        <v>6.6</v>
      </c>
      <c r="C763" s="8" t="s">
        <v>159</v>
      </c>
      <c r="D763">
        <v>1</v>
      </c>
      <c r="E763">
        <v>3</v>
      </c>
      <c r="F763" t="s">
        <v>21</v>
      </c>
      <c r="G763">
        <v>1</v>
      </c>
      <c r="H763">
        <v>670</v>
      </c>
      <c r="I763" t="s">
        <v>22</v>
      </c>
      <c r="J763">
        <v>0</v>
      </c>
      <c r="K763">
        <v>8.8650000000000002</v>
      </c>
      <c r="L763">
        <v>19</v>
      </c>
      <c r="M763" t="s">
        <v>23</v>
      </c>
      <c r="N763">
        <v>7</v>
      </c>
      <c r="O763">
        <v>-60.1023</v>
      </c>
      <c r="P763">
        <v>-24.460799999999999</v>
      </c>
      <c r="Q763" t="s">
        <v>156</v>
      </c>
      <c r="R763" t="s">
        <v>157</v>
      </c>
      <c r="S763" t="s">
        <v>1750</v>
      </c>
      <c r="T763">
        <v>7</v>
      </c>
      <c r="U763">
        <v>6.6</v>
      </c>
      <c r="V763">
        <v>0</v>
      </c>
      <c r="W763">
        <v>8.8650000000000002</v>
      </c>
      <c r="X763">
        <v>19</v>
      </c>
      <c r="Y763">
        <v>7</v>
      </c>
      <c r="Z763">
        <v>1</v>
      </c>
      <c r="AA763">
        <v>3</v>
      </c>
      <c r="AB763">
        <v>1</v>
      </c>
      <c r="AC763">
        <v>670</v>
      </c>
      <c r="AD763" s="8">
        <v>44430</v>
      </c>
      <c r="AE763" s="8"/>
      <c r="AF763" s="8"/>
    </row>
    <row r="764" spans="1:32">
      <c r="A764" t="s">
        <v>154</v>
      </c>
      <c r="B764">
        <v>7.1</v>
      </c>
      <c r="C764" s="8" t="s">
        <v>155</v>
      </c>
      <c r="D764">
        <v>1</v>
      </c>
      <c r="E764">
        <v>4</v>
      </c>
      <c r="F764" t="s">
        <v>21</v>
      </c>
      <c r="G764">
        <v>1</v>
      </c>
      <c r="H764">
        <v>776</v>
      </c>
      <c r="I764" t="s">
        <v>22</v>
      </c>
      <c r="J764">
        <v>0</v>
      </c>
      <c r="K764">
        <v>9.7989999999999995</v>
      </c>
      <c r="L764">
        <v>32</v>
      </c>
      <c r="M764" t="s">
        <v>23</v>
      </c>
      <c r="N764">
        <v>6</v>
      </c>
      <c r="O764">
        <v>-60.302599999999998</v>
      </c>
      <c r="P764">
        <v>-24.999199999999998</v>
      </c>
      <c r="Q764" t="s">
        <v>156</v>
      </c>
      <c r="R764" t="s">
        <v>157</v>
      </c>
      <c r="S764" t="s">
        <v>1750</v>
      </c>
      <c r="T764">
        <v>7</v>
      </c>
      <c r="U764">
        <v>7.1</v>
      </c>
      <c r="V764">
        <v>0</v>
      </c>
      <c r="W764">
        <v>9.7989999999999995</v>
      </c>
      <c r="X764">
        <v>32</v>
      </c>
      <c r="Y764">
        <v>6</v>
      </c>
      <c r="Z764">
        <v>1</v>
      </c>
      <c r="AA764">
        <v>4</v>
      </c>
      <c r="AB764">
        <v>1</v>
      </c>
      <c r="AC764">
        <v>776</v>
      </c>
      <c r="AD764" s="8">
        <v>44430</v>
      </c>
      <c r="AE764" s="8"/>
      <c r="AF764" s="8"/>
    </row>
    <row r="765" spans="1:32">
      <c r="A765" t="s">
        <v>220</v>
      </c>
      <c r="B765">
        <v>6.9</v>
      </c>
      <c r="C765" s="8" t="s">
        <v>221</v>
      </c>
      <c r="D765">
        <v>9</v>
      </c>
      <c r="E765">
        <v>5</v>
      </c>
      <c r="F765" t="s">
        <v>21</v>
      </c>
      <c r="G765">
        <v>1</v>
      </c>
      <c r="H765">
        <v>739</v>
      </c>
      <c r="I765" t="s">
        <v>22</v>
      </c>
      <c r="J765">
        <v>0</v>
      </c>
      <c r="K765">
        <v>1.55</v>
      </c>
      <c r="L765">
        <v>16</v>
      </c>
      <c r="M765" t="s">
        <v>23</v>
      </c>
      <c r="N765">
        <v>15</v>
      </c>
      <c r="O765">
        <v>-61.848399999999998</v>
      </c>
      <c r="P765">
        <v>-55.558999999999997</v>
      </c>
      <c r="Q765" t="s">
        <v>222</v>
      </c>
      <c r="R765" t="s">
        <v>157</v>
      </c>
      <c r="S765" t="s">
        <v>1750</v>
      </c>
      <c r="T765">
        <v>7</v>
      </c>
      <c r="U765">
        <v>6.9</v>
      </c>
      <c r="V765">
        <v>0</v>
      </c>
      <c r="W765">
        <v>1.55</v>
      </c>
      <c r="X765">
        <v>16</v>
      </c>
      <c r="Y765">
        <v>15</v>
      </c>
      <c r="Z765">
        <v>9</v>
      </c>
      <c r="AA765">
        <v>5</v>
      </c>
      <c r="AB765">
        <v>1</v>
      </c>
      <c r="AC765">
        <v>739</v>
      </c>
      <c r="AD765" s="8">
        <v>44219</v>
      </c>
      <c r="AE765" s="8"/>
      <c r="AF765" s="8"/>
    </row>
    <row r="766" spans="1:32">
      <c r="A766" t="s">
        <v>627</v>
      </c>
      <c r="B766">
        <v>7.2</v>
      </c>
      <c r="C766" s="8" t="s">
        <v>628</v>
      </c>
      <c r="D766">
        <v>1</v>
      </c>
      <c r="E766">
        <v>6</v>
      </c>
      <c r="F766" t="s">
        <v>21</v>
      </c>
      <c r="G766">
        <v>1</v>
      </c>
      <c r="H766">
        <v>798</v>
      </c>
      <c r="I766" t="s">
        <v>22</v>
      </c>
      <c r="J766">
        <v>0</v>
      </c>
      <c r="K766">
        <v>5.8029999999999999</v>
      </c>
      <c r="L766">
        <v>24</v>
      </c>
      <c r="M766" t="s">
        <v>23</v>
      </c>
      <c r="N766">
        <v>78</v>
      </c>
      <c r="O766">
        <v>-56.240900000000003</v>
      </c>
      <c r="P766">
        <v>-26.935300000000002</v>
      </c>
      <c r="Q766" t="s">
        <v>156</v>
      </c>
      <c r="R766" t="s">
        <v>157</v>
      </c>
      <c r="S766" t="s">
        <v>1750</v>
      </c>
      <c r="T766">
        <v>7</v>
      </c>
      <c r="U766">
        <v>7.2</v>
      </c>
      <c r="V766">
        <v>0</v>
      </c>
      <c r="W766">
        <v>5.8029999999999999</v>
      </c>
      <c r="X766">
        <v>24</v>
      </c>
      <c r="Y766">
        <v>78</v>
      </c>
      <c r="Z766">
        <v>1</v>
      </c>
      <c r="AA766">
        <v>6</v>
      </c>
      <c r="AB766">
        <v>1</v>
      </c>
      <c r="AC766">
        <v>798</v>
      </c>
      <c r="AD766" s="8">
        <v>42518</v>
      </c>
      <c r="AE766" s="8"/>
      <c r="AF766" s="8"/>
    </row>
    <row r="767" spans="1:32">
      <c r="A767" t="s">
        <v>164</v>
      </c>
      <c r="B767">
        <v>6.9</v>
      </c>
      <c r="C767" s="8" t="s">
        <v>823</v>
      </c>
      <c r="D767">
        <v>0</v>
      </c>
      <c r="E767">
        <v>5</v>
      </c>
      <c r="F767" t="s">
        <v>21</v>
      </c>
      <c r="G767">
        <v>1</v>
      </c>
      <c r="H767">
        <v>732</v>
      </c>
      <c r="I767" t="s">
        <v>22</v>
      </c>
      <c r="J767">
        <v>0</v>
      </c>
      <c r="K767">
        <v>4.8380000000000001</v>
      </c>
      <c r="L767">
        <v>25</v>
      </c>
      <c r="M767" t="s">
        <v>23</v>
      </c>
      <c r="N767">
        <v>8</v>
      </c>
      <c r="O767">
        <v>-55.470300000000002</v>
      </c>
      <c r="P767">
        <v>-28.366900000000001</v>
      </c>
      <c r="Q767" t="s">
        <v>156</v>
      </c>
      <c r="R767" t="s">
        <v>157</v>
      </c>
      <c r="S767" t="s">
        <v>1750</v>
      </c>
      <c r="T767">
        <v>7</v>
      </c>
      <c r="U767">
        <v>6.9</v>
      </c>
      <c r="V767">
        <v>0</v>
      </c>
      <c r="W767">
        <v>4.8380000000000001</v>
      </c>
      <c r="X767">
        <v>25</v>
      </c>
      <c r="Y767">
        <v>8</v>
      </c>
      <c r="Z767">
        <v>0</v>
      </c>
      <c r="AA767">
        <v>5</v>
      </c>
      <c r="AB767">
        <v>1</v>
      </c>
      <c r="AC767">
        <v>732</v>
      </c>
      <c r="AD767" s="8">
        <v>41819</v>
      </c>
      <c r="AE767" s="8"/>
      <c r="AF767" s="8"/>
    </row>
    <row r="768" spans="1:32">
      <c r="A768" t="s">
        <v>1053</v>
      </c>
      <c r="B768">
        <v>7.2</v>
      </c>
      <c r="C768" s="8">
        <v>41183.775000000001</v>
      </c>
      <c r="D768">
        <v>4</v>
      </c>
      <c r="E768">
        <v>4</v>
      </c>
      <c r="G768">
        <v>0</v>
      </c>
      <c r="H768">
        <v>838</v>
      </c>
      <c r="I768" t="s">
        <v>22</v>
      </c>
      <c r="J768">
        <v>443</v>
      </c>
      <c r="K768">
        <v>0</v>
      </c>
      <c r="L768">
        <v>17</v>
      </c>
      <c r="M768" t="s">
        <v>23</v>
      </c>
      <c r="N768">
        <v>19</v>
      </c>
      <c r="O768">
        <v>2.4329999999999998</v>
      </c>
      <c r="P768">
        <v>93.21</v>
      </c>
      <c r="Q768" t="s">
        <v>1037</v>
      </c>
      <c r="R768" t="s">
        <v>1749</v>
      </c>
      <c r="S768" t="s">
        <v>1750</v>
      </c>
      <c r="T768">
        <v>8</v>
      </c>
      <c r="U768">
        <v>7.2</v>
      </c>
      <c r="V768">
        <v>443</v>
      </c>
      <c r="W768">
        <v>0</v>
      </c>
      <c r="X768">
        <v>17</v>
      </c>
      <c r="Y768">
        <v>19</v>
      </c>
      <c r="Z768">
        <v>4</v>
      </c>
      <c r="AA768">
        <v>4</v>
      </c>
      <c r="AB768">
        <v>0</v>
      </c>
      <c r="AC768">
        <v>838</v>
      </c>
      <c r="AD768" s="8">
        <v>41183.775000000001</v>
      </c>
      <c r="AE768" s="8"/>
      <c r="AF768" s="8"/>
    </row>
    <row r="769" spans="1:32">
      <c r="A769" t="s">
        <v>1038</v>
      </c>
      <c r="B769">
        <v>8.6</v>
      </c>
      <c r="C769" s="8">
        <v>41217.359722222223</v>
      </c>
      <c r="D769">
        <v>9</v>
      </c>
      <c r="E769">
        <v>7</v>
      </c>
      <c r="F769" t="s">
        <v>45</v>
      </c>
      <c r="G769">
        <v>0</v>
      </c>
      <c r="H769">
        <v>2048</v>
      </c>
      <c r="I769" t="s">
        <v>1039</v>
      </c>
      <c r="J769">
        <v>499</v>
      </c>
      <c r="K769">
        <v>0</v>
      </c>
      <c r="L769">
        <v>16.600000000000001</v>
      </c>
      <c r="M769" t="s">
        <v>345</v>
      </c>
      <c r="N769">
        <v>20</v>
      </c>
      <c r="O769">
        <v>2.327</v>
      </c>
      <c r="P769">
        <v>93.063000000000002</v>
      </c>
      <c r="Q769" t="s">
        <v>1037</v>
      </c>
      <c r="R769" t="s">
        <v>1749</v>
      </c>
      <c r="S769" t="s">
        <v>1750</v>
      </c>
      <c r="T769">
        <v>8</v>
      </c>
      <c r="U769">
        <v>8.6</v>
      </c>
      <c r="V769">
        <v>499</v>
      </c>
      <c r="W769">
        <v>0</v>
      </c>
      <c r="X769">
        <v>16.600000000000001</v>
      </c>
      <c r="Y769">
        <v>20</v>
      </c>
      <c r="Z769">
        <v>9</v>
      </c>
      <c r="AA769">
        <v>7</v>
      </c>
      <c r="AB769">
        <v>0</v>
      </c>
      <c r="AC769">
        <v>2048</v>
      </c>
      <c r="AD769" s="8">
        <v>41217.359722222223</v>
      </c>
      <c r="AE769" s="8"/>
      <c r="AF769" s="8"/>
    </row>
    <row r="770" spans="1:32">
      <c r="A770" t="s">
        <v>1036</v>
      </c>
      <c r="B770">
        <v>8.1999999999999993</v>
      </c>
      <c r="C770" s="8">
        <v>41217.446527777778</v>
      </c>
      <c r="D770">
        <v>9</v>
      </c>
      <c r="E770">
        <v>6</v>
      </c>
      <c r="F770" t="s">
        <v>21</v>
      </c>
      <c r="G770">
        <v>0</v>
      </c>
      <c r="H770">
        <v>1213</v>
      </c>
      <c r="I770" t="s">
        <v>22</v>
      </c>
      <c r="J770">
        <v>341</v>
      </c>
      <c r="K770">
        <v>0</v>
      </c>
      <c r="L770">
        <v>14.9</v>
      </c>
      <c r="M770" t="s">
        <v>829</v>
      </c>
      <c r="N770">
        <v>25.1</v>
      </c>
      <c r="O770">
        <v>0.80200000000000005</v>
      </c>
      <c r="P770">
        <v>92.462999999999994</v>
      </c>
      <c r="Q770" t="s">
        <v>1037</v>
      </c>
      <c r="R770" t="s">
        <v>1749</v>
      </c>
      <c r="S770" t="s">
        <v>1750</v>
      </c>
      <c r="T770">
        <v>8</v>
      </c>
      <c r="U770">
        <v>8.1999999999999993</v>
      </c>
      <c r="V770">
        <v>341</v>
      </c>
      <c r="W770">
        <v>0</v>
      </c>
      <c r="X770">
        <v>14.9</v>
      </c>
      <c r="Y770">
        <v>25.1</v>
      </c>
      <c r="Z770">
        <v>9</v>
      </c>
      <c r="AA770">
        <v>6</v>
      </c>
      <c r="AB770">
        <v>0</v>
      </c>
      <c r="AC770">
        <v>1213</v>
      </c>
      <c r="AD770" s="8">
        <v>41217.446527777778</v>
      </c>
      <c r="AE770" s="8"/>
      <c r="AF770" s="8"/>
    </row>
    <row r="771" spans="1:32">
      <c r="A771" t="s">
        <v>877</v>
      </c>
      <c r="B771">
        <v>6.5</v>
      </c>
      <c r="C771" s="8">
        <v>41672.393055555556</v>
      </c>
      <c r="D771">
        <v>0</v>
      </c>
      <c r="E771">
        <v>3</v>
      </c>
      <c r="F771" t="s">
        <v>21</v>
      </c>
      <c r="G771">
        <v>1</v>
      </c>
      <c r="H771">
        <v>650</v>
      </c>
      <c r="I771" t="s">
        <v>22</v>
      </c>
      <c r="J771">
        <v>0</v>
      </c>
      <c r="K771">
        <v>3.6509999999999998</v>
      </c>
      <c r="L771">
        <v>22</v>
      </c>
      <c r="M771" t="s">
        <v>23</v>
      </c>
      <c r="N771">
        <v>44.26</v>
      </c>
      <c r="O771">
        <v>-32.907600000000002</v>
      </c>
      <c r="P771">
        <v>-177.881</v>
      </c>
      <c r="Q771" t="s">
        <v>71</v>
      </c>
      <c r="R771" t="s">
        <v>1749</v>
      </c>
      <c r="S771" t="s">
        <v>1750</v>
      </c>
      <c r="T771">
        <v>8</v>
      </c>
      <c r="U771">
        <v>6.5</v>
      </c>
      <c r="V771">
        <v>0</v>
      </c>
      <c r="W771">
        <v>3.6509999999999998</v>
      </c>
      <c r="X771">
        <v>22</v>
      </c>
      <c r="Y771">
        <v>44.26</v>
      </c>
      <c r="Z771">
        <v>0</v>
      </c>
      <c r="AA771">
        <v>3</v>
      </c>
      <c r="AB771">
        <v>1</v>
      </c>
      <c r="AC771">
        <v>650</v>
      </c>
      <c r="AD771" s="8">
        <v>41672.393055555556</v>
      </c>
      <c r="AE771" s="8"/>
      <c r="AF771" s="8"/>
    </row>
    <row r="772" spans="1:32">
      <c r="A772" t="s">
        <v>814</v>
      </c>
      <c r="B772">
        <v>6.9</v>
      </c>
      <c r="C772" s="8">
        <v>41706.015277777777</v>
      </c>
      <c r="D772">
        <v>0</v>
      </c>
      <c r="E772">
        <v>4</v>
      </c>
      <c r="F772" t="s">
        <v>21</v>
      </c>
      <c r="G772">
        <v>1</v>
      </c>
      <c r="H772">
        <v>732</v>
      </c>
      <c r="I772" t="s">
        <v>22</v>
      </c>
      <c r="J772">
        <v>0</v>
      </c>
      <c r="K772">
        <v>6.3929999999999998</v>
      </c>
      <c r="L772">
        <v>12</v>
      </c>
      <c r="M772" t="s">
        <v>23</v>
      </c>
      <c r="N772">
        <v>13</v>
      </c>
      <c r="O772">
        <v>0.82950000000000002</v>
      </c>
      <c r="P772">
        <v>146.16900000000001</v>
      </c>
      <c r="Q772" t="s">
        <v>815</v>
      </c>
      <c r="R772" t="s">
        <v>1749</v>
      </c>
      <c r="S772" t="s">
        <v>1750</v>
      </c>
      <c r="T772">
        <v>8</v>
      </c>
      <c r="U772">
        <v>6.9</v>
      </c>
      <c r="V772">
        <v>0</v>
      </c>
      <c r="W772">
        <v>6.3929999999999998</v>
      </c>
      <c r="X772">
        <v>12</v>
      </c>
      <c r="Y772">
        <v>13</v>
      </c>
      <c r="Z772">
        <v>0</v>
      </c>
      <c r="AA772">
        <v>4</v>
      </c>
      <c r="AB772">
        <v>1</v>
      </c>
      <c r="AC772">
        <v>732</v>
      </c>
      <c r="AD772" s="8">
        <v>41706.015277777777</v>
      </c>
      <c r="AE772" s="8"/>
      <c r="AF772" s="8"/>
    </row>
    <row r="773" spans="1:32">
      <c r="A773" t="s">
        <v>399</v>
      </c>
      <c r="B773">
        <v>6.7</v>
      </c>
      <c r="C773" s="8">
        <v>43354.075694444444</v>
      </c>
      <c r="D773">
        <v>3</v>
      </c>
      <c r="E773">
        <v>4</v>
      </c>
      <c r="F773" t="s">
        <v>21</v>
      </c>
      <c r="G773">
        <v>1</v>
      </c>
      <c r="H773">
        <v>693</v>
      </c>
      <c r="I773" t="s">
        <v>22</v>
      </c>
      <c r="J773">
        <v>0</v>
      </c>
      <c r="K773">
        <v>7.8529999999999998</v>
      </c>
      <c r="L773">
        <v>19</v>
      </c>
      <c r="M773" t="s">
        <v>23</v>
      </c>
      <c r="N773">
        <v>10</v>
      </c>
      <c r="O773">
        <v>71.631200000000007</v>
      </c>
      <c r="P773">
        <v>-11.2431</v>
      </c>
      <c r="Q773" t="s">
        <v>400</v>
      </c>
      <c r="R773" t="s">
        <v>1749</v>
      </c>
      <c r="S773" t="s">
        <v>1750</v>
      </c>
      <c r="T773">
        <v>8</v>
      </c>
      <c r="U773">
        <v>6.7</v>
      </c>
      <c r="V773">
        <v>0</v>
      </c>
      <c r="W773">
        <v>7.8529999999999998</v>
      </c>
      <c r="X773">
        <v>19</v>
      </c>
      <c r="Y773">
        <v>10</v>
      </c>
      <c r="Z773">
        <v>3</v>
      </c>
      <c r="AA773">
        <v>4</v>
      </c>
      <c r="AB773">
        <v>1</v>
      </c>
      <c r="AC773">
        <v>693</v>
      </c>
      <c r="AD773" s="8">
        <v>43354.075694444444</v>
      </c>
      <c r="AE773" s="8"/>
      <c r="AF773" s="8"/>
    </row>
    <row r="774" spans="1:32">
      <c r="A774" t="s">
        <v>198</v>
      </c>
      <c r="B774">
        <v>6.7</v>
      </c>
      <c r="C774" s="8">
        <v>44535.586805555555</v>
      </c>
      <c r="D774">
        <v>9</v>
      </c>
      <c r="E774">
        <v>3</v>
      </c>
      <c r="F774" t="s">
        <v>21</v>
      </c>
      <c r="G774">
        <v>0</v>
      </c>
      <c r="H774">
        <v>694</v>
      </c>
      <c r="I774" t="s">
        <v>22</v>
      </c>
      <c r="J774">
        <v>0</v>
      </c>
      <c r="K774">
        <v>10.669</v>
      </c>
      <c r="L774">
        <v>45</v>
      </c>
      <c r="M774" t="s">
        <v>23</v>
      </c>
      <c r="N774">
        <v>10</v>
      </c>
      <c r="O774">
        <v>-17.249500000000001</v>
      </c>
      <c r="P774">
        <v>66.374499999999998</v>
      </c>
      <c r="Q774" t="s">
        <v>199</v>
      </c>
      <c r="R774" t="s">
        <v>1749</v>
      </c>
      <c r="S774" t="s">
        <v>1750</v>
      </c>
      <c r="T774">
        <v>8</v>
      </c>
      <c r="U774">
        <v>6.7</v>
      </c>
      <c r="V774">
        <v>0</v>
      </c>
      <c r="W774">
        <v>10.669</v>
      </c>
      <c r="X774">
        <v>45</v>
      </c>
      <c r="Y774">
        <v>10</v>
      </c>
      <c r="Z774">
        <v>9</v>
      </c>
      <c r="AA774">
        <v>3</v>
      </c>
      <c r="AB774">
        <v>0</v>
      </c>
      <c r="AC774">
        <v>694</v>
      </c>
      <c r="AD774" s="8">
        <v>44535.586805555555</v>
      </c>
      <c r="AE774" s="8"/>
      <c r="AF774" s="8"/>
    </row>
    <row r="775" spans="1:32">
      <c r="A775" t="s">
        <v>34</v>
      </c>
      <c r="B775">
        <v>6.6</v>
      </c>
      <c r="C775" s="8">
        <v>44815.426388888889</v>
      </c>
      <c r="D775">
        <v>0</v>
      </c>
      <c r="E775">
        <v>2</v>
      </c>
      <c r="F775" t="s">
        <v>21</v>
      </c>
      <c r="G775">
        <v>1</v>
      </c>
      <c r="H775">
        <v>670</v>
      </c>
      <c r="I775" t="s">
        <v>22</v>
      </c>
      <c r="J775">
        <v>131</v>
      </c>
      <c r="K775">
        <v>4.9980000000000002</v>
      </c>
      <c r="L775">
        <v>27</v>
      </c>
      <c r="M775" t="s">
        <v>23</v>
      </c>
      <c r="N775">
        <v>624.46400000000006</v>
      </c>
      <c r="O775">
        <v>-25.594799999999999</v>
      </c>
      <c r="P775">
        <v>178.27799999999999</v>
      </c>
      <c r="R775" t="s">
        <v>1749</v>
      </c>
      <c r="S775" t="s">
        <v>1750</v>
      </c>
      <c r="T775">
        <v>8</v>
      </c>
      <c r="U775">
        <v>6.6</v>
      </c>
      <c r="V775">
        <v>131</v>
      </c>
      <c r="W775">
        <v>4.9980000000000002</v>
      </c>
      <c r="X775">
        <v>27</v>
      </c>
      <c r="Y775">
        <v>624.46400000000006</v>
      </c>
      <c r="Z775">
        <v>0</v>
      </c>
      <c r="AA775">
        <v>2</v>
      </c>
      <c r="AB775">
        <v>1</v>
      </c>
      <c r="AC775">
        <v>670</v>
      </c>
      <c r="AD775" s="8">
        <v>44815.426388888889</v>
      </c>
      <c r="AE775" s="8"/>
      <c r="AF775" s="8"/>
    </row>
    <row r="776" spans="1:32">
      <c r="A776" t="s">
        <v>1386</v>
      </c>
      <c r="B776">
        <v>8.1</v>
      </c>
      <c r="C776" s="8" t="s">
        <v>1387</v>
      </c>
      <c r="D776">
        <v>4</v>
      </c>
      <c r="E776">
        <v>5</v>
      </c>
      <c r="G776">
        <v>0</v>
      </c>
      <c r="H776">
        <v>1034</v>
      </c>
      <c r="I776" t="s">
        <v>22</v>
      </c>
      <c r="J776">
        <v>606</v>
      </c>
      <c r="K776">
        <v>0</v>
      </c>
      <c r="L776">
        <v>14</v>
      </c>
      <c r="M776" t="s">
        <v>829</v>
      </c>
      <c r="N776">
        <v>10</v>
      </c>
      <c r="O776">
        <v>46.243000000000002</v>
      </c>
      <c r="P776">
        <v>154.524</v>
      </c>
      <c r="Q776" t="s">
        <v>1388</v>
      </c>
      <c r="R776" t="s">
        <v>1749</v>
      </c>
      <c r="S776" t="s">
        <v>1750</v>
      </c>
      <c r="T776">
        <v>8</v>
      </c>
      <c r="U776">
        <v>8.1</v>
      </c>
      <c r="V776">
        <v>606</v>
      </c>
      <c r="W776">
        <v>0</v>
      </c>
      <c r="X776">
        <v>14</v>
      </c>
      <c r="Y776">
        <v>10</v>
      </c>
      <c r="Z776">
        <v>4</v>
      </c>
      <c r="AA776">
        <v>5</v>
      </c>
      <c r="AB776">
        <v>0</v>
      </c>
      <c r="AC776">
        <v>1034</v>
      </c>
      <c r="AD776" s="8">
        <v>39095</v>
      </c>
      <c r="AE776" s="8"/>
      <c r="AF776" s="8"/>
    </row>
    <row r="777" spans="1:32">
      <c r="A777" t="s">
        <v>69</v>
      </c>
      <c r="B777">
        <v>6.6</v>
      </c>
      <c r="C777" s="8" t="s">
        <v>70</v>
      </c>
      <c r="D777">
        <v>7</v>
      </c>
      <c r="E777">
        <v>6</v>
      </c>
      <c r="F777" t="s">
        <v>21</v>
      </c>
      <c r="G777">
        <v>1</v>
      </c>
      <c r="H777">
        <v>672</v>
      </c>
      <c r="I777" t="s">
        <v>22</v>
      </c>
      <c r="J777">
        <v>68</v>
      </c>
      <c r="K777">
        <v>5.2930000000000001</v>
      </c>
      <c r="L777">
        <v>34</v>
      </c>
      <c r="M777" t="s">
        <v>23</v>
      </c>
      <c r="N777">
        <v>30</v>
      </c>
      <c r="O777">
        <v>-32.6922</v>
      </c>
      <c r="P777">
        <v>-178.959</v>
      </c>
      <c r="Q777" t="s">
        <v>71</v>
      </c>
      <c r="R777" t="s">
        <v>1749</v>
      </c>
      <c r="S777" t="s">
        <v>1750</v>
      </c>
      <c r="T777">
        <v>8</v>
      </c>
      <c r="U777">
        <v>6.6</v>
      </c>
      <c r="V777">
        <v>68</v>
      </c>
      <c r="W777">
        <v>5.2930000000000001</v>
      </c>
      <c r="X777">
        <v>34</v>
      </c>
      <c r="Y777">
        <v>30</v>
      </c>
      <c r="Z777">
        <v>7</v>
      </c>
      <c r="AA777">
        <v>6</v>
      </c>
      <c r="AB777">
        <v>1</v>
      </c>
      <c r="AC777">
        <v>672</v>
      </c>
      <c r="AD777" s="8">
        <v>44787</v>
      </c>
      <c r="AE777" s="8"/>
      <c r="AF777" s="8"/>
    </row>
    <row r="778" spans="1:32">
      <c r="A778" t="s">
        <v>268</v>
      </c>
      <c r="B778">
        <v>7.4</v>
      </c>
      <c r="C778" s="8" t="s">
        <v>269</v>
      </c>
      <c r="D778">
        <v>7</v>
      </c>
      <c r="E778">
        <v>7</v>
      </c>
      <c r="F778" t="s">
        <v>21</v>
      </c>
      <c r="G778">
        <v>1</v>
      </c>
      <c r="H778">
        <v>873</v>
      </c>
      <c r="I778" t="s">
        <v>22</v>
      </c>
      <c r="J778">
        <v>0</v>
      </c>
      <c r="K778">
        <v>4.0350000000000001</v>
      </c>
      <c r="L778">
        <v>23</v>
      </c>
      <c r="M778" t="s">
        <v>23</v>
      </c>
      <c r="N778">
        <v>10</v>
      </c>
      <c r="O778">
        <v>-33.293799999999997</v>
      </c>
      <c r="P778">
        <v>-177.83799999999999</v>
      </c>
      <c r="Q778" t="s">
        <v>71</v>
      </c>
      <c r="R778" t="s">
        <v>1749</v>
      </c>
      <c r="S778" t="s">
        <v>1750</v>
      </c>
      <c r="T778">
        <v>8</v>
      </c>
      <c r="U778">
        <v>7.4</v>
      </c>
      <c r="V778">
        <v>0</v>
      </c>
      <c r="W778">
        <v>4.0350000000000001</v>
      </c>
      <c r="X778">
        <v>23</v>
      </c>
      <c r="Y778">
        <v>10</v>
      </c>
      <c r="Z778">
        <v>7</v>
      </c>
      <c r="AA778">
        <v>7</v>
      </c>
      <c r="AB778">
        <v>1</v>
      </c>
      <c r="AC778">
        <v>873</v>
      </c>
      <c r="AD778" s="8">
        <v>44000</v>
      </c>
      <c r="AE778" s="8"/>
      <c r="AF778" s="8"/>
    </row>
    <row r="779" spans="1:32">
      <c r="A779" t="s">
        <v>239</v>
      </c>
      <c r="B779">
        <v>6.9</v>
      </c>
      <c r="C779" s="8" t="s">
        <v>240</v>
      </c>
      <c r="D779">
        <v>0</v>
      </c>
      <c r="E779">
        <v>3</v>
      </c>
      <c r="F779" t="s">
        <v>21</v>
      </c>
      <c r="G779">
        <v>1</v>
      </c>
      <c r="H779">
        <v>732</v>
      </c>
      <c r="I779" t="s">
        <v>22</v>
      </c>
      <c r="J779">
        <v>0</v>
      </c>
      <c r="K779">
        <v>11.255000000000001</v>
      </c>
      <c r="L779">
        <v>16</v>
      </c>
      <c r="M779" t="s">
        <v>23</v>
      </c>
      <c r="N779">
        <v>10</v>
      </c>
      <c r="O779">
        <v>0.96040000000000003</v>
      </c>
      <c r="P779">
        <v>-26.833200000000001</v>
      </c>
      <c r="Q779" t="s">
        <v>241</v>
      </c>
      <c r="R779" t="s">
        <v>1749</v>
      </c>
      <c r="S779" t="s">
        <v>1750</v>
      </c>
      <c r="T779">
        <v>8</v>
      </c>
      <c r="U779">
        <v>6.9</v>
      </c>
      <c r="V779">
        <v>0</v>
      </c>
      <c r="W779">
        <v>11.255000000000001</v>
      </c>
      <c r="X779">
        <v>16</v>
      </c>
      <c r="Y779">
        <v>10</v>
      </c>
      <c r="Z779">
        <v>0</v>
      </c>
      <c r="AA779">
        <v>3</v>
      </c>
      <c r="AB779">
        <v>1</v>
      </c>
      <c r="AC779">
        <v>732</v>
      </c>
      <c r="AD779" s="8">
        <v>44092</v>
      </c>
      <c r="AE779" s="8"/>
      <c r="AF779" s="8"/>
    </row>
    <row r="780" spans="1:32">
      <c r="A780" t="s">
        <v>84</v>
      </c>
      <c r="B780">
        <v>6.9</v>
      </c>
      <c r="C780" s="8" t="s">
        <v>85</v>
      </c>
      <c r="D780">
        <v>2</v>
      </c>
      <c r="E780">
        <v>5</v>
      </c>
      <c r="F780" t="s">
        <v>21</v>
      </c>
      <c r="G780">
        <v>1</v>
      </c>
      <c r="H780">
        <v>733</v>
      </c>
      <c r="I780" t="s">
        <v>22</v>
      </c>
      <c r="J780">
        <v>127</v>
      </c>
      <c r="K780">
        <v>0.371</v>
      </c>
      <c r="L780">
        <v>45</v>
      </c>
      <c r="M780" t="s">
        <v>23</v>
      </c>
      <c r="N780">
        <v>10</v>
      </c>
      <c r="O780">
        <v>-54.1325</v>
      </c>
      <c r="P780">
        <v>159.02699999999999</v>
      </c>
      <c r="R780" t="s">
        <v>1749</v>
      </c>
      <c r="S780" t="s">
        <v>1750</v>
      </c>
      <c r="T780">
        <v>8</v>
      </c>
      <c r="U780">
        <v>6.9</v>
      </c>
      <c r="V780">
        <v>127</v>
      </c>
      <c r="W780">
        <v>0.371</v>
      </c>
      <c r="X780">
        <v>45</v>
      </c>
      <c r="Y780">
        <v>10</v>
      </c>
      <c r="Z780">
        <v>2</v>
      </c>
      <c r="AA780">
        <v>5</v>
      </c>
      <c r="AB780">
        <v>1</v>
      </c>
      <c r="AC780">
        <v>733</v>
      </c>
      <c r="AD780" s="8">
        <v>44700</v>
      </c>
      <c r="AE780" s="8"/>
      <c r="AF780" s="8"/>
    </row>
    <row r="781" spans="1:32">
      <c r="A781" t="s">
        <v>931</v>
      </c>
      <c r="B781">
        <v>6.6</v>
      </c>
      <c r="C781" s="8" t="s">
        <v>932</v>
      </c>
      <c r="D781">
        <v>0</v>
      </c>
      <c r="E781">
        <v>7</v>
      </c>
      <c r="F781" t="s">
        <v>21</v>
      </c>
      <c r="G781">
        <v>1</v>
      </c>
      <c r="H781">
        <v>670</v>
      </c>
      <c r="I781" t="s">
        <v>22</v>
      </c>
      <c r="J781">
        <v>111</v>
      </c>
      <c r="K781">
        <v>0</v>
      </c>
      <c r="L781">
        <v>16</v>
      </c>
      <c r="M781" t="s">
        <v>23</v>
      </c>
      <c r="N781">
        <v>10</v>
      </c>
      <c r="O781">
        <v>10.701000000000001</v>
      </c>
      <c r="P781">
        <v>-42.594000000000001</v>
      </c>
      <c r="Q781" t="s">
        <v>933</v>
      </c>
      <c r="R781" t="s">
        <v>1749</v>
      </c>
      <c r="S781" t="s">
        <v>1750</v>
      </c>
      <c r="T781">
        <v>8</v>
      </c>
      <c r="U781">
        <v>6.6</v>
      </c>
      <c r="V781">
        <v>111</v>
      </c>
      <c r="W781">
        <v>0</v>
      </c>
      <c r="X781">
        <v>16</v>
      </c>
      <c r="Y781">
        <v>10</v>
      </c>
      <c r="Z781">
        <v>0</v>
      </c>
      <c r="AA781">
        <v>7</v>
      </c>
      <c r="AB781">
        <v>1</v>
      </c>
      <c r="AC781">
        <v>670</v>
      </c>
      <c r="AD781" s="8">
        <v>41449</v>
      </c>
      <c r="AE781" s="8"/>
      <c r="AF781" s="8"/>
    </row>
    <row r="782" spans="1:32">
      <c r="A782" t="s">
        <v>84</v>
      </c>
      <c r="B782">
        <v>6.9</v>
      </c>
      <c r="C782" s="8" t="s">
        <v>629</v>
      </c>
      <c r="D782">
        <v>3</v>
      </c>
      <c r="E782">
        <v>3</v>
      </c>
      <c r="F782" t="s">
        <v>21</v>
      </c>
      <c r="G782">
        <v>1</v>
      </c>
      <c r="H782">
        <v>733</v>
      </c>
      <c r="I782" t="s">
        <v>22</v>
      </c>
      <c r="J782">
        <v>0</v>
      </c>
      <c r="K782">
        <v>5.4850000000000003</v>
      </c>
      <c r="L782">
        <v>19</v>
      </c>
      <c r="M782" t="s">
        <v>23</v>
      </c>
      <c r="N782">
        <v>405.69</v>
      </c>
      <c r="O782">
        <v>-21.9724</v>
      </c>
      <c r="P782">
        <v>-178.20400000000001</v>
      </c>
      <c r="R782" t="s">
        <v>1749</v>
      </c>
      <c r="S782" t="s">
        <v>1750</v>
      </c>
      <c r="T782">
        <v>8</v>
      </c>
      <c r="U782">
        <v>6.9</v>
      </c>
      <c r="V782">
        <v>0</v>
      </c>
      <c r="W782">
        <v>5.4850000000000003</v>
      </c>
      <c r="X782">
        <v>19</v>
      </c>
      <c r="Y782">
        <v>405.69</v>
      </c>
      <c r="Z782">
        <v>3</v>
      </c>
      <c r="AA782">
        <v>3</v>
      </c>
      <c r="AB782">
        <v>1</v>
      </c>
      <c r="AC782">
        <v>733</v>
      </c>
      <c r="AD782" s="8">
        <v>42518</v>
      </c>
      <c r="AE782" s="8"/>
      <c r="AF782" s="8"/>
    </row>
    <row r="783" spans="1:32">
      <c r="A783" t="s">
        <v>246</v>
      </c>
      <c r="B783">
        <v>6.5</v>
      </c>
      <c r="C783" s="8" t="s">
        <v>247</v>
      </c>
      <c r="D783">
        <v>4</v>
      </c>
      <c r="E783">
        <v>5</v>
      </c>
      <c r="F783" t="s">
        <v>21</v>
      </c>
      <c r="G783">
        <v>0</v>
      </c>
      <c r="H783">
        <v>651</v>
      </c>
      <c r="I783" t="s">
        <v>22</v>
      </c>
      <c r="J783">
        <v>0</v>
      </c>
      <c r="K783">
        <v>15.394</v>
      </c>
      <c r="L783">
        <v>31</v>
      </c>
      <c r="M783" t="s">
        <v>23</v>
      </c>
      <c r="N783">
        <v>10</v>
      </c>
      <c r="O783">
        <v>0.86960000000000004</v>
      </c>
      <c r="P783">
        <v>-29.704599999999999</v>
      </c>
      <c r="Q783" t="s">
        <v>241</v>
      </c>
      <c r="R783" t="s">
        <v>1749</v>
      </c>
      <c r="S783" t="s">
        <v>1750</v>
      </c>
      <c r="T783">
        <v>8</v>
      </c>
      <c r="U783">
        <v>6.5</v>
      </c>
      <c r="V783">
        <v>0</v>
      </c>
      <c r="W783">
        <v>15.394</v>
      </c>
      <c r="X783">
        <v>31</v>
      </c>
      <c r="Y783">
        <v>10</v>
      </c>
      <c r="Z783">
        <v>4</v>
      </c>
      <c r="AA783">
        <v>5</v>
      </c>
      <c r="AB783">
        <v>0</v>
      </c>
      <c r="AC783">
        <v>651</v>
      </c>
      <c r="AD783" s="8">
        <v>44073</v>
      </c>
      <c r="AE783" s="8"/>
      <c r="AF783" s="8"/>
    </row>
  </sheetData>
  <sortState xmlns:xlrd2="http://schemas.microsoft.com/office/spreadsheetml/2017/richdata2" ref="A2:AD783">
    <sortCondition ref="T1:T783"/>
  </sortState>
  <phoneticPr fontId="25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3D0FE-90ED-204D-A9ED-F2FE341CCBDD}">
  <dimension ref="A1:B308"/>
  <sheetViews>
    <sheetView workbookViewId="0"/>
  </sheetViews>
  <sheetFormatPr baseColWidth="10" defaultRowHeight="16"/>
  <cols>
    <col min="1" max="1" width="13" bestFit="1" customWidth="1"/>
    <col min="2" max="2" width="14.1640625" bestFit="1" customWidth="1"/>
  </cols>
  <sheetData>
    <row r="1" spans="1:2">
      <c r="A1" s="4" t="s">
        <v>1746</v>
      </c>
      <c r="B1" t="s">
        <v>1756</v>
      </c>
    </row>
    <row r="2" spans="1:2">
      <c r="A2" s="5" t="s">
        <v>1758</v>
      </c>
      <c r="B2">
        <v>1</v>
      </c>
    </row>
    <row r="3" spans="1:2">
      <c r="A3" s="5" t="s">
        <v>2041</v>
      </c>
      <c r="B3">
        <v>1</v>
      </c>
    </row>
    <row r="4" spans="1:2">
      <c r="A4" s="5" t="s">
        <v>1969</v>
      </c>
      <c r="B4">
        <v>1</v>
      </c>
    </row>
    <row r="5" spans="1:2">
      <c r="A5" s="5" t="s">
        <v>1891</v>
      </c>
      <c r="B5">
        <v>1</v>
      </c>
    </row>
    <row r="6" spans="1:2">
      <c r="A6" s="5" t="s">
        <v>1984</v>
      </c>
      <c r="B6">
        <v>3</v>
      </c>
    </row>
    <row r="7" spans="1:2">
      <c r="A7" s="5" t="s">
        <v>2012</v>
      </c>
      <c r="B7">
        <v>0</v>
      </c>
    </row>
    <row r="8" spans="1:2">
      <c r="A8" s="5" t="s">
        <v>1892</v>
      </c>
      <c r="B8">
        <v>1</v>
      </c>
    </row>
    <row r="9" spans="1:2">
      <c r="A9" s="5" t="s">
        <v>1872</v>
      </c>
      <c r="B9">
        <v>3</v>
      </c>
    </row>
    <row r="10" spans="1:2">
      <c r="A10" s="5" t="s">
        <v>1806</v>
      </c>
      <c r="B10">
        <v>0</v>
      </c>
    </row>
    <row r="11" spans="1:2">
      <c r="A11" s="5" t="s">
        <v>1985</v>
      </c>
      <c r="B11">
        <v>2</v>
      </c>
    </row>
    <row r="12" spans="1:2">
      <c r="A12" s="5" t="s">
        <v>1759</v>
      </c>
      <c r="B12">
        <v>0</v>
      </c>
    </row>
    <row r="13" spans="1:2">
      <c r="A13" s="5" t="s">
        <v>2013</v>
      </c>
      <c r="B13">
        <v>2</v>
      </c>
    </row>
    <row r="14" spans="1:2">
      <c r="A14" s="5" t="s">
        <v>2042</v>
      </c>
      <c r="B14">
        <v>1</v>
      </c>
    </row>
    <row r="15" spans="1:2">
      <c r="A15" s="5" t="s">
        <v>1760</v>
      </c>
      <c r="B15">
        <v>0</v>
      </c>
    </row>
    <row r="16" spans="1:2">
      <c r="A16" s="5" t="s">
        <v>1947</v>
      </c>
      <c r="B16">
        <v>0</v>
      </c>
    </row>
    <row r="17" spans="1:2">
      <c r="A17" s="5" t="s">
        <v>1853</v>
      </c>
      <c r="B17">
        <v>1</v>
      </c>
    </row>
    <row r="18" spans="1:2">
      <c r="A18" s="5" t="s">
        <v>1807</v>
      </c>
      <c r="B18">
        <v>1</v>
      </c>
    </row>
    <row r="19" spans="1:2">
      <c r="A19" s="5" t="s">
        <v>1808</v>
      </c>
      <c r="B19">
        <v>2</v>
      </c>
    </row>
    <row r="20" spans="1:2">
      <c r="A20" s="5" t="s">
        <v>1809</v>
      </c>
      <c r="B20">
        <v>1</v>
      </c>
    </row>
    <row r="21" spans="1:2">
      <c r="A21" s="5" t="s">
        <v>1996</v>
      </c>
      <c r="B21">
        <v>3</v>
      </c>
    </row>
    <row r="22" spans="1:2">
      <c r="A22" s="5" t="s">
        <v>2014</v>
      </c>
      <c r="B22">
        <v>1</v>
      </c>
    </row>
    <row r="23" spans="1:2">
      <c r="A23" s="5" t="s">
        <v>1761</v>
      </c>
      <c r="B23">
        <v>0</v>
      </c>
    </row>
    <row r="24" spans="1:2">
      <c r="A24" s="5" t="s">
        <v>1833</v>
      </c>
      <c r="B24">
        <v>1</v>
      </c>
    </row>
    <row r="25" spans="1:2">
      <c r="A25" s="5" t="s">
        <v>2058</v>
      </c>
      <c r="B25">
        <v>1</v>
      </c>
    </row>
    <row r="26" spans="1:2">
      <c r="A26" s="5" t="s">
        <v>1970</v>
      </c>
      <c r="B26">
        <v>1</v>
      </c>
    </row>
    <row r="27" spans="1:2">
      <c r="A27" s="5" t="s">
        <v>1784</v>
      </c>
      <c r="B27">
        <v>0</v>
      </c>
    </row>
    <row r="28" spans="1:2">
      <c r="A28" s="5" t="s">
        <v>1957</v>
      </c>
      <c r="B28">
        <v>1</v>
      </c>
    </row>
    <row r="29" spans="1:2">
      <c r="A29" s="5" t="s">
        <v>1854</v>
      </c>
      <c r="B29">
        <v>2</v>
      </c>
    </row>
    <row r="30" spans="1:2">
      <c r="A30" s="5" t="s">
        <v>2028</v>
      </c>
      <c r="B30">
        <v>0</v>
      </c>
    </row>
    <row r="31" spans="1:2">
      <c r="A31" s="5" t="s">
        <v>2047</v>
      </c>
      <c r="B31">
        <v>0</v>
      </c>
    </row>
    <row r="32" spans="1:2">
      <c r="A32" s="5" t="s">
        <v>2019</v>
      </c>
      <c r="B32">
        <v>1</v>
      </c>
    </row>
    <row r="33" spans="1:2">
      <c r="A33" s="5" t="s">
        <v>1855</v>
      </c>
      <c r="B33">
        <v>0</v>
      </c>
    </row>
    <row r="34" spans="1:2">
      <c r="A34" s="5" t="s">
        <v>2043</v>
      </c>
      <c r="B34">
        <v>0</v>
      </c>
    </row>
    <row r="35" spans="1:2">
      <c r="A35" s="5" t="s">
        <v>1893</v>
      </c>
      <c r="B35">
        <v>0</v>
      </c>
    </row>
    <row r="36" spans="1:2">
      <c r="A36" s="5" t="s">
        <v>2052</v>
      </c>
      <c r="B36">
        <v>1</v>
      </c>
    </row>
    <row r="37" spans="1:2">
      <c r="A37" s="5" t="s">
        <v>1785</v>
      </c>
      <c r="B37">
        <v>0</v>
      </c>
    </row>
    <row r="38" spans="1:2">
      <c r="A38" s="5" t="s">
        <v>1762</v>
      </c>
      <c r="B38">
        <v>0</v>
      </c>
    </row>
    <row r="39" spans="1:2">
      <c r="A39" s="5" t="s">
        <v>1763</v>
      </c>
      <c r="B39">
        <v>2</v>
      </c>
    </row>
    <row r="40" spans="1:2">
      <c r="A40" s="5" t="s">
        <v>1907</v>
      </c>
      <c r="B40">
        <v>1</v>
      </c>
    </row>
    <row r="41" spans="1:2">
      <c r="A41" s="5" t="s">
        <v>1856</v>
      </c>
      <c r="B41">
        <v>0</v>
      </c>
    </row>
    <row r="42" spans="1:2">
      <c r="A42" s="5" t="s">
        <v>1997</v>
      </c>
      <c r="B42">
        <v>3</v>
      </c>
    </row>
    <row r="43" spans="1:2">
      <c r="A43" s="5" t="s">
        <v>1986</v>
      </c>
      <c r="B43">
        <v>1</v>
      </c>
    </row>
    <row r="44" spans="1:2">
      <c r="A44" s="5" t="s">
        <v>1857</v>
      </c>
      <c r="B44">
        <v>0</v>
      </c>
    </row>
    <row r="45" spans="1:2">
      <c r="A45" s="5" t="s">
        <v>1894</v>
      </c>
      <c r="B45">
        <v>0</v>
      </c>
    </row>
    <row r="46" spans="1:2">
      <c r="A46" s="5" t="s">
        <v>2020</v>
      </c>
      <c r="B46">
        <v>0</v>
      </c>
    </row>
    <row r="47" spans="1:2">
      <c r="A47" s="5" t="s">
        <v>1873</v>
      </c>
      <c r="B47">
        <v>1</v>
      </c>
    </row>
    <row r="48" spans="1:2">
      <c r="A48" s="5" t="s">
        <v>1764</v>
      </c>
      <c r="B48">
        <v>1</v>
      </c>
    </row>
    <row r="49" spans="1:2">
      <c r="A49" s="5" t="s">
        <v>1908</v>
      </c>
      <c r="B49">
        <v>1</v>
      </c>
    </row>
    <row r="50" spans="1:2">
      <c r="A50" s="5" t="s">
        <v>1858</v>
      </c>
      <c r="B50">
        <v>0</v>
      </c>
    </row>
    <row r="51" spans="1:2">
      <c r="A51" s="5" t="s">
        <v>1929</v>
      </c>
      <c r="B51">
        <v>0</v>
      </c>
    </row>
    <row r="52" spans="1:2">
      <c r="A52" s="5" t="s">
        <v>1765</v>
      </c>
      <c r="B52">
        <v>1</v>
      </c>
    </row>
    <row r="53" spans="1:2">
      <c r="A53" s="5" t="s">
        <v>1786</v>
      </c>
      <c r="B53">
        <v>1</v>
      </c>
    </row>
    <row r="54" spans="1:2">
      <c r="A54" s="5" t="s">
        <v>1787</v>
      </c>
      <c r="B54">
        <v>0</v>
      </c>
    </row>
    <row r="55" spans="1:2">
      <c r="A55" s="5" t="s">
        <v>1788</v>
      </c>
      <c r="B55">
        <v>0</v>
      </c>
    </row>
    <row r="56" spans="1:2">
      <c r="A56" s="5" t="s">
        <v>1987</v>
      </c>
      <c r="B56">
        <v>2</v>
      </c>
    </row>
    <row r="57" spans="1:2">
      <c r="A57" s="5" t="s">
        <v>1834</v>
      </c>
      <c r="B57">
        <v>0</v>
      </c>
    </row>
    <row r="58" spans="1:2">
      <c r="A58" s="5" t="s">
        <v>2048</v>
      </c>
      <c r="B58">
        <v>1</v>
      </c>
    </row>
    <row r="59" spans="1:2">
      <c r="A59" s="5" t="s">
        <v>1918</v>
      </c>
      <c r="B59">
        <v>1</v>
      </c>
    </row>
    <row r="60" spans="1:2">
      <c r="A60" s="5" t="s">
        <v>1930</v>
      </c>
      <c r="B60">
        <v>0</v>
      </c>
    </row>
    <row r="61" spans="1:2">
      <c r="A61" s="5" t="s">
        <v>1789</v>
      </c>
      <c r="B61">
        <v>0</v>
      </c>
    </row>
    <row r="62" spans="1:2">
      <c r="A62" s="5" t="s">
        <v>2059</v>
      </c>
      <c r="B62">
        <v>0</v>
      </c>
    </row>
    <row r="63" spans="1:2">
      <c r="A63" s="5" t="s">
        <v>1874</v>
      </c>
      <c r="B63">
        <v>0</v>
      </c>
    </row>
    <row r="64" spans="1:2">
      <c r="A64" s="5" t="s">
        <v>1931</v>
      </c>
      <c r="B64">
        <v>3</v>
      </c>
    </row>
    <row r="65" spans="1:2">
      <c r="A65" s="5" t="s">
        <v>1766</v>
      </c>
      <c r="B65">
        <v>0</v>
      </c>
    </row>
    <row r="66" spans="1:2">
      <c r="A66" s="5" t="s">
        <v>1859</v>
      </c>
      <c r="B66">
        <v>1</v>
      </c>
    </row>
    <row r="67" spans="1:2">
      <c r="A67" s="5" t="s">
        <v>1958</v>
      </c>
      <c r="B67">
        <v>0</v>
      </c>
    </row>
    <row r="68" spans="1:2">
      <c r="A68" s="5" t="s">
        <v>2060</v>
      </c>
      <c r="B68">
        <v>1</v>
      </c>
    </row>
    <row r="69" spans="1:2">
      <c r="A69" s="5" t="s">
        <v>1767</v>
      </c>
      <c r="B69">
        <v>0</v>
      </c>
    </row>
    <row r="70" spans="1:2">
      <c r="A70" s="5" t="s">
        <v>1810</v>
      </c>
      <c r="B70">
        <v>1</v>
      </c>
    </row>
    <row r="71" spans="1:2">
      <c r="A71" s="5" t="s">
        <v>2029</v>
      </c>
      <c r="B71">
        <v>1</v>
      </c>
    </row>
    <row r="72" spans="1:2">
      <c r="A72" s="5" t="s">
        <v>1790</v>
      </c>
      <c r="B72">
        <v>0</v>
      </c>
    </row>
    <row r="73" spans="1:2">
      <c r="A73" s="5" t="s">
        <v>1998</v>
      </c>
      <c r="B73">
        <v>3</v>
      </c>
    </row>
    <row r="74" spans="1:2">
      <c r="A74" s="5" t="s">
        <v>1932</v>
      </c>
      <c r="B74">
        <v>2</v>
      </c>
    </row>
    <row r="75" spans="1:2">
      <c r="A75" s="5" t="s">
        <v>1791</v>
      </c>
      <c r="B75">
        <v>1</v>
      </c>
    </row>
    <row r="76" spans="1:2">
      <c r="A76" s="5" t="s">
        <v>1875</v>
      </c>
      <c r="B76">
        <v>0</v>
      </c>
    </row>
    <row r="77" spans="1:2">
      <c r="A77" s="5" t="s">
        <v>1933</v>
      </c>
      <c r="B77">
        <v>3</v>
      </c>
    </row>
    <row r="78" spans="1:2">
      <c r="A78" s="5" t="s">
        <v>1934</v>
      </c>
      <c r="B78">
        <v>0</v>
      </c>
    </row>
    <row r="79" spans="1:2">
      <c r="A79" s="5" t="s">
        <v>2030</v>
      </c>
      <c r="B79">
        <v>1</v>
      </c>
    </row>
    <row r="80" spans="1:2">
      <c r="A80" s="5" t="s">
        <v>1988</v>
      </c>
      <c r="B80">
        <v>1</v>
      </c>
    </row>
    <row r="81" spans="1:2">
      <c r="A81" s="5" t="s">
        <v>1811</v>
      </c>
      <c r="B81">
        <v>0</v>
      </c>
    </row>
    <row r="82" spans="1:2">
      <c r="A82" s="5" t="s">
        <v>1971</v>
      </c>
      <c r="B82">
        <v>1</v>
      </c>
    </row>
    <row r="83" spans="1:2">
      <c r="A83" s="5" t="s">
        <v>1999</v>
      </c>
      <c r="B83">
        <v>2</v>
      </c>
    </row>
    <row r="84" spans="1:2">
      <c r="A84" s="5" t="s">
        <v>1935</v>
      </c>
      <c r="B84">
        <v>1</v>
      </c>
    </row>
    <row r="85" spans="1:2">
      <c r="A85" s="5" t="s">
        <v>1972</v>
      </c>
      <c r="B85">
        <v>1</v>
      </c>
    </row>
    <row r="86" spans="1:2">
      <c r="A86" s="5" t="s">
        <v>2015</v>
      </c>
      <c r="B86">
        <v>1</v>
      </c>
    </row>
    <row r="87" spans="1:2">
      <c r="A87" s="5" t="s">
        <v>1973</v>
      </c>
      <c r="B87">
        <v>2</v>
      </c>
    </row>
    <row r="88" spans="1:2">
      <c r="A88" s="5" t="s">
        <v>1959</v>
      </c>
      <c r="B88">
        <v>1</v>
      </c>
    </row>
    <row r="89" spans="1:2">
      <c r="A89" s="5" t="s">
        <v>1792</v>
      </c>
      <c r="B89">
        <v>1</v>
      </c>
    </row>
    <row r="90" spans="1:2">
      <c r="A90" s="5" t="s">
        <v>1768</v>
      </c>
      <c r="B90">
        <v>3</v>
      </c>
    </row>
    <row r="91" spans="1:2">
      <c r="A91" s="5" t="s">
        <v>1876</v>
      </c>
      <c r="B91">
        <v>0</v>
      </c>
    </row>
    <row r="92" spans="1:2">
      <c r="A92" s="5" t="s">
        <v>1960</v>
      </c>
      <c r="B92">
        <v>1</v>
      </c>
    </row>
    <row r="93" spans="1:2">
      <c r="A93" s="5" t="s">
        <v>1835</v>
      </c>
      <c r="B93">
        <v>1</v>
      </c>
    </row>
    <row r="94" spans="1:2">
      <c r="A94" s="5" t="s">
        <v>1989</v>
      </c>
      <c r="B94">
        <v>2</v>
      </c>
    </row>
    <row r="95" spans="1:2">
      <c r="A95" s="5" t="s">
        <v>2000</v>
      </c>
      <c r="B95">
        <v>0</v>
      </c>
    </row>
    <row r="96" spans="1:2">
      <c r="A96" s="5" t="s">
        <v>1793</v>
      </c>
      <c r="B96">
        <v>0</v>
      </c>
    </row>
    <row r="97" spans="1:2">
      <c r="A97" s="5" t="s">
        <v>1961</v>
      </c>
      <c r="B97">
        <v>2</v>
      </c>
    </row>
    <row r="98" spans="1:2">
      <c r="A98" s="5" t="s">
        <v>1877</v>
      </c>
      <c r="B98">
        <v>0</v>
      </c>
    </row>
    <row r="99" spans="1:2">
      <c r="A99" s="5" t="s">
        <v>1878</v>
      </c>
      <c r="B99">
        <v>1</v>
      </c>
    </row>
    <row r="100" spans="1:2">
      <c r="A100" s="5" t="s">
        <v>1936</v>
      </c>
      <c r="B100">
        <v>0</v>
      </c>
    </row>
    <row r="101" spans="1:2">
      <c r="A101" s="5" t="s">
        <v>1794</v>
      </c>
      <c r="B101">
        <v>0</v>
      </c>
    </row>
    <row r="102" spans="1:2">
      <c r="A102" s="5" t="s">
        <v>1795</v>
      </c>
      <c r="B102">
        <v>0</v>
      </c>
    </row>
    <row r="103" spans="1:2">
      <c r="A103" s="5" t="s">
        <v>1836</v>
      </c>
      <c r="B103">
        <v>0</v>
      </c>
    </row>
    <row r="104" spans="1:2">
      <c r="A104" s="5" t="s">
        <v>2001</v>
      </c>
      <c r="B104">
        <v>1</v>
      </c>
    </row>
    <row r="105" spans="1:2">
      <c r="A105" s="5" t="s">
        <v>1769</v>
      </c>
      <c r="B105">
        <v>0</v>
      </c>
    </row>
    <row r="106" spans="1:2">
      <c r="A106" s="5" t="s">
        <v>2031</v>
      </c>
      <c r="B106">
        <v>0</v>
      </c>
    </row>
    <row r="107" spans="1:2">
      <c r="A107" s="5" t="s">
        <v>1837</v>
      </c>
      <c r="B107">
        <v>1</v>
      </c>
    </row>
    <row r="108" spans="1:2">
      <c r="A108" s="5" t="s">
        <v>1909</v>
      </c>
      <c r="B108">
        <v>0</v>
      </c>
    </row>
    <row r="109" spans="1:2">
      <c r="A109" s="5" t="s">
        <v>1860</v>
      </c>
      <c r="B109">
        <v>2</v>
      </c>
    </row>
    <row r="110" spans="1:2">
      <c r="A110" s="5" t="s">
        <v>1990</v>
      </c>
      <c r="B110">
        <v>1</v>
      </c>
    </row>
    <row r="111" spans="1:2">
      <c r="A111" s="5" t="s">
        <v>1861</v>
      </c>
      <c r="B111">
        <v>1</v>
      </c>
    </row>
    <row r="112" spans="1:2">
      <c r="A112" s="5" t="s">
        <v>2049</v>
      </c>
      <c r="B112">
        <v>0</v>
      </c>
    </row>
    <row r="113" spans="1:2">
      <c r="A113" s="5" t="s">
        <v>1879</v>
      </c>
      <c r="B113">
        <v>0</v>
      </c>
    </row>
    <row r="114" spans="1:2">
      <c r="A114" s="5" t="s">
        <v>2016</v>
      </c>
      <c r="B114">
        <v>2</v>
      </c>
    </row>
    <row r="115" spans="1:2">
      <c r="A115" s="5" t="s">
        <v>1862</v>
      </c>
      <c r="B115">
        <v>1</v>
      </c>
    </row>
    <row r="116" spans="1:2">
      <c r="A116" s="5" t="s">
        <v>2002</v>
      </c>
      <c r="B116">
        <v>1</v>
      </c>
    </row>
    <row r="117" spans="1:2">
      <c r="A117" s="5" t="s">
        <v>1812</v>
      </c>
      <c r="B117">
        <v>1</v>
      </c>
    </row>
    <row r="118" spans="1:2">
      <c r="A118" s="5" t="s">
        <v>1880</v>
      </c>
      <c r="B118">
        <v>2</v>
      </c>
    </row>
    <row r="119" spans="1:2">
      <c r="A119" s="5" t="s">
        <v>1974</v>
      </c>
      <c r="B119">
        <v>1</v>
      </c>
    </row>
    <row r="120" spans="1:2">
      <c r="A120" s="5" t="s">
        <v>1975</v>
      </c>
      <c r="B120">
        <v>2</v>
      </c>
    </row>
    <row r="121" spans="1:2">
      <c r="A121" s="5" t="s">
        <v>1813</v>
      </c>
      <c r="B121">
        <v>2</v>
      </c>
    </row>
    <row r="122" spans="1:2">
      <c r="A122" s="5" t="s">
        <v>1937</v>
      </c>
      <c r="B122">
        <v>0</v>
      </c>
    </row>
    <row r="123" spans="1:2">
      <c r="A123" s="5" t="s">
        <v>1881</v>
      </c>
      <c r="B123">
        <v>2</v>
      </c>
    </row>
    <row r="124" spans="1:2">
      <c r="A124" s="5" t="s">
        <v>2003</v>
      </c>
      <c r="B124">
        <v>1</v>
      </c>
    </row>
    <row r="125" spans="1:2">
      <c r="A125" s="5" t="s">
        <v>2004</v>
      </c>
      <c r="B125">
        <v>2</v>
      </c>
    </row>
    <row r="126" spans="1:2">
      <c r="A126" s="5" t="s">
        <v>2044</v>
      </c>
      <c r="B126">
        <v>1</v>
      </c>
    </row>
    <row r="127" spans="1:2">
      <c r="A127" s="5" t="s">
        <v>1962</v>
      </c>
      <c r="B127">
        <v>1</v>
      </c>
    </row>
    <row r="128" spans="1:2">
      <c r="A128" s="5" t="s">
        <v>2032</v>
      </c>
      <c r="B128">
        <v>1</v>
      </c>
    </row>
    <row r="129" spans="1:2">
      <c r="A129" s="5" t="s">
        <v>1938</v>
      </c>
      <c r="B129">
        <v>2</v>
      </c>
    </row>
    <row r="130" spans="1:2">
      <c r="A130" s="5" t="s">
        <v>2045</v>
      </c>
      <c r="B130">
        <v>1</v>
      </c>
    </row>
    <row r="131" spans="1:2">
      <c r="A131" s="5" t="s">
        <v>1948</v>
      </c>
      <c r="B131">
        <v>1</v>
      </c>
    </row>
    <row r="132" spans="1:2">
      <c r="A132" s="5" t="s">
        <v>1838</v>
      </c>
      <c r="B132">
        <v>1</v>
      </c>
    </row>
    <row r="133" spans="1:2">
      <c r="A133" s="5" t="s">
        <v>1814</v>
      </c>
      <c r="B133">
        <v>0</v>
      </c>
    </row>
    <row r="134" spans="1:2">
      <c r="A134" s="5" t="s">
        <v>1839</v>
      </c>
      <c r="B134">
        <v>0</v>
      </c>
    </row>
    <row r="135" spans="1:2">
      <c r="A135" s="5" t="s">
        <v>1863</v>
      </c>
      <c r="B135">
        <v>1</v>
      </c>
    </row>
    <row r="136" spans="1:2">
      <c r="A136" s="5" t="s">
        <v>2021</v>
      </c>
      <c r="B136">
        <v>1</v>
      </c>
    </row>
    <row r="137" spans="1:2">
      <c r="A137" s="5" t="s">
        <v>1864</v>
      </c>
      <c r="B137">
        <v>2</v>
      </c>
    </row>
    <row r="138" spans="1:2">
      <c r="A138" s="5" t="s">
        <v>1815</v>
      </c>
      <c r="B138">
        <v>0</v>
      </c>
    </row>
    <row r="139" spans="1:2">
      <c r="A139" s="5" t="s">
        <v>1796</v>
      </c>
      <c r="B139">
        <v>0</v>
      </c>
    </row>
    <row r="140" spans="1:2">
      <c r="A140" s="5" t="s">
        <v>1797</v>
      </c>
      <c r="B140">
        <v>1</v>
      </c>
    </row>
    <row r="141" spans="1:2">
      <c r="A141" s="5" t="s">
        <v>1816</v>
      </c>
      <c r="B141">
        <v>1</v>
      </c>
    </row>
    <row r="142" spans="1:2">
      <c r="A142" s="5" t="s">
        <v>1798</v>
      </c>
      <c r="B142">
        <v>1</v>
      </c>
    </row>
    <row r="143" spans="1:2">
      <c r="A143" s="5" t="s">
        <v>1770</v>
      </c>
      <c r="B143">
        <v>3</v>
      </c>
    </row>
    <row r="144" spans="1:2">
      <c r="A144" s="5" t="s">
        <v>1976</v>
      </c>
      <c r="B144">
        <v>2</v>
      </c>
    </row>
    <row r="145" spans="1:2">
      <c r="A145" s="5" t="s">
        <v>1771</v>
      </c>
      <c r="B145">
        <v>0</v>
      </c>
    </row>
    <row r="146" spans="1:2">
      <c r="A146" s="5" t="s">
        <v>1910</v>
      </c>
      <c r="B146">
        <v>0</v>
      </c>
    </row>
    <row r="147" spans="1:2">
      <c r="A147" s="5" t="s">
        <v>1991</v>
      </c>
      <c r="B147">
        <v>2</v>
      </c>
    </row>
    <row r="148" spans="1:2">
      <c r="A148" s="5" t="s">
        <v>2005</v>
      </c>
      <c r="B148">
        <v>1</v>
      </c>
    </row>
    <row r="149" spans="1:2">
      <c r="A149" s="5" t="s">
        <v>1840</v>
      </c>
      <c r="B149">
        <v>2</v>
      </c>
    </row>
    <row r="150" spans="1:2">
      <c r="A150" s="5" t="s">
        <v>1882</v>
      </c>
      <c r="B150">
        <v>1</v>
      </c>
    </row>
    <row r="151" spans="1:2">
      <c r="A151" s="5" t="s">
        <v>1911</v>
      </c>
      <c r="B151">
        <v>1</v>
      </c>
    </row>
    <row r="152" spans="1:2">
      <c r="A152" s="5" t="s">
        <v>1817</v>
      </c>
      <c r="B152">
        <v>0</v>
      </c>
    </row>
    <row r="153" spans="1:2">
      <c r="A153" s="5" t="s">
        <v>1772</v>
      </c>
      <c r="B153">
        <v>2</v>
      </c>
    </row>
    <row r="154" spans="1:2">
      <c r="A154" s="5" t="s">
        <v>1883</v>
      </c>
      <c r="B154">
        <v>0</v>
      </c>
    </row>
    <row r="155" spans="1:2">
      <c r="A155" s="5" t="s">
        <v>1919</v>
      </c>
      <c r="B155">
        <v>0</v>
      </c>
    </row>
    <row r="156" spans="1:2">
      <c r="A156" s="5" t="s">
        <v>1884</v>
      </c>
      <c r="B156">
        <v>3</v>
      </c>
    </row>
    <row r="157" spans="1:2">
      <c r="A157" s="5" t="s">
        <v>1963</v>
      </c>
      <c r="B157">
        <v>1</v>
      </c>
    </row>
    <row r="158" spans="1:2">
      <c r="A158" s="5" t="s">
        <v>1939</v>
      </c>
      <c r="B158">
        <v>1</v>
      </c>
    </row>
    <row r="159" spans="1:2">
      <c r="A159" s="5" t="s">
        <v>1818</v>
      </c>
      <c r="B159">
        <v>1</v>
      </c>
    </row>
    <row r="160" spans="1:2">
      <c r="A160" s="5" t="s">
        <v>1895</v>
      </c>
      <c r="B160">
        <v>1</v>
      </c>
    </row>
    <row r="161" spans="1:2">
      <c r="A161" s="5" t="s">
        <v>1885</v>
      </c>
      <c r="B161">
        <v>2</v>
      </c>
    </row>
    <row r="162" spans="1:2">
      <c r="A162" s="5" t="s">
        <v>1940</v>
      </c>
      <c r="B162">
        <v>1</v>
      </c>
    </row>
    <row r="163" spans="1:2">
      <c r="A163" s="5" t="s">
        <v>1912</v>
      </c>
      <c r="B163">
        <v>0</v>
      </c>
    </row>
    <row r="164" spans="1:2">
      <c r="A164" s="5" t="s">
        <v>2022</v>
      </c>
      <c r="B164">
        <v>0</v>
      </c>
    </row>
    <row r="165" spans="1:2">
      <c r="A165" s="5" t="s">
        <v>1977</v>
      </c>
      <c r="B165">
        <v>3</v>
      </c>
    </row>
    <row r="166" spans="1:2">
      <c r="A166" s="5" t="s">
        <v>2050</v>
      </c>
      <c r="B166">
        <v>1</v>
      </c>
    </row>
    <row r="167" spans="1:2">
      <c r="A167" s="5" t="s">
        <v>1913</v>
      </c>
      <c r="B167">
        <v>1</v>
      </c>
    </row>
    <row r="168" spans="1:2">
      <c r="A168" s="5" t="s">
        <v>1865</v>
      </c>
      <c r="B168">
        <v>0</v>
      </c>
    </row>
    <row r="169" spans="1:2">
      <c r="A169" s="5" t="s">
        <v>1773</v>
      </c>
      <c r="B169">
        <v>0</v>
      </c>
    </row>
    <row r="170" spans="1:2">
      <c r="A170" s="5" t="s">
        <v>2006</v>
      </c>
      <c r="B170">
        <v>3</v>
      </c>
    </row>
    <row r="171" spans="1:2">
      <c r="A171" s="5" t="s">
        <v>1774</v>
      </c>
      <c r="B171">
        <v>0</v>
      </c>
    </row>
    <row r="172" spans="1:2">
      <c r="A172" s="5" t="s">
        <v>2017</v>
      </c>
      <c r="B172">
        <v>3</v>
      </c>
    </row>
    <row r="173" spans="1:2">
      <c r="A173" s="5" t="s">
        <v>1799</v>
      </c>
      <c r="B173">
        <v>1</v>
      </c>
    </row>
    <row r="174" spans="1:2">
      <c r="A174" s="5" t="s">
        <v>1886</v>
      </c>
      <c r="B174">
        <v>0</v>
      </c>
    </row>
    <row r="175" spans="1:2">
      <c r="A175" s="5" t="s">
        <v>1841</v>
      </c>
      <c r="B175">
        <v>2</v>
      </c>
    </row>
    <row r="176" spans="1:2">
      <c r="A176" s="5" t="s">
        <v>2033</v>
      </c>
      <c r="B176">
        <v>1</v>
      </c>
    </row>
    <row r="177" spans="1:2">
      <c r="A177" s="5" t="s">
        <v>2061</v>
      </c>
      <c r="B177">
        <v>0</v>
      </c>
    </row>
    <row r="178" spans="1:2">
      <c r="A178" s="5" t="s">
        <v>1896</v>
      </c>
      <c r="B178">
        <v>0</v>
      </c>
    </row>
    <row r="179" spans="1:2">
      <c r="A179" s="5" t="s">
        <v>1800</v>
      </c>
      <c r="B179">
        <v>2</v>
      </c>
    </row>
    <row r="180" spans="1:2">
      <c r="A180" s="5" t="s">
        <v>1819</v>
      </c>
      <c r="B180">
        <v>1</v>
      </c>
    </row>
    <row r="181" spans="1:2">
      <c r="A181" s="5" t="s">
        <v>1920</v>
      </c>
      <c r="B181">
        <v>0</v>
      </c>
    </row>
    <row r="182" spans="1:2">
      <c r="A182" s="5" t="s">
        <v>1992</v>
      </c>
      <c r="B182">
        <v>3</v>
      </c>
    </row>
    <row r="183" spans="1:2">
      <c r="A183" s="5" t="s">
        <v>1978</v>
      </c>
      <c r="B183">
        <v>1</v>
      </c>
    </row>
    <row r="184" spans="1:2">
      <c r="A184" s="5" t="s">
        <v>1801</v>
      </c>
      <c r="B184">
        <v>4</v>
      </c>
    </row>
    <row r="185" spans="1:2">
      <c r="A185" s="5" t="s">
        <v>1897</v>
      </c>
      <c r="B185">
        <v>1</v>
      </c>
    </row>
    <row r="186" spans="1:2">
      <c r="A186" s="5" t="s">
        <v>1866</v>
      </c>
      <c r="B186">
        <v>2</v>
      </c>
    </row>
    <row r="187" spans="1:2">
      <c r="A187" s="5" t="s">
        <v>2034</v>
      </c>
      <c r="B187">
        <v>0</v>
      </c>
    </row>
    <row r="188" spans="1:2">
      <c r="A188" s="5" t="s">
        <v>2051</v>
      </c>
      <c r="B188">
        <v>2</v>
      </c>
    </row>
    <row r="189" spans="1:2">
      <c r="A189" s="5" t="s">
        <v>2035</v>
      </c>
      <c r="B189">
        <v>1</v>
      </c>
    </row>
    <row r="190" spans="1:2">
      <c r="A190" s="5" t="s">
        <v>1949</v>
      </c>
      <c r="B190">
        <v>0</v>
      </c>
    </row>
    <row r="191" spans="1:2">
      <c r="A191" s="5" t="s">
        <v>1820</v>
      </c>
      <c r="B191">
        <v>2</v>
      </c>
    </row>
    <row r="192" spans="1:2">
      <c r="A192" s="5" t="s">
        <v>2053</v>
      </c>
      <c r="B192">
        <v>2</v>
      </c>
    </row>
    <row r="193" spans="1:2">
      <c r="A193" s="5" t="s">
        <v>1887</v>
      </c>
      <c r="B193">
        <v>1</v>
      </c>
    </row>
    <row r="194" spans="1:2">
      <c r="A194" s="5" t="s">
        <v>1914</v>
      </c>
      <c r="B194">
        <v>0</v>
      </c>
    </row>
    <row r="195" spans="1:2">
      <c r="A195" s="5" t="s">
        <v>1964</v>
      </c>
      <c r="B195">
        <v>0</v>
      </c>
    </row>
    <row r="196" spans="1:2">
      <c r="A196" s="5" t="s">
        <v>1965</v>
      </c>
      <c r="B196">
        <v>1</v>
      </c>
    </row>
    <row r="197" spans="1:2">
      <c r="A197" s="5" t="s">
        <v>1842</v>
      </c>
      <c r="B197">
        <v>0</v>
      </c>
    </row>
    <row r="198" spans="1:2">
      <c r="A198" s="5" t="s">
        <v>2036</v>
      </c>
      <c r="B198">
        <v>1</v>
      </c>
    </row>
    <row r="199" spans="1:2">
      <c r="A199" s="5" t="s">
        <v>1979</v>
      </c>
      <c r="B199">
        <v>0</v>
      </c>
    </row>
    <row r="200" spans="1:2">
      <c r="A200" s="5" t="s">
        <v>1966</v>
      </c>
      <c r="B200">
        <v>1</v>
      </c>
    </row>
    <row r="201" spans="1:2">
      <c r="A201" s="5" t="s">
        <v>1775</v>
      </c>
      <c r="B201">
        <v>0</v>
      </c>
    </row>
    <row r="202" spans="1:2">
      <c r="A202" s="5" t="s">
        <v>1980</v>
      </c>
      <c r="B202">
        <v>2</v>
      </c>
    </row>
    <row r="203" spans="1:2">
      <c r="A203" s="5" t="s">
        <v>1950</v>
      </c>
      <c r="B203">
        <v>0</v>
      </c>
    </row>
    <row r="204" spans="1:2">
      <c r="A204" s="5" t="s">
        <v>1843</v>
      </c>
      <c r="B204">
        <v>1</v>
      </c>
    </row>
    <row r="205" spans="1:2">
      <c r="A205" s="5" t="s">
        <v>1941</v>
      </c>
      <c r="B205">
        <v>1</v>
      </c>
    </row>
    <row r="206" spans="1:2">
      <c r="A206" s="5" t="s">
        <v>1921</v>
      </c>
      <c r="B206">
        <v>0</v>
      </c>
    </row>
    <row r="207" spans="1:2">
      <c r="A207" s="5" t="s">
        <v>1867</v>
      </c>
      <c r="B207">
        <v>1</v>
      </c>
    </row>
    <row r="208" spans="1:2">
      <c r="A208" s="5" t="s">
        <v>1844</v>
      </c>
      <c r="B208">
        <v>1</v>
      </c>
    </row>
    <row r="209" spans="1:2">
      <c r="A209" s="5" t="s">
        <v>1922</v>
      </c>
      <c r="B209">
        <v>4</v>
      </c>
    </row>
    <row r="210" spans="1:2">
      <c r="A210" s="5" t="s">
        <v>2007</v>
      </c>
      <c r="B210">
        <v>1</v>
      </c>
    </row>
    <row r="211" spans="1:2">
      <c r="A211" s="5" t="s">
        <v>1802</v>
      </c>
      <c r="B211">
        <v>1</v>
      </c>
    </row>
    <row r="212" spans="1:2">
      <c r="A212" s="5" t="s">
        <v>2062</v>
      </c>
      <c r="B212">
        <v>1</v>
      </c>
    </row>
    <row r="213" spans="1:2">
      <c r="A213" s="5" t="s">
        <v>1951</v>
      </c>
      <c r="B213">
        <v>1</v>
      </c>
    </row>
    <row r="214" spans="1:2">
      <c r="A214" s="5" t="s">
        <v>1993</v>
      </c>
      <c r="B214">
        <v>2</v>
      </c>
    </row>
    <row r="215" spans="1:2">
      <c r="A215" s="5" t="s">
        <v>1952</v>
      </c>
      <c r="B215">
        <v>2</v>
      </c>
    </row>
    <row r="216" spans="1:2">
      <c r="A216" s="5" t="s">
        <v>2023</v>
      </c>
      <c r="B216">
        <v>1</v>
      </c>
    </row>
    <row r="217" spans="1:2">
      <c r="A217" s="5" t="s">
        <v>1898</v>
      </c>
      <c r="B217">
        <v>0</v>
      </c>
    </row>
    <row r="218" spans="1:2">
      <c r="A218" s="5" t="s">
        <v>1821</v>
      </c>
      <c r="B218">
        <v>1</v>
      </c>
    </row>
    <row r="219" spans="1:2">
      <c r="A219" s="5" t="s">
        <v>2054</v>
      </c>
      <c r="B219">
        <v>2</v>
      </c>
    </row>
    <row r="220" spans="1:2">
      <c r="A220" s="5" t="s">
        <v>1981</v>
      </c>
      <c r="B220">
        <v>1</v>
      </c>
    </row>
    <row r="221" spans="1:2">
      <c r="A221" s="5" t="s">
        <v>1822</v>
      </c>
      <c r="B221">
        <v>2</v>
      </c>
    </row>
    <row r="222" spans="1:2">
      <c r="A222" s="5" t="s">
        <v>1868</v>
      </c>
      <c r="B222">
        <v>0</v>
      </c>
    </row>
    <row r="223" spans="1:2">
      <c r="A223" s="5" t="s">
        <v>1823</v>
      </c>
      <c r="B223">
        <v>0</v>
      </c>
    </row>
    <row r="224" spans="1:2">
      <c r="A224" s="5" t="s">
        <v>1888</v>
      </c>
      <c r="B224">
        <v>0</v>
      </c>
    </row>
    <row r="225" spans="1:2">
      <c r="A225" s="5" t="s">
        <v>1824</v>
      </c>
      <c r="B225">
        <v>1</v>
      </c>
    </row>
    <row r="226" spans="1:2">
      <c r="A226" s="5" t="s">
        <v>1923</v>
      </c>
      <c r="B226">
        <v>2</v>
      </c>
    </row>
    <row r="227" spans="1:2">
      <c r="A227" s="5" t="s">
        <v>1776</v>
      </c>
      <c r="B227">
        <v>2</v>
      </c>
    </row>
    <row r="228" spans="1:2">
      <c r="A228" s="5" t="s">
        <v>2024</v>
      </c>
      <c r="B228">
        <v>2</v>
      </c>
    </row>
    <row r="229" spans="1:2">
      <c r="A229" s="5" t="s">
        <v>1982</v>
      </c>
      <c r="B229">
        <v>2</v>
      </c>
    </row>
    <row r="230" spans="1:2">
      <c r="A230" s="5" t="s">
        <v>1869</v>
      </c>
      <c r="B230">
        <v>0</v>
      </c>
    </row>
    <row r="231" spans="1:2">
      <c r="A231" s="5" t="s">
        <v>1953</v>
      </c>
      <c r="B231">
        <v>2</v>
      </c>
    </row>
    <row r="232" spans="1:2">
      <c r="A232" s="5" t="s">
        <v>1845</v>
      </c>
      <c r="B232">
        <v>0</v>
      </c>
    </row>
    <row r="233" spans="1:2">
      <c r="A233" s="5" t="s">
        <v>2008</v>
      </c>
      <c r="B233">
        <v>1</v>
      </c>
    </row>
    <row r="234" spans="1:2">
      <c r="A234" s="5" t="s">
        <v>1924</v>
      </c>
      <c r="B234">
        <v>1</v>
      </c>
    </row>
    <row r="235" spans="1:2">
      <c r="A235" s="5" t="s">
        <v>1899</v>
      </c>
      <c r="B235">
        <v>1</v>
      </c>
    </row>
    <row r="236" spans="1:2">
      <c r="A236" s="5" t="s">
        <v>1803</v>
      </c>
      <c r="B236">
        <v>2</v>
      </c>
    </row>
    <row r="237" spans="1:2">
      <c r="A237" s="5" t="s">
        <v>2055</v>
      </c>
      <c r="B237">
        <v>1</v>
      </c>
    </row>
    <row r="238" spans="1:2">
      <c r="A238" s="5" t="s">
        <v>1825</v>
      </c>
      <c r="B238">
        <v>0</v>
      </c>
    </row>
    <row r="239" spans="1:2">
      <c r="A239" s="5" t="s">
        <v>2037</v>
      </c>
      <c r="B239">
        <v>1</v>
      </c>
    </row>
    <row r="240" spans="1:2">
      <c r="A240" s="5" t="s">
        <v>1954</v>
      </c>
      <c r="B240">
        <v>1</v>
      </c>
    </row>
    <row r="241" spans="1:2">
      <c r="A241" s="5" t="s">
        <v>1846</v>
      </c>
      <c r="B241">
        <v>1</v>
      </c>
    </row>
    <row r="242" spans="1:2">
      <c r="A242" s="5" t="s">
        <v>1915</v>
      </c>
      <c r="B242">
        <v>2</v>
      </c>
    </row>
    <row r="243" spans="1:2">
      <c r="A243" s="5" t="s">
        <v>1889</v>
      </c>
      <c r="B243">
        <v>1</v>
      </c>
    </row>
    <row r="244" spans="1:2">
      <c r="A244" s="5" t="s">
        <v>1777</v>
      </c>
      <c r="B244">
        <v>2</v>
      </c>
    </row>
    <row r="245" spans="1:2">
      <c r="A245" s="5" t="s">
        <v>1890</v>
      </c>
      <c r="B245">
        <v>2</v>
      </c>
    </row>
    <row r="246" spans="1:2">
      <c r="A246" s="5" t="s">
        <v>1942</v>
      </c>
      <c r="B246">
        <v>0</v>
      </c>
    </row>
    <row r="247" spans="1:2">
      <c r="A247" s="5" t="s">
        <v>2038</v>
      </c>
      <c r="B247">
        <v>2</v>
      </c>
    </row>
    <row r="248" spans="1:2">
      <c r="A248" s="5" t="s">
        <v>1804</v>
      </c>
      <c r="B248">
        <v>0</v>
      </c>
    </row>
    <row r="249" spans="1:2">
      <c r="A249" s="5" t="s">
        <v>1900</v>
      </c>
      <c r="B249">
        <v>0</v>
      </c>
    </row>
    <row r="250" spans="1:2">
      <c r="A250" s="5" t="s">
        <v>1943</v>
      </c>
      <c r="B250">
        <v>1</v>
      </c>
    </row>
    <row r="251" spans="1:2">
      <c r="A251" s="5" t="s">
        <v>2009</v>
      </c>
      <c r="B251">
        <v>0</v>
      </c>
    </row>
    <row r="252" spans="1:2">
      <c r="A252" s="5" t="s">
        <v>1955</v>
      </c>
      <c r="B252">
        <v>0</v>
      </c>
    </row>
    <row r="253" spans="1:2">
      <c r="A253" s="5" t="s">
        <v>2046</v>
      </c>
      <c r="B253">
        <v>1</v>
      </c>
    </row>
    <row r="254" spans="1:2">
      <c r="A254" s="5" t="s">
        <v>1925</v>
      </c>
      <c r="B254">
        <v>0</v>
      </c>
    </row>
    <row r="255" spans="1:2">
      <c r="A255" s="5" t="s">
        <v>1778</v>
      </c>
      <c r="B255">
        <v>3</v>
      </c>
    </row>
    <row r="256" spans="1:2">
      <c r="A256" s="5" t="s">
        <v>2018</v>
      </c>
      <c r="B256">
        <v>7</v>
      </c>
    </row>
    <row r="257" spans="1:2">
      <c r="A257" s="5" t="s">
        <v>1926</v>
      </c>
      <c r="B257">
        <v>1</v>
      </c>
    </row>
    <row r="258" spans="1:2">
      <c r="A258" s="5" t="s">
        <v>1826</v>
      </c>
      <c r="B258">
        <v>0</v>
      </c>
    </row>
    <row r="259" spans="1:2">
      <c r="A259" s="5" t="s">
        <v>1944</v>
      </c>
      <c r="B259">
        <v>3</v>
      </c>
    </row>
    <row r="260" spans="1:2">
      <c r="A260" s="5" t="s">
        <v>1994</v>
      </c>
      <c r="B260">
        <v>2</v>
      </c>
    </row>
    <row r="261" spans="1:2">
      <c r="A261" s="5" t="s">
        <v>2056</v>
      </c>
      <c r="B261">
        <v>1</v>
      </c>
    </row>
    <row r="262" spans="1:2">
      <c r="A262" s="5" t="s">
        <v>1779</v>
      </c>
      <c r="B262">
        <v>0</v>
      </c>
    </row>
    <row r="263" spans="1:2">
      <c r="A263" s="5" t="s">
        <v>2057</v>
      </c>
      <c r="B263">
        <v>1</v>
      </c>
    </row>
    <row r="264" spans="1:2">
      <c r="A264" s="5" t="s">
        <v>1847</v>
      </c>
      <c r="B264">
        <v>2</v>
      </c>
    </row>
    <row r="265" spans="1:2">
      <c r="A265" s="5" t="s">
        <v>1956</v>
      </c>
      <c r="B265">
        <v>1</v>
      </c>
    </row>
    <row r="266" spans="1:2">
      <c r="A266" s="5" t="s">
        <v>1927</v>
      </c>
      <c r="B266">
        <v>3</v>
      </c>
    </row>
    <row r="267" spans="1:2">
      <c r="A267" s="5" t="s">
        <v>1780</v>
      </c>
      <c r="B267">
        <v>2</v>
      </c>
    </row>
    <row r="268" spans="1:2">
      <c r="A268" s="5" t="s">
        <v>1848</v>
      </c>
      <c r="B268">
        <v>1</v>
      </c>
    </row>
    <row r="269" spans="1:2">
      <c r="A269" s="5" t="s">
        <v>1901</v>
      </c>
      <c r="B269">
        <v>2</v>
      </c>
    </row>
    <row r="270" spans="1:2">
      <c r="A270" s="5" t="s">
        <v>1870</v>
      </c>
      <c r="B270">
        <v>1</v>
      </c>
    </row>
    <row r="271" spans="1:2">
      <c r="A271" s="5" t="s">
        <v>1827</v>
      </c>
      <c r="B271">
        <v>2</v>
      </c>
    </row>
    <row r="272" spans="1:2">
      <c r="A272" s="5" t="s">
        <v>1871</v>
      </c>
      <c r="B272">
        <v>2</v>
      </c>
    </row>
    <row r="273" spans="1:2">
      <c r="A273" s="5" t="s">
        <v>1995</v>
      </c>
      <c r="B273">
        <v>2</v>
      </c>
    </row>
    <row r="274" spans="1:2">
      <c r="A274" s="5" t="s">
        <v>1849</v>
      </c>
      <c r="B274">
        <v>1</v>
      </c>
    </row>
    <row r="275" spans="1:2">
      <c r="A275" s="5" t="s">
        <v>1983</v>
      </c>
      <c r="B275">
        <v>0</v>
      </c>
    </row>
    <row r="276" spans="1:2">
      <c r="A276" s="5" t="s">
        <v>2010</v>
      </c>
      <c r="B276">
        <v>2</v>
      </c>
    </row>
    <row r="277" spans="1:2">
      <c r="A277" s="5" t="s">
        <v>1828</v>
      </c>
      <c r="B277">
        <v>0</v>
      </c>
    </row>
    <row r="278" spans="1:2">
      <c r="A278" s="5" t="s">
        <v>1850</v>
      </c>
      <c r="B278">
        <v>1</v>
      </c>
    </row>
    <row r="279" spans="1:2">
      <c r="A279" s="5" t="s">
        <v>1902</v>
      </c>
      <c r="B279">
        <v>0</v>
      </c>
    </row>
    <row r="280" spans="1:2">
      <c r="A280" s="5" t="s">
        <v>1851</v>
      </c>
      <c r="B280">
        <v>1</v>
      </c>
    </row>
    <row r="281" spans="1:2">
      <c r="A281" s="5" t="s">
        <v>1903</v>
      </c>
      <c r="B281">
        <v>0</v>
      </c>
    </row>
    <row r="282" spans="1:2">
      <c r="A282" s="5" t="s">
        <v>2039</v>
      </c>
      <c r="B282">
        <v>1</v>
      </c>
    </row>
    <row r="283" spans="1:2">
      <c r="A283" s="5" t="s">
        <v>1945</v>
      </c>
      <c r="B283">
        <v>0</v>
      </c>
    </row>
    <row r="284" spans="1:2">
      <c r="A284" s="5" t="s">
        <v>1916</v>
      </c>
      <c r="B284">
        <v>0</v>
      </c>
    </row>
    <row r="285" spans="1:2">
      <c r="A285" s="5" t="s">
        <v>1967</v>
      </c>
      <c r="B285">
        <v>2</v>
      </c>
    </row>
    <row r="286" spans="1:2">
      <c r="A286" s="5" t="s">
        <v>1917</v>
      </c>
      <c r="B286">
        <v>2</v>
      </c>
    </row>
    <row r="287" spans="1:2">
      <c r="A287" s="5" t="s">
        <v>1946</v>
      </c>
      <c r="B287">
        <v>0</v>
      </c>
    </row>
    <row r="288" spans="1:2">
      <c r="A288" s="5" t="s">
        <v>1928</v>
      </c>
      <c r="B288">
        <v>3</v>
      </c>
    </row>
    <row r="289" spans="1:2">
      <c r="A289" s="5" t="s">
        <v>1904</v>
      </c>
      <c r="B289">
        <v>0</v>
      </c>
    </row>
    <row r="290" spans="1:2">
      <c r="A290" s="5" t="s">
        <v>1781</v>
      </c>
      <c r="B290">
        <v>0</v>
      </c>
    </row>
    <row r="291" spans="1:2">
      <c r="A291" s="5" t="s">
        <v>2025</v>
      </c>
      <c r="B291">
        <v>1</v>
      </c>
    </row>
    <row r="292" spans="1:2">
      <c r="A292" s="5" t="s">
        <v>1805</v>
      </c>
      <c r="B292">
        <v>0</v>
      </c>
    </row>
    <row r="293" spans="1:2">
      <c r="A293" s="5" t="s">
        <v>2026</v>
      </c>
      <c r="B293">
        <v>1</v>
      </c>
    </row>
    <row r="294" spans="1:2">
      <c r="A294" s="5" t="s">
        <v>1852</v>
      </c>
      <c r="B294">
        <v>1</v>
      </c>
    </row>
    <row r="295" spans="1:2">
      <c r="A295" s="5" t="s">
        <v>2027</v>
      </c>
      <c r="B295">
        <v>1</v>
      </c>
    </row>
    <row r="296" spans="1:2">
      <c r="A296" s="5" t="s">
        <v>1905</v>
      </c>
      <c r="B296">
        <v>0</v>
      </c>
    </row>
    <row r="297" spans="1:2">
      <c r="A297" s="5" t="s">
        <v>2011</v>
      </c>
      <c r="B297">
        <v>2</v>
      </c>
    </row>
    <row r="298" spans="1:2">
      <c r="A298" s="5" t="s">
        <v>1782</v>
      </c>
      <c r="B298">
        <v>0</v>
      </c>
    </row>
    <row r="299" spans="1:2">
      <c r="A299" s="5" t="s">
        <v>1906</v>
      </c>
      <c r="B299">
        <v>1</v>
      </c>
    </row>
    <row r="300" spans="1:2">
      <c r="A300" s="5" t="s">
        <v>1968</v>
      </c>
      <c r="B300">
        <v>0</v>
      </c>
    </row>
    <row r="301" spans="1:2">
      <c r="A301" s="5" t="s">
        <v>1829</v>
      </c>
      <c r="B301">
        <v>0</v>
      </c>
    </row>
    <row r="302" spans="1:2">
      <c r="A302" s="5" t="s">
        <v>1783</v>
      </c>
      <c r="B302">
        <v>0</v>
      </c>
    </row>
    <row r="303" spans="1:2">
      <c r="A303" s="5" t="s">
        <v>1830</v>
      </c>
      <c r="B303">
        <v>1</v>
      </c>
    </row>
    <row r="304" spans="1:2">
      <c r="A304" s="5" t="s">
        <v>1831</v>
      </c>
      <c r="B304">
        <v>0</v>
      </c>
    </row>
    <row r="305" spans="1:2">
      <c r="A305" s="5" t="s">
        <v>1832</v>
      </c>
      <c r="B305">
        <v>1</v>
      </c>
    </row>
    <row r="306" spans="1:2">
      <c r="A306" s="5" t="s">
        <v>2040</v>
      </c>
      <c r="B306">
        <v>1</v>
      </c>
    </row>
    <row r="307" spans="1:2">
      <c r="A307" s="5" t="s">
        <v>1755</v>
      </c>
    </row>
    <row r="308" spans="1:2">
      <c r="A308" s="5" t="s">
        <v>1747</v>
      </c>
      <c r="B308">
        <v>304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967CC-9FD9-F44D-9B5F-3BBD55985B58}">
  <dimension ref="A1:B15"/>
  <sheetViews>
    <sheetView workbookViewId="0"/>
  </sheetViews>
  <sheetFormatPr baseColWidth="10" defaultRowHeight="16"/>
  <cols>
    <col min="1" max="1" width="13" bestFit="1" customWidth="1"/>
    <col min="2" max="2" width="14.1640625" bestFit="1" customWidth="1"/>
  </cols>
  <sheetData>
    <row r="1" spans="1:2">
      <c r="A1" s="4" t="s">
        <v>1746</v>
      </c>
      <c r="B1" t="s">
        <v>1756</v>
      </c>
    </row>
    <row r="2" spans="1:2">
      <c r="A2" s="5" t="s">
        <v>2064</v>
      </c>
      <c r="B2">
        <v>28</v>
      </c>
    </row>
    <row r="3" spans="1:2">
      <c r="A3" s="5" t="s">
        <v>2065</v>
      </c>
      <c r="B3">
        <v>16</v>
      </c>
    </row>
    <row r="4" spans="1:2">
      <c r="A4" s="5" t="s">
        <v>2066</v>
      </c>
      <c r="B4">
        <v>18</v>
      </c>
    </row>
    <row r="5" spans="1:2">
      <c r="A5" s="5" t="s">
        <v>2067</v>
      </c>
      <c r="B5">
        <v>25</v>
      </c>
    </row>
    <row r="6" spans="1:2">
      <c r="A6" s="5" t="s">
        <v>2068</v>
      </c>
      <c r="B6">
        <v>23</v>
      </c>
    </row>
    <row r="7" spans="1:2">
      <c r="A7" s="5" t="s">
        <v>2069</v>
      </c>
      <c r="B7">
        <v>22</v>
      </c>
    </row>
    <row r="8" spans="1:2">
      <c r="A8" s="5" t="s">
        <v>2070</v>
      </c>
      <c r="B8">
        <v>29</v>
      </c>
    </row>
    <row r="9" spans="1:2">
      <c r="A9" s="5" t="s">
        <v>2075</v>
      </c>
      <c r="B9">
        <v>28</v>
      </c>
    </row>
    <row r="10" spans="1:2">
      <c r="A10" s="5" t="s">
        <v>2071</v>
      </c>
      <c r="B10">
        <v>28</v>
      </c>
    </row>
    <row r="11" spans="1:2">
      <c r="A11" s="5" t="s">
        <v>2072</v>
      </c>
      <c r="B11">
        <v>31</v>
      </c>
    </row>
    <row r="12" spans="1:2">
      <c r="A12" s="5" t="s">
        <v>2073</v>
      </c>
      <c r="B12">
        <v>39</v>
      </c>
    </row>
    <row r="13" spans="1:2">
      <c r="A13" s="5" t="s">
        <v>2074</v>
      </c>
      <c r="B13">
        <v>17</v>
      </c>
    </row>
    <row r="14" spans="1:2">
      <c r="A14" s="5" t="s">
        <v>1755</v>
      </c>
    </row>
    <row r="15" spans="1:2">
      <c r="A15" s="5" t="s">
        <v>1747</v>
      </c>
      <c r="B15">
        <v>304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9D87A-8B9C-094D-ABFE-B087E57B5061}">
  <dimension ref="A1:P801"/>
  <sheetViews>
    <sheetView workbookViewId="0">
      <selection activeCell="L22" sqref="L22"/>
    </sheetView>
  </sheetViews>
  <sheetFormatPr baseColWidth="10" defaultRowHeight="16"/>
  <cols>
    <col min="1" max="1" width="52.6640625" customWidth="1"/>
    <col min="6" max="6" width="21.33203125" customWidth="1"/>
    <col min="10" max="10" width="13" bestFit="1" customWidth="1"/>
    <col min="11" max="11" width="14.1640625" bestFit="1" customWidth="1"/>
    <col min="12" max="12" width="19.6640625" bestFit="1" customWidth="1"/>
    <col min="13" max="13" width="2.1640625" bestFit="1" customWidth="1"/>
    <col min="14" max="14" width="3.1640625" bestFit="1" customWidth="1"/>
    <col min="15" max="15" width="4.1640625" bestFit="1" customWidth="1"/>
    <col min="16" max="18" width="3.1640625" bestFit="1" customWidth="1"/>
    <col min="19" max="19" width="10.83203125" bestFit="1" customWidth="1"/>
    <col min="20" max="20" width="12.1640625" bestFit="1" customWidth="1"/>
    <col min="21" max="21" width="14.1640625" bestFit="1" customWidth="1"/>
    <col min="22" max="22" width="12.1640625" bestFit="1" customWidth="1"/>
    <col min="23" max="23" width="14.1640625" bestFit="1" customWidth="1"/>
    <col min="24" max="24" width="12.1640625" bestFit="1" customWidth="1"/>
    <col min="25" max="25" width="14.1640625" bestFit="1" customWidth="1"/>
    <col min="26" max="26" width="12.1640625" bestFit="1" customWidth="1"/>
    <col min="27" max="27" width="19" bestFit="1" customWidth="1"/>
    <col min="28" max="28" width="17" bestFit="1" customWidth="1"/>
  </cols>
  <sheetData>
    <row r="1" spans="1:16">
      <c r="A1" s="2" t="s">
        <v>2</v>
      </c>
      <c r="B1" s="2" t="s">
        <v>6</v>
      </c>
      <c r="C1" s="2" t="s">
        <v>1751</v>
      </c>
      <c r="D1" s="2" t="s">
        <v>1</v>
      </c>
      <c r="E1" s="2" t="s">
        <v>13</v>
      </c>
      <c r="F1" s="2" t="s">
        <v>17</v>
      </c>
      <c r="G1" s="2" t="s">
        <v>18</v>
      </c>
      <c r="I1" s="2" t="s">
        <v>1757</v>
      </c>
      <c r="K1" s="9" t="s">
        <v>2</v>
      </c>
      <c r="L1" s="2" t="s">
        <v>2063</v>
      </c>
      <c r="M1" s="2" t="s">
        <v>6</v>
      </c>
      <c r="N1" s="2" t="s">
        <v>1751</v>
      </c>
      <c r="O1" s="2" t="s">
        <v>1</v>
      </c>
      <c r="P1" s="2" t="s">
        <v>13</v>
      </c>
    </row>
    <row r="2" spans="1:16">
      <c r="A2" t="s">
        <v>1758</v>
      </c>
      <c r="B2">
        <v>0</v>
      </c>
      <c r="C2">
        <v>2</v>
      </c>
      <c r="D2">
        <v>7.5</v>
      </c>
      <c r="E2">
        <v>33</v>
      </c>
      <c r="F2" t="s">
        <v>54</v>
      </c>
      <c r="G2" t="s">
        <v>75</v>
      </c>
      <c r="I2" s="15">
        <f t="shared" ref="I2:I65" si="0">TRUNC(A2,6)</f>
        <v>101</v>
      </c>
      <c r="J2" s="15" t="str">
        <f>LEFT(L2,2)</f>
        <v>01</v>
      </c>
      <c r="K2" s="15" t="str">
        <f>TEXT(J2,"MMDD")</f>
        <v>0101</v>
      </c>
      <c r="L2" t="s">
        <v>2064</v>
      </c>
      <c r="M2">
        <v>0</v>
      </c>
      <c r="N2">
        <v>2</v>
      </c>
      <c r="O2">
        <v>7.5</v>
      </c>
      <c r="P2">
        <v>33</v>
      </c>
    </row>
    <row r="3" spans="1:16">
      <c r="A3" t="s">
        <v>1758</v>
      </c>
      <c r="B3">
        <v>0</v>
      </c>
      <c r="C3">
        <v>2</v>
      </c>
      <c r="D3">
        <v>6.8</v>
      </c>
      <c r="E3">
        <v>33</v>
      </c>
      <c r="F3" t="s">
        <v>54</v>
      </c>
      <c r="G3" t="s">
        <v>75</v>
      </c>
      <c r="I3" s="15">
        <f t="shared" si="0"/>
        <v>101</v>
      </c>
      <c r="J3" s="15" t="str">
        <f t="shared" ref="J3:J66" si="1">LEFT(L3,2)</f>
        <v>01</v>
      </c>
      <c r="K3" s="15" t="str">
        <f t="shared" ref="K3:K66" si="2">TEXT(J3,"MMDD")</f>
        <v>0101</v>
      </c>
      <c r="L3" t="s">
        <v>2064</v>
      </c>
      <c r="M3">
        <v>0</v>
      </c>
      <c r="N3">
        <v>2</v>
      </c>
      <c r="O3">
        <v>6.8</v>
      </c>
      <c r="P3">
        <v>33</v>
      </c>
    </row>
    <row r="4" spans="1:16">
      <c r="A4" t="s">
        <v>1759</v>
      </c>
      <c r="B4">
        <v>0</v>
      </c>
      <c r="C4">
        <v>4</v>
      </c>
      <c r="D4">
        <v>7.7</v>
      </c>
      <c r="E4">
        <v>60</v>
      </c>
      <c r="F4" t="s">
        <v>47</v>
      </c>
      <c r="G4" t="s">
        <v>1723</v>
      </c>
      <c r="I4" s="15">
        <f t="shared" si="0"/>
        <v>113</v>
      </c>
      <c r="J4" s="15" t="str">
        <f t="shared" si="1"/>
        <v>01</v>
      </c>
      <c r="K4" s="15" t="str">
        <f t="shared" si="2"/>
        <v>0101</v>
      </c>
      <c r="L4" t="s">
        <v>2064</v>
      </c>
      <c r="M4">
        <v>0</v>
      </c>
      <c r="N4">
        <v>4</v>
      </c>
      <c r="O4">
        <v>7.7</v>
      </c>
      <c r="P4">
        <v>60</v>
      </c>
    </row>
    <row r="5" spans="1:16">
      <c r="A5" t="s">
        <v>1760</v>
      </c>
      <c r="B5">
        <v>0</v>
      </c>
      <c r="C5">
        <v>2</v>
      </c>
      <c r="D5">
        <v>6.9</v>
      </c>
      <c r="E5">
        <v>28</v>
      </c>
      <c r="F5" t="s">
        <v>54</v>
      </c>
      <c r="G5" t="s">
        <v>108</v>
      </c>
      <c r="I5" s="15">
        <f t="shared" si="0"/>
        <v>116</v>
      </c>
      <c r="J5" s="15" t="str">
        <f t="shared" si="1"/>
        <v>01</v>
      </c>
      <c r="K5" s="15" t="str">
        <f t="shared" si="2"/>
        <v>0101</v>
      </c>
      <c r="L5" t="s">
        <v>2064</v>
      </c>
      <c r="M5">
        <v>0</v>
      </c>
      <c r="N5">
        <v>2</v>
      </c>
      <c r="O5">
        <v>6.9</v>
      </c>
      <c r="P5">
        <v>28</v>
      </c>
    </row>
    <row r="6" spans="1:16">
      <c r="A6" t="s">
        <v>1761</v>
      </c>
      <c r="B6">
        <v>0</v>
      </c>
      <c r="C6">
        <v>2</v>
      </c>
      <c r="D6">
        <v>7.7</v>
      </c>
      <c r="E6">
        <v>16</v>
      </c>
      <c r="F6" t="s">
        <v>54</v>
      </c>
      <c r="G6" t="s">
        <v>671</v>
      </c>
      <c r="I6" s="15">
        <f t="shared" si="0"/>
        <v>126</v>
      </c>
      <c r="J6" s="15" t="str">
        <f t="shared" si="1"/>
        <v>01</v>
      </c>
      <c r="K6" s="15" t="str">
        <f t="shared" si="2"/>
        <v>0101</v>
      </c>
      <c r="L6" t="s">
        <v>2064</v>
      </c>
      <c r="M6">
        <v>0</v>
      </c>
      <c r="N6">
        <v>2</v>
      </c>
      <c r="O6">
        <v>7.7</v>
      </c>
      <c r="P6">
        <v>16</v>
      </c>
    </row>
    <row r="7" spans="1:16">
      <c r="A7" t="s">
        <v>1762</v>
      </c>
      <c r="B7">
        <v>0</v>
      </c>
      <c r="C7">
        <v>2</v>
      </c>
      <c r="D7">
        <v>6.5</v>
      </c>
      <c r="E7">
        <v>123.8</v>
      </c>
      <c r="F7" t="s">
        <v>54</v>
      </c>
      <c r="G7" t="s">
        <v>200</v>
      </c>
      <c r="I7" s="15">
        <f t="shared" si="0"/>
        <v>212</v>
      </c>
      <c r="J7" s="15" t="str">
        <f t="shared" si="1"/>
        <v>02</v>
      </c>
      <c r="K7" s="15" t="str">
        <f t="shared" si="2"/>
        <v>0102</v>
      </c>
      <c r="L7" t="s">
        <v>2065</v>
      </c>
      <c r="M7">
        <v>0</v>
      </c>
      <c r="N7">
        <v>2</v>
      </c>
      <c r="O7">
        <v>6.5</v>
      </c>
      <c r="P7">
        <v>123.8</v>
      </c>
    </row>
    <row r="8" spans="1:16">
      <c r="A8" t="s">
        <v>1763</v>
      </c>
      <c r="B8">
        <v>0</v>
      </c>
      <c r="C8">
        <v>4</v>
      </c>
      <c r="D8">
        <v>6.6</v>
      </c>
      <c r="E8">
        <v>10</v>
      </c>
      <c r="F8" t="s">
        <v>47</v>
      </c>
      <c r="G8" t="s">
        <v>1723</v>
      </c>
      <c r="I8" s="15">
        <f t="shared" si="0"/>
        <v>213</v>
      </c>
      <c r="J8" s="15" t="str">
        <f t="shared" si="1"/>
        <v>02</v>
      </c>
      <c r="K8" s="15" t="str">
        <f t="shared" si="2"/>
        <v>0102</v>
      </c>
      <c r="L8" t="s">
        <v>2065</v>
      </c>
      <c r="M8">
        <v>0</v>
      </c>
      <c r="N8">
        <v>4</v>
      </c>
      <c r="O8">
        <v>6.6</v>
      </c>
      <c r="P8">
        <v>10</v>
      </c>
    </row>
    <row r="9" spans="1:16">
      <c r="A9" t="s">
        <v>1763</v>
      </c>
      <c r="B9">
        <v>0</v>
      </c>
      <c r="C9">
        <v>2</v>
      </c>
      <c r="D9">
        <v>7.4</v>
      </c>
      <c r="E9">
        <v>36</v>
      </c>
      <c r="F9" t="s">
        <v>54</v>
      </c>
      <c r="G9" t="s">
        <v>108</v>
      </c>
      <c r="I9" s="15">
        <f t="shared" si="0"/>
        <v>213</v>
      </c>
      <c r="J9" s="15" t="str">
        <f t="shared" si="1"/>
        <v>02</v>
      </c>
      <c r="K9" s="15" t="str">
        <f t="shared" si="2"/>
        <v>0102</v>
      </c>
      <c r="L9" t="s">
        <v>2065</v>
      </c>
      <c r="M9">
        <v>0</v>
      </c>
      <c r="N9">
        <v>2</v>
      </c>
      <c r="O9">
        <v>7.4</v>
      </c>
      <c r="P9">
        <v>36</v>
      </c>
    </row>
    <row r="10" spans="1:16">
      <c r="A10" t="s">
        <v>1764</v>
      </c>
      <c r="B10">
        <v>0</v>
      </c>
      <c r="C10">
        <v>2</v>
      </c>
      <c r="D10">
        <v>7.1</v>
      </c>
      <c r="E10">
        <v>35</v>
      </c>
      <c r="F10" t="s">
        <v>54</v>
      </c>
      <c r="G10" t="s">
        <v>108</v>
      </c>
      <c r="I10" s="15">
        <f t="shared" si="0"/>
        <v>224</v>
      </c>
      <c r="J10" s="15" t="str">
        <f t="shared" si="1"/>
        <v>02</v>
      </c>
      <c r="K10" s="15" t="str">
        <f t="shared" si="2"/>
        <v>0102</v>
      </c>
      <c r="L10" t="s">
        <v>2065</v>
      </c>
      <c r="M10">
        <v>0</v>
      </c>
      <c r="N10">
        <v>2</v>
      </c>
      <c r="O10">
        <v>7.1</v>
      </c>
      <c r="P10">
        <v>35</v>
      </c>
    </row>
    <row r="11" spans="1:16">
      <c r="A11" t="s">
        <v>1765</v>
      </c>
      <c r="B11">
        <v>0</v>
      </c>
      <c r="C11">
        <v>4</v>
      </c>
      <c r="D11">
        <v>6.8</v>
      </c>
      <c r="E11">
        <v>51.798000000000002</v>
      </c>
      <c r="F11" t="s">
        <v>47</v>
      </c>
      <c r="G11" t="s">
        <v>1754</v>
      </c>
      <c r="I11" s="15">
        <f t="shared" si="0"/>
        <v>228</v>
      </c>
      <c r="J11" s="15" t="str">
        <f t="shared" si="1"/>
        <v>02</v>
      </c>
      <c r="K11" s="15" t="str">
        <f t="shared" si="2"/>
        <v>0102</v>
      </c>
      <c r="L11" t="s">
        <v>2065</v>
      </c>
      <c r="M11">
        <v>0</v>
      </c>
      <c r="N11">
        <v>4</v>
      </c>
      <c r="O11">
        <v>6.8</v>
      </c>
      <c r="P11">
        <v>51.798000000000002</v>
      </c>
    </row>
    <row r="12" spans="1:16">
      <c r="A12" t="s">
        <v>1766</v>
      </c>
      <c r="B12">
        <v>0</v>
      </c>
      <c r="C12">
        <v>2</v>
      </c>
      <c r="D12">
        <v>6.5</v>
      </c>
      <c r="E12">
        <v>33</v>
      </c>
      <c r="F12" t="s">
        <v>54</v>
      </c>
      <c r="G12" t="s">
        <v>108</v>
      </c>
      <c r="I12" s="15">
        <f t="shared" si="0"/>
        <v>319</v>
      </c>
      <c r="J12" s="15" t="str">
        <f t="shared" si="1"/>
        <v>03</v>
      </c>
      <c r="K12" s="15" t="str">
        <f t="shared" si="2"/>
        <v>0103</v>
      </c>
      <c r="L12" t="s">
        <v>2066</v>
      </c>
      <c r="M12">
        <v>0</v>
      </c>
      <c r="N12">
        <v>2</v>
      </c>
      <c r="O12">
        <v>6.5</v>
      </c>
      <c r="P12">
        <v>33</v>
      </c>
    </row>
    <row r="13" spans="1:16">
      <c r="A13" t="s">
        <v>1767</v>
      </c>
      <c r="B13">
        <v>0</v>
      </c>
      <c r="C13">
        <v>2</v>
      </c>
      <c r="D13">
        <v>6.8</v>
      </c>
      <c r="E13">
        <v>50</v>
      </c>
      <c r="F13" t="s">
        <v>54</v>
      </c>
      <c r="G13" t="s">
        <v>200</v>
      </c>
      <c r="I13" s="15">
        <f t="shared" si="0"/>
        <v>324</v>
      </c>
      <c r="J13" s="15" t="str">
        <f t="shared" si="1"/>
        <v>03</v>
      </c>
      <c r="K13" s="15" t="str">
        <f t="shared" si="2"/>
        <v>0103</v>
      </c>
      <c r="L13" t="s">
        <v>2066</v>
      </c>
      <c r="M13">
        <v>0</v>
      </c>
      <c r="N13">
        <v>2</v>
      </c>
      <c r="O13">
        <v>6.8</v>
      </c>
      <c r="P13">
        <v>50</v>
      </c>
    </row>
    <row r="14" spans="1:16">
      <c r="A14" t="s">
        <v>1768</v>
      </c>
      <c r="B14">
        <v>0</v>
      </c>
      <c r="C14">
        <v>5</v>
      </c>
      <c r="D14">
        <v>6.7</v>
      </c>
      <c r="E14">
        <v>17</v>
      </c>
      <c r="F14" t="s">
        <v>25</v>
      </c>
      <c r="G14" t="s">
        <v>64</v>
      </c>
      <c r="I14" s="15">
        <f t="shared" si="0"/>
        <v>419</v>
      </c>
      <c r="J14" s="15" t="str">
        <f t="shared" si="1"/>
        <v>04</v>
      </c>
      <c r="K14" s="15" t="str">
        <f t="shared" si="2"/>
        <v>0104</v>
      </c>
      <c r="L14" t="s">
        <v>2067</v>
      </c>
      <c r="M14">
        <v>0</v>
      </c>
      <c r="N14">
        <v>5</v>
      </c>
      <c r="O14">
        <v>6.7</v>
      </c>
      <c r="P14">
        <v>17</v>
      </c>
    </row>
    <row r="15" spans="1:16">
      <c r="A15" t="s">
        <v>1769</v>
      </c>
      <c r="B15">
        <v>0</v>
      </c>
      <c r="C15">
        <v>6</v>
      </c>
      <c r="D15">
        <v>6.6</v>
      </c>
      <c r="E15">
        <v>62</v>
      </c>
      <c r="F15" t="s">
        <v>78</v>
      </c>
      <c r="G15" t="s">
        <v>83</v>
      </c>
      <c r="I15" s="15">
        <f t="shared" si="0"/>
        <v>507</v>
      </c>
      <c r="J15" s="15" t="str">
        <f t="shared" si="1"/>
        <v>05</v>
      </c>
      <c r="K15" s="15" t="str">
        <f t="shared" si="2"/>
        <v>0105</v>
      </c>
      <c r="L15" t="s">
        <v>2068</v>
      </c>
      <c r="M15">
        <v>0</v>
      </c>
      <c r="N15">
        <v>6</v>
      </c>
      <c r="O15">
        <v>6.6</v>
      </c>
      <c r="P15">
        <v>62</v>
      </c>
    </row>
    <row r="16" spans="1:16">
      <c r="A16" t="s">
        <v>1770</v>
      </c>
      <c r="B16">
        <v>0</v>
      </c>
      <c r="C16">
        <v>6</v>
      </c>
      <c r="D16">
        <v>8.4</v>
      </c>
      <c r="E16">
        <v>33</v>
      </c>
      <c r="F16" t="s">
        <v>78</v>
      </c>
      <c r="G16" t="s">
        <v>83</v>
      </c>
      <c r="I16" s="15">
        <f t="shared" si="0"/>
        <v>623</v>
      </c>
      <c r="J16" s="15" t="str">
        <f t="shared" si="1"/>
        <v>06</v>
      </c>
      <c r="K16" s="15" t="str">
        <f t="shared" si="2"/>
        <v>0106</v>
      </c>
      <c r="L16" t="s">
        <v>2069</v>
      </c>
      <c r="M16">
        <v>0</v>
      </c>
      <c r="N16">
        <v>6</v>
      </c>
      <c r="O16">
        <v>8.4</v>
      </c>
      <c r="P16">
        <v>33</v>
      </c>
    </row>
    <row r="17" spans="1:16">
      <c r="A17" t="s">
        <v>1771</v>
      </c>
      <c r="B17">
        <v>0</v>
      </c>
      <c r="C17">
        <v>6</v>
      </c>
      <c r="D17">
        <v>6.7</v>
      </c>
      <c r="E17">
        <v>24</v>
      </c>
      <c r="F17" t="s">
        <v>78</v>
      </c>
      <c r="G17" t="s">
        <v>83</v>
      </c>
      <c r="I17" s="15">
        <f t="shared" si="0"/>
        <v>626</v>
      </c>
      <c r="J17" s="15" t="str">
        <f t="shared" si="1"/>
        <v>06</v>
      </c>
      <c r="K17" s="15" t="str">
        <f t="shared" si="2"/>
        <v>0106</v>
      </c>
      <c r="L17" t="s">
        <v>2069</v>
      </c>
      <c r="M17">
        <v>0</v>
      </c>
      <c r="N17">
        <v>6</v>
      </c>
      <c r="O17">
        <v>6.7</v>
      </c>
      <c r="P17">
        <v>24</v>
      </c>
    </row>
    <row r="18" spans="1:16">
      <c r="A18" t="s">
        <v>1772</v>
      </c>
      <c r="B18">
        <v>0</v>
      </c>
      <c r="C18">
        <v>6</v>
      </c>
      <c r="D18">
        <v>7.6</v>
      </c>
      <c r="E18">
        <v>33</v>
      </c>
      <c r="F18" t="s">
        <v>78</v>
      </c>
      <c r="G18" t="s">
        <v>83</v>
      </c>
      <c r="I18" s="15">
        <f t="shared" si="0"/>
        <v>707</v>
      </c>
      <c r="J18" s="15" t="str">
        <f t="shared" si="1"/>
        <v>07</v>
      </c>
      <c r="K18" s="15" t="str">
        <f t="shared" si="2"/>
        <v>0107</v>
      </c>
      <c r="L18" t="s">
        <v>2070</v>
      </c>
      <c r="M18">
        <v>0</v>
      </c>
      <c r="N18">
        <v>6</v>
      </c>
      <c r="O18">
        <v>7.6</v>
      </c>
      <c r="P18">
        <v>33</v>
      </c>
    </row>
    <row r="19" spans="1:16">
      <c r="A19" t="s">
        <v>1773</v>
      </c>
      <c r="B19">
        <v>0</v>
      </c>
      <c r="C19">
        <v>3</v>
      </c>
      <c r="D19">
        <v>6.5</v>
      </c>
      <c r="E19">
        <v>10</v>
      </c>
      <c r="F19" t="s">
        <v>234</v>
      </c>
      <c r="G19" t="s">
        <v>235</v>
      </c>
      <c r="I19" s="15">
        <f t="shared" si="0"/>
        <v>726</v>
      </c>
      <c r="J19" s="15" t="str">
        <f t="shared" si="1"/>
        <v>07</v>
      </c>
      <c r="K19" s="15" t="str">
        <f t="shared" si="2"/>
        <v>0107</v>
      </c>
      <c r="L19" t="s">
        <v>2070</v>
      </c>
      <c r="M19">
        <v>0</v>
      </c>
      <c r="N19">
        <v>3</v>
      </c>
      <c r="O19">
        <v>6.5</v>
      </c>
      <c r="P19">
        <v>10</v>
      </c>
    </row>
    <row r="20" spans="1:16">
      <c r="A20" t="s">
        <v>1774</v>
      </c>
      <c r="B20">
        <v>0</v>
      </c>
      <c r="C20">
        <v>4</v>
      </c>
      <c r="D20">
        <v>6.6</v>
      </c>
      <c r="E20">
        <v>131.80000000000001</v>
      </c>
      <c r="F20" t="s">
        <v>47</v>
      </c>
      <c r="G20" t="s">
        <v>1754</v>
      </c>
      <c r="I20" s="15">
        <f t="shared" si="0"/>
        <v>728</v>
      </c>
      <c r="J20" s="15" t="str">
        <f t="shared" si="1"/>
        <v>07</v>
      </c>
      <c r="K20" s="15" t="str">
        <f t="shared" si="2"/>
        <v>0107</v>
      </c>
      <c r="L20" t="s">
        <v>2070</v>
      </c>
      <c r="M20">
        <v>0</v>
      </c>
      <c r="N20">
        <v>4</v>
      </c>
      <c r="O20">
        <v>6.6</v>
      </c>
      <c r="P20">
        <v>131.80000000000001</v>
      </c>
    </row>
    <row r="21" spans="1:16">
      <c r="A21" t="s">
        <v>1775</v>
      </c>
      <c r="B21">
        <v>0</v>
      </c>
      <c r="C21">
        <v>5</v>
      </c>
      <c r="D21">
        <v>7.1</v>
      </c>
      <c r="E21">
        <v>103</v>
      </c>
      <c r="F21" t="s">
        <v>25</v>
      </c>
      <c r="G21" t="s">
        <v>163</v>
      </c>
      <c r="I21" s="15">
        <f t="shared" si="0"/>
        <v>901</v>
      </c>
      <c r="J21" s="15" t="str">
        <f t="shared" si="1"/>
        <v>09</v>
      </c>
      <c r="K21" s="15" t="str">
        <f t="shared" si="2"/>
        <v>0109</v>
      </c>
      <c r="L21" t="s">
        <v>2071</v>
      </c>
      <c r="M21">
        <v>0</v>
      </c>
      <c r="N21">
        <v>5</v>
      </c>
      <c r="O21">
        <v>7.1</v>
      </c>
      <c r="P21">
        <v>103</v>
      </c>
    </row>
    <row r="22" spans="1:16">
      <c r="A22" t="s">
        <v>1776</v>
      </c>
      <c r="B22">
        <v>0</v>
      </c>
      <c r="C22">
        <v>4</v>
      </c>
      <c r="D22">
        <v>6.9</v>
      </c>
      <c r="E22">
        <v>36.4</v>
      </c>
      <c r="F22" t="s">
        <v>47</v>
      </c>
      <c r="G22" t="s">
        <v>1754</v>
      </c>
      <c r="I22" s="15">
        <f t="shared" si="0"/>
        <v>1001</v>
      </c>
      <c r="J22" s="15" t="str">
        <f t="shared" si="1"/>
        <v>10</v>
      </c>
      <c r="K22" s="15" t="str">
        <f t="shared" si="2"/>
        <v>0110</v>
      </c>
      <c r="L22" t="s">
        <v>2072</v>
      </c>
      <c r="M22">
        <v>0</v>
      </c>
      <c r="N22">
        <v>4</v>
      </c>
      <c r="O22">
        <v>6.9</v>
      </c>
      <c r="P22">
        <v>36.4</v>
      </c>
    </row>
    <row r="23" spans="1:16">
      <c r="A23" t="s">
        <v>1777</v>
      </c>
      <c r="B23">
        <v>0</v>
      </c>
      <c r="C23">
        <v>2</v>
      </c>
      <c r="D23">
        <v>7.5</v>
      </c>
      <c r="E23">
        <v>33</v>
      </c>
      <c r="F23" t="s">
        <v>54</v>
      </c>
      <c r="G23" t="s">
        <v>108</v>
      </c>
      <c r="I23" s="15">
        <f t="shared" si="0"/>
        <v>1019</v>
      </c>
      <c r="J23" s="15" t="str">
        <f t="shared" si="1"/>
        <v>10</v>
      </c>
      <c r="K23" s="15" t="str">
        <f t="shared" si="2"/>
        <v>0110</v>
      </c>
      <c r="L23" t="s">
        <v>2072</v>
      </c>
      <c r="M23">
        <v>0</v>
      </c>
      <c r="N23">
        <v>2</v>
      </c>
      <c r="O23">
        <v>7.5</v>
      </c>
      <c r="P23">
        <v>33</v>
      </c>
    </row>
    <row r="24" spans="1:16">
      <c r="A24" t="s">
        <v>1778</v>
      </c>
      <c r="B24">
        <v>0</v>
      </c>
      <c r="C24">
        <v>5</v>
      </c>
      <c r="D24">
        <v>7</v>
      </c>
      <c r="E24">
        <v>33</v>
      </c>
      <c r="F24" t="s">
        <v>25</v>
      </c>
      <c r="G24" t="s">
        <v>64</v>
      </c>
      <c r="I24" s="15">
        <f t="shared" si="0"/>
        <v>1031</v>
      </c>
      <c r="J24" s="15" t="str">
        <f t="shared" si="1"/>
        <v>10</v>
      </c>
      <c r="K24" s="15" t="str">
        <f t="shared" si="2"/>
        <v>0110</v>
      </c>
      <c r="L24" t="s">
        <v>2072</v>
      </c>
      <c r="M24">
        <v>0</v>
      </c>
      <c r="N24">
        <v>5</v>
      </c>
      <c r="O24">
        <v>7</v>
      </c>
      <c r="P24">
        <v>33</v>
      </c>
    </row>
    <row r="25" spans="1:16">
      <c r="A25" t="s">
        <v>1779</v>
      </c>
      <c r="B25">
        <v>0</v>
      </c>
      <c r="C25">
        <v>2</v>
      </c>
      <c r="D25">
        <v>6.5</v>
      </c>
      <c r="E25">
        <v>33</v>
      </c>
      <c r="F25" t="s">
        <v>54</v>
      </c>
      <c r="G25" t="s">
        <v>108</v>
      </c>
      <c r="I25" s="15">
        <f t="shared" si="0"/>
        <v>1109</v>
      </c>
      <c r="J25" s="15" t="str">
        <f t="shared" si="1"/>
        <v>11</v>
      </c>
      <c r="K25" s="15" t="str">
        <f t="shared" si="2"/>
        <v>0111</v>
      </c>
      <c r="L25" t="s">
        <v>2073</v>
      </c>
      <c r="M25">
        <v>0</v>
      </c>
      <c r="N25">
        <v>2</v>
      </c>
      <c r="O25">
        <v>6.5</v>
      </c>
      <c r="P25">
        <v>33</v>
      </c>
    </row>
    <row r="26" spans="1:16">
      <c r="A26" t="s">
        <v>1780</v>
      </c>
      <c r="B26">
        <v>0</v>
      </c>
      <c r="C26">
        <v>2</v>
      </c>
      <c r="D26">
        <v>7.8</v>
      </c>
      <c r="E26">
        <v>10</v>
      </c>
      <c r="F26" t="s">
        <v>54</v>
      </c>
      <c r="G26" t="s">
        <v>1752</v>
      </c>
      <c r="I26" s="15">
        <f t="shared" si="0"/>
        <v>1114</v>
      </c>
      <c r="J26" s="15" t="str">
        <f t="shared" si="1"/>
        <v>11</v>
      </c>
      <c r="K26" s="15" t="str">
        <f t="shared" si="2"/>
        <v>0111</v>
      </c>
      <c r="L26" t="s">
        <v>2073</v>
      </c>
      <c r="M26">
        <v>0</v>
      </c>
      <c r="N26">
        <v>2</v>
      </c>
      <c r="O26">
        <v>7.8</v>
      </c>
      <c r="P26">
        <v>10</v>
      </c>
    </row>
    <row r="27" spans="1:16">
      <c r="A27" t="s">
        <v>1781</v>
      </c>
      <c r="B27">
        <v>0</v>
      </c>
      <c r="C27">
        <v>5</v>
      </c>
      <c r="D27">
        <v>7</v>
      </c>
      <c r="E27">
        <v>37</v>
      </c>
      <c r="F27" t="s">
        <v>25</v>
      </c>
      <c r="G27" t="s">
        <v>1745</v>
      </c>
      <c r="I27" s="15">
        <f t="shared" si="0"/>
        <v>1210</v>
      </c>
      <c r="J27" s="15" t="str">
        <f t="shared" si="1"/>
        <v>12</v>
      </c>
      <c r="K27" s="15" t="str">
        <f t="shared" si="2"/>
        <v>0112</v>
      </c>
      <c r="L27" t="s">
        <v>2074</v>
      </c>
      <c r="M27">
        <v>0</v>
      </c>
      <c r="N27">
        <v>5</v>
      </c>
      <c r="O27">
        <v>7</v>
      </c>
      <c r="P27">
        <v>37</v>
      </c>
    </row>
    <row r="28" spans="1:16">
      <c r="A28" t="s">
        <v>1782</v>
      </c>
      <c r="B28">
        <v>0</v>
      </c>
      <c r="C28">
        <v>2</v>
      </c>
      <c r="D28">
        <v>6.8</v>
      </c>
      <c r="E28">
        <v>14</v>
      </c>
      <c r="F28" t="s">
        <v>54</v>
      </c>
      <c r="G28" t="s">
        <v>200</v>
      </c>
      <c r="I28" s="15">
        <f t="shared" si="0"/>
        <v>1218</v>
      </c>
      <c r="J28" s="15" t="str">
        <f t="shared" si="1"/>
        <v>12</v>
      </c>
      <c r="K28" s="15" t="str">
        <f>TEXT(J28,"MMDD")</f>
        <v>0112</v>
      </c>
      <c r="L28" t="s">
        <v>2074</v>
      </c>
      <c r="M28">
        <v>0</v>
      </c>
      <c r="N28">
        <v>2</v>
      </c>
      <c r="O28">
        <v>6.8</v>
      </c>
      <c r="P28">
        <v>14</v>
      </c>
    </row>
    <row r="29" spans="1:16">
      <c r="A29" t="s">
        <v>1783</v>
      </c>
      <c r="B29">
        <v>0</v>
      </c>
      <c r="C29">
        <v>5</v>
      </c>
      <c r="D29">
        <v>6.8</v>
      </c>
      <c r="E29">
        <v>16</v>
      </c>
      <c r="F29" t="s">
        <v>25</v>
      </c>
      <c r="G29" t="s">
        <v>26</v>
      </c>
      <c r="I29" s="15">
        <f t="shared" si="0"/>
        <v>1223</v>
      </c>
      <c r="J29" s="15" t="str">
        <f t="shared" si="1"/>
        <v>12</v>
      </c>
      <c r="K29" s="15" t="str">
        <f t="shared" si="2"/>
        <v>0112</v>
      </c>
      <c r="L29" t="s">
        <v>2074</v>
      </c>
      <c r="M29">
        <v>0</v>
      </c>
      <c r="N29">
        <v>5</v>
      </c>
      <c r="O29">
        <v>6.8</v>
      </c>
      <c r="P29">
        <v>16</v>
      </c>
    </row>
    <row r="30" spans="1:16">
      <c r="A30" t="s">
        <v>1784</v>
      </c>
      <c r="B30">
        <v>0</v>
      </c>
      <c r="C30">
        <v>5</v>
      </c>
      <c r="D30">
        <v>7.2</v>
      </c>
      <c r="E30">
        <v>21</v>
      </c>
      <c r="F30" t="s">
        <v>25</v>
      </c>
      <c r="G30" t="s">
        <v>163</v>
      </c>
      <c r="I30" s="15">
        <f t="shared" si="0"/>
        <v>201</v>
      </c>
      <c r="J30" s="15" t="str">
        <f t="shared" si="1"/>
        <v>02</v>
      </c>
      <c r="K30" s="15" t="str">
        <f t="shared" si="2"/>
        <v>0102</v>
      </c>
      <c r="L30" t="s">
        <v>2065</v>
      </c>
      <c r="M30">
        <v>0</v>
      </c>
      <c r="N30">
        <v>5</v>
      </c>
      <c r="O30">
        <v>7.2</v>
      </c>
      <c r="P30">
        <v>21</v>
      </c>
    </row>
    <row r="31" spans="1:16">
      <c r="A31" t="s">
        <v>1785</v>
      </c>
      <c r="B31">
        <v>0</v>
      </c>
      <c r="C31">
        <v>2</v>
      </c>
      <c r="D31">
        <v>7.4</v>
      </c>
      <c r="E31">
        <v>30</v>
      </c>
      <c r="F31" t="s">
        <v>54</v>
      </c>
      <c r="G31" t="s">
        <v>108</v>
      </c>
      <c r="I31" s="15">
        <f t="shared" si="0"/>
        <v>211</v>
      </c>
      <c r="J31" s="15" t="str">
        <f t="shared" si="1"/>
        <v>02</v>
      </c>
      <c r="K31" s="15" t="str">
        <f t="shared" si="2"/>
        <v>0102</v>
      </c>
      <c r="L31" t="s">
        <v>2065</v>
      </c>
      <c r="M31">
        <v>0</v>
      </c>
      <c r="N31">
        <v>2</v>
      </c>
      <c r="O31">
        <v>7.4</v>
      </c>
      <c r="P31">
        <v>30</v>
      </c>
    </row>
    <row r="32" spans="1:16">
      <c r="A32" t="s">
        <v>1786</v>
      </c>
      <c r="B32">
        <v>0</v>
      </c>
      <c r="C32">
        <v>5</v>
      </c>
      <c r="D32">
        <v>6.6</v>
      </c>
      <c r="E32">
        <v>10</v>
      </c>
      <c r="F32" t="s">
        <v>25</v>
      </c>
      <c r="G32" t="s">
        <v>163</v>
      </c>
      <c r="I32" s="15">
        <f t="shared" si="0"/>
        <v>301</v>
      </c>
      <c r="J32" s="15" t="str">
        <f t="shared" si="1"/>
        <v>03</v>
      </c>
      <c r="K32" s="15" t="str">
        <f t="shared" si="2"/>
        <v>0103</v>
      </c>
      <c r="L32" t="s">
        <v>2066</v>
      </c>
      <c r="M32">
        <v>0</v>
      </c>
      <c r="N32">
        <v>5</v>
      </c>
      <c r="O32">
        <v>6.6</v>
      </c>
      <c r="P32">
        <v>10</v>
      </c>
    </row>
    <row r="33" spans="1:16">
      <c r="A33" t="s">
        <v>1787</v>
      </c>
      <c r="B33">
        <v>0</v>
      </c>
      <c r="C33">
        <v>2</v>
      </c>
      <c r="D33">
        <v>6.5</v>
      </c>
      <c r="E33">
        <v>5</v>
      </c>
      <c r="F33" t="s">
        <v>54</v>
      </c>
      <c r="G33" t="s">
        <v>302</v>
      </c>
      <c r="I33" s="15">
        <f t="shared" si="0"/>
        <v>302</v>
      </c>
      <c r="J33" s="15" t="str">
        <f t="shared" si="1"/>
        <v>03</v>
      </c>
      <c r="K33" s="15" t="str">
        <f t="shared" si="2"/>
        <v>0103</v>
      </c>
      <c r="L33" t="s">
        <v>2066</v>
      </c>
      <c r="M33">
        <v>0</v>
      </c>
      <c r="N33">
        <v>2</v>
      </c>
      <c r="O33">
        <v>6.5</v>
      </c>
      <c r="P33">
        <v>5</v>
      </c>
    </row>
    <row r="34" spans="1:16">
      <c r="A34" t="s">
        <v>1788</v>
      </c>
      <c r="B34">
        <v>0</v>
      </c>
      <c r="C34">
        <v>2</v>
      </c>
      <c r="D34">
        <v>7.4</v>
      </c>
      <c r="E34">
        <v>225.6</v>
      </c>
      <c r="F34" t="s">
        <v>54</v>
      </c>
      <c r="G34" t="s">
        <v>649</v>
      </c>
      <c r="I34" s="15">
        <f t="shared" si="0"/>
        <v>303</v>
      </c>
      <c r="J34" s="15" t="str">
        <f t="shared" si="1"/>
        <v>03</v>
      </c>
      <c r="K34" s="15" t="str">
        <f t="shared" si="2"/>
        <v>0103</v>
      </c>
      <c r="L34" t="s">
        <v>2066</v>
      </c>
      <c r="M34">
        <v>0</v>
      </c>
      <c r="N34">
        <v>2</v>
      </c>
      <c r="O34">
        <v>7.4</v>
      </c>
      <c r="P34">
        <v>225.6</v>
      </c>
    </row>
    <row r="35" spans="1:16">
      <c r="A35" t="s">
        <v>1789</v>
      </c>
      <c r="B35">
        <v>0</v>
      </c>
      <c r="C35">
        <v>4</v>
      </c>
      <c r="D35">
        <v>7.9</v>
      </c>
      <c r="E35">
        <v>4.2</v>
      </c>
      <c r="F35" t="s">
        <v>47</v>
      </c>
      <c r="G35" t="s">
        <v>1754</v>
      </c>
      <c r="I35" s="15">
        <f t="shared" si="0"/>
        <v>311</v>
      </c>
      <c r="J35" s="15" t="str">
        <f t="shared" si="1"/>
        <v>03</v>
      </c>
      <c r="K35" s="15" t="str">
        <f t="shared" si="2"/>
        <v>0103</v>
      </c>
      <c r="L35" t="s">
        <v>2066</v>
      </c>
      <c r="M35">
        <v>0</v>
      </c>
      <c r="N35">
        <v>4</v>
      </c>
      <c r="O35">
        <v>7.9</v>
      </c>
      <c r="P35">
        <v>4.2</v>
      </c>
    </row>
    <row r="36" spans="1:16">
      <c r="A36" t="s">
        <v>1790</v>
      </c>
      <c r="B36">
        <v>0</v>
      </c>
      <c r="C36">
        <v>6</v>
      </c>
      <c r="D36">
        <v>6.5</v>
      </c>
      <c r="E36">
        <v>125.1</v>
      </c>
      <c r="F36" t="s">
        <v>78</v>
      </c>
      <c r="G36" t="s">
        <v>245</v>
      </c>
      <c r="I36" s="15">
        <f t="shared" si="0"/>
        <v>328</v>
      </c>
      <c r="J36" s="15" t="str">
        <f t="shared" si="1"/>
        <v>03</v>
      </c>
      <c r="K36" s="15" t="str">
        <f t="shared" si="2"/>
        <v>0103</v>
      </c>
      <c r="L36" t="s">
        <v>2066</v>
      </c>
      <c r="M36">
        <v>0</v>
      </c>
      <c r="N36">
        <v>6</v>
      </c>
      <c r="O36">
        <v>6.5</v>
      </c>
      <c r="P36">
        <v>125.1</v>
      </c>
    </row>
    <row r="37" spans="1:16">
      <c r="A37" t="s">
        <v>1791</v>
      </c>
      <c r="B37">
        <v>0</v>
      </c>
      <c r="C37">
        <v>2</v>
      </c>
      <c r="D37">
        <v>7.1</v>
      </c>
      <c r="E37">
        <v>32.799999999999997</v>
      </c>
      <c r="F37" t="s">
        <v>54</v>
      </c>
      <c r="G37" t="s">
        <v>55</v>
      </c>
      <c r="I37" s="15">
        <f t="shared" si="0"/>
        <v>331</v>
      </c>
      <c r="J37" s="15" t="str">
        <f t="shared" si="1"/>
        <v>03</v>
      </c>
      <c r="K37" s="15" t="str">
        <f t="shared" si="2"/>
        <v>0103</v>
      </c>
      <c r="L37" t="s">
        <v>2066</v>
      </c>
      <c r="M37">
        <v>0</v>
      </c>
      <c r="N37">
        <v>2</v>
      </c>
      <c r="O37">
        <v>7.1</v>
      </c>
      <c r="P37">
        <v>32.799999999999997</v>
      </c>
    </row>
    <row r="38" spans="1:16">
      <c r="A38" t="s">
        <v>1792</v>
      </c>
      <c r="B38">
        <v>0</v>
      </c>
      <c r="C38">
        <v>4</v>
      </c>
      <c r="D38">
        <v>6.8</v>
      </c>
      <c r="E38">
        <v>24.9</v>
      </c>
      <c r="F38" t="s">
        <v>47</v>
      </c>
      <c r="G38" t="s">
        <v>48</v>
      </c>
      <c r="I38" s="15">
        <f t="shared" si="0"/>
        <v>418</v>
      </c>
      <c r="J38" s="15" t="str">
        <f t="shared" si="1"/>
        <v>04</v>
      </c>
      <c r="K38" s="15" t="str">
        <f t="shared" si="2"/>
        <v>0104</v>
      </c>
      <c r="L38" t="s">
        <v>2067</v>
      </c>
      <c r="M38">
        <v>0</v>
      </c>
      <c r="N38">
        <v>4</v>
      </c>
      <c r="O38">
        <v>6.8</v>
      </c>
      <c r="P38">
        <v>24.9</v>
      </c>
    </row>
    <row r="39" spans="1:16">
      <c r="A39" t="s">
        <v>1792</v>
      </c>
      <c r="B39">
        <v>0</v>
      </c>
      <c r="C39">
        <v>6</v>
      </c>
      <c r="D39">
        <v>6.7</v>
      </c>
      <c r="E39">
        <v>62</v>
      </c>
      <c r="F39" t="s">
        <v>78</v>
      </c>
      <c r="G39" t="s">
        <v>245</v>
      </c>
      <c r="I39" s="15">
        <f t="shared" si="0"/>
        <v>418</v>
      </c>
      <c r="J39" s="15" t="str">
        <f t="shared" si="1"/>
        <v>04</v>
      </c>
      <c r="K39" s="15" t="str">
        <f t="shared" si="2"/>
        <v>0104</v>
      </c>
      <c r="L39" t="s">
        <v>2067</v>
      </c>
      <c r="M39">
        <v>0</v>
      </c>
      <c r="N39">
        <v>6</v>
      </c>
      <c r="O39">
        <v>6.7</v>
      </c>
      <c r="P39">
        <v>62</v>
      </c>
    </row>
    <row r="40" spans="1:16">
      <c r="A40" t="s">
        <v>1793</v>
      </c>
      <c r="B40">
        <v>0</v>
      </c>
      <c r="C40">
        <v>4</v>
      </c>
      <c r="D40">
        <v>7.1</v>
      </c>
      <c r="E40">
        <v>85.7</v>
      </c>
      <c r="F40" t="s">
        <v>47</v>
      </c>
      <c r="G40" t="s">
        <v>1754</v>
      </c>
      <c r="I40" s="15">
        <f t="shared" si="0"/>
        <v>426</v>
      </c>
      <c r="J40" s="15" t="str">
        <f t="shared" si="1"/>
        <v>04</v>
      </c>
      <c r="K40" s="15" t="str">
        <f t="shared" si="2"/>
        <v>0104</v>
      </c>
      <c r="L40" t="s">
        <v>2067</v>
      </c>
      <c r="M40">
        <v>0</v>
      </c>
      <c r="N40">
        <v>4</v>
      </c>
      <c r="O40">
        <v>7.1</v>
      </c>
      <c r="P40">
        <v>85.7</v>
      </c>
    </row>
    <row r="41" spans="1:16">
      <c r="A41" t="s">
        <v>1794</v>
      </c>
      <c r="B41">
        <v>0</v>
      </c>
      <c r="C41">
        <v>5</v>
      </c>
      <c r="D41">
        <v>6.6</v>
      </c>
      <c r="E41">
        <v>39</v>
      </c>
      <c r="F41" t="s">
        <v>25</v>
      </c>
      <c r="G41" t="s">
        <v>64</v>
      </c>
      <c r="I41" s="15">
        <f t="shared" si="0"/>
        <v>502</v>
      </c>
      <c r="J41" s="15" t="str">
        <f t="shared" si="1"/>
        <v>05</v>
      </c>
      <c r="K41" s="15" t="str">
        <f t="shared" si="2"/>
        <v>0105</v>
      </c>
      <c r="L41" t="s">
        <v>2068</v>
      </c>
      <c r="M41">
        <v>0</v>
      </c>
      <c r="N41">
        <v>5</v>
      </c>
      <c r="O41">
        <v>6.6</v>
      </c>
      <c r="P41">
        <v>39</v>
      </c>
    </row>
    <row r="42" spans="1:16">
      <c r="A42" t="s">
        <v>1795</v>
      </c>
      <c r="B42">
        <v>0</v>
      </c>
      <c r="C42">
        <v>2</v>
      </c>
      <c r="D42">
        <v>7.5</v>
      </c>
      <c r="E42">
        <v>31</v>
      </c>
      <c r="F42" t="s">
        <v>54</v>
      </c>
      <c r="G42" t="s">
        <v>75</v>
      </c>
      <c r="I42" s="15">
        <f t="shared" si="0"/>
        <v>503</v>
      </c>
      <c r="J42" s="15" t="str">
        <f t="shared" si="1"/>
        <v>05</v>
      </c>
      <c r="K42" s="15" t="str">
        <f t="shared" si="2"/>
        <v>0105</v>
      </c>
      <c r="L42" t="s">
        <v>2068</v>
      </c>
      <c r="M42">
        <v>0</v>
      </c>
      <c r="N42">
        <v>2</v>
      </c>
      <c r="O42">
        <v>7.5</v>
      </c>
      <c r="P42">
        <v>31</v>
      </c>
    </row>
    <row r="43" spans="1:16">
      <c r="A43" t="s">
        <v>1796</v>
      </c>
      <c r="B43">
        <v>0</v>
      </c>
      <c r="C43">
        <v>5</v>
      </c>
      <c r="D43">
        <v>6.7</v>
      </c>
      <c r="E43">
        <v>33</v>
      </c>
      <c r="F43" t="s">
        <v>25</v>
      </c>
      <c r="G43" t="s">
        <v>163</v>
      </c>
      <c r="I43" s="15">
        <f t="shared" si="0"/>
        <v>617</v>
      </c>
      <c r="J43" s="15" t="str">
        <f t="shared" si="1"/>
        <v>06</v>
      </c>
      <c r="K43" s="15" t="str">
        <f t="shared" si="2"/>
        <v>0106</v>
      </c>
      <c r="L43" t="s">
        <v>2069</v>
      </c>
      <c r="M43">
        <v>0</v>
      </c>
      <c r="N43">
        <v>5</v>
      </c>
      <c r="O43">
        <v>6.7</v>
      </c>
      <c r="P43">
        <v>33</v>
      </c>
    </row>
    <row r="44" spans="1:16">
      <c r="A44" t="s">
        <v>1797</v>
      </c>
      <c r="B44">
        <v>0</v>
      </c>
      <c r="C44">
        <v>6</v>
      </c>
      <c r="D44">
        <v>6.6</v>
      </c>
      <c r="E44">
        <v>54</v>
      </c>
      <c r="F44" t="s">
        <v>78</v>
      </c>
      <c r="G44" t="s">
        <v>245</v>
      </c>
      <c r="I44" s="15">
        <f t="shared" si="0"/>
        <v>618</v>
      </c>
      <c r="J44" s="15" t="str">
        <f t="shared" si="1"/>
        <v>06</v>
      </c>
      <c r="K44" s="15" t="str">
        <f t="shared" si="2"/>
        <v>0106</v>
      </c>
      <c r="L44" t="s">
        <v>2069</v>
      </c>
      <c r="M44">
        <v>0</v>
      </c>
      <c r="N44">
        <v>6</v>
      </c>
      <c r="O44">
        <v>6.6</v>
      </c>
      <c r="P44">
        <v>54</v>
      </c>
    </row>
    <row r="45" spans="1:16">
      <c r="A45" t="s">
        <v>1798</v>
      </c>
      <c r="B45">
        <v>0</v>
      </c>
      <c r="C45">
        <v>2</v>
      </c>
      <c r="D45">
        <v>6.5</v>
      </c>
      <c r="E45">
        <v>10</v>
      </c>
      <c r="F45" t="s">
        <v>54</v>
      </c>
      <c r="G45" t="s">
        <v>498</v>
      </c>
      <c r="I45" s="15">
        <f t="shared" si="0"/>
        <v>622</v>
      </c>
      <c r="J45" s="15" t="str">
        <f t="shared" si="1"/>
        <v>06</v>
      </c>
      <c r="K45" s="15" t="str">
        <f t="shared" si="2"/>
        <v>0106</v>
      </c>
      <c r="L45" t="s">
        <v>2069</v>
      </c>
      <c r="M45">
        <v>0</v>
      </c>
      <c r="N45">
        <v>2</v>
      </c>
      <c r="O45">
        <v>6.5</v>
      </c>
      <c r="P45">
        <v>10</v>
      </c>
    </row>
    <row r="46" spans="1:16">
      <c r="A46" t="s">
        <v>1799</v>
      </c>
      <c r="B46">
        <v>0</v>
      </c>
      <c r="C46">
        <v>4</v>
      </c>
      <c r="D46">
        <v>6.5</v>
      </c>
      <c r="E46">
        <v>10</v>
      </c>
      <c r="F46" t="s">
        <v>47</v>
      </c>
      <c r="G46" t="s">
        <v>42</v>
      </c>
      <c r="I46" s="15">
        <f t="shared" si="0"/>
        <v>731</v>
      </c>
      <c r="J46" s="15" t="str">
        <f t="shared" si="1"/>
        <v>07</v>
      </c>
      <c r="K46" s="15" t="str">
        <f t="shared" si="2"/>
        <v>0107</v>
      </c>
      <c r="L46" t="s">
        <v>2070</v>
      </c>
      <c r="M46">
        <v>0</v>
      </c>
      <c r="N46">
        <v>4</v>
      </c>
      <c r="O46">
        <v>6.5</v>
      </c>
      <c r="P46">
        <v>10</v>
      </c>
    </row>
    <row r="47" spans="1:16">
      <c r="A47" t="s">
        <v>1800</v>
      </c>
      <c r="B47">
        <v>0</v>
      </c>
      <c r="C47">
        <v>5</v>
      </c>
      <c r="D47">
        <v>7.6</v>
      </c>
      <c r="E47">
        <v>13</v>
      </c>
      <c r="F47" t="s">
        <v>25</v>
      </c>
      <c r="G47" t="s">
        <v>64</v>
      </c>
      <c r="I47" s="15">
        <f t="shared" si="0"/>
        <v>809</v>
      </c>
      <c r="J47" s="15" t="str">
        <f t="shared" si="1"/>
        <v>08</v>
      </c>
      <c r="K47" s="15" t="str">
        <f t="shared" si="2"/>
        <v>0108</v>
      </c>
      <c r="L47" t="s">
        <v>2075</v>
      </c>
      <c r="M47">
        <v>0</v>
      </c>
      <c r="N47">
        <v>5</v>
      </c>
      <c r="O47">
        <v>7.6</v>
      </c>
      <c r="P47">
        <v>13</v>
      </c>
    </row>
    <row r="48" spans="1:16">
      <c r="A48" t="s">
        <v>1801</v>
      </c>
      <c r="B48">
        <v>0</v>
      </c>
      <c r="C48">
        <v>5</v>
      </c>
      <c r="D48">
        <v>6.5</v>
      </c>
      <c r="E48">
        <v>30</v>
      </c>
      <c r="F48" t="s">
        <v>25</v>
      </c>
      <c r="G48" t="s">
        <v>1750</v>
      </c>
      <c r="I48" s="15">
        <f t="shared" si="0"/>
        <v>814</v>
      </c>
      <c r="J48" s="15" t="str">
        <f t="shared" si="1"/>
        <v>08</v>
      </c>
      <c r="K48" s="15" t="str">
        <f t="shared" si="2"/>
        <v>0108</v>
      </c>
      <c r="L48" t="s">
        <v>2075</v>
      </c>
      <c r="M48">
        <v>0</v>
      </c>
      <c r="N48">
        <v>5</v>
      </c>
      <c r="O48">
        <v>6.5</v>
      </c>
      <c r="P48">
        <v>30</v>
      </c>
    </row>
    <row r="49" spans="1:16">
      <c r="A49" t="s">
        <v>1802</v>
      </c>
      <c r="B49">
        <v>0</v>
      </c>
      <c r="C49">
        <v>2</v>
      </c>
      <c r="D49">
        <v>6.5</v>
      </c>
      <c r="E49">
        <v>21</v>
      </c>
      <c r="F49" t="s">
        <v>54</v>
      </c>
      <c r="G49" t="s">
        <v>671</v>
      </c>
      <c r="I49" s="15">
        <f t="shared" si="0"/>
        <v>913</v>
      </c>
      <c r="J49" s="15" t="str">
        <f t="shared" si="1"/>
        <v>09</v>
      </c>
      <c r="K49" s="15" t="str">
        <f t="shared" si="2"/>
        <v>0109</v>
      </c>
      <c r="L49" t="s">
        <v>2071</v>
      </c>
      <c r="M49">
        <v>0</v>
      </c>
      <c r="N49">
        <v>2</v>
      </c>
      <c r="O49">
        <v>6.5</v>
      </c>
      <c r="P49">
        <v>21</v>
      </c>
    </row>
    <row r="50" spans="1:16">
      <c r="A50" t="s">
        <v>1776</v>
      </c>
      <c r="B50">
        <v>0</v>
      </c>
      <c r="C50">
        <v>5</v>
      </c>
      <c r="D50">
        <v>6.7</v>
      </c>
      <c r="E50">
        <v>11</v>
      </c>
      <c r="F50" t="s">
        <v>25</v>
      </c>
      <c r="G50" t="s">
        <v>64</v>
      </c>
      <c r="I50" s="15">
        <f t="shared" si="0"/>
        <v>1001</v>
      </c>
      <c r="J50" s="15" t="str">
        <f t="shared" si="1"/>
        <v>10</v>
      </c>
      <c r="K50" s="15" t="str">
        <f t="shared" si="2"/>
        <v>0110</v>
      </c>
      <c r="L50" t="s">
        <v>2072</v>
      </c>
      <c r="M50">
        <v>0</v>
      </c>
      <c r="N50">
        <v>5</v>
      </c>
      <c r="O50">
        <v>6.7</v>
      </c>
      <c r="P50">
        <v>11</v>
      </c>
    </row>
    <row r="51" spans="1:16">
      <c r="A51" t="s">
        <v>1803</v>
      </c>
      <c r="B51">
        <v>0</v>
      </c>
      <c r="C51">
        <v>2</v>
      </c>
      <c r="D51">
        <v>7.6</v>
      </c>
      <c r="E51">
        <v>10</v>
      </c>
      <c r="F51" t="s">
        <v>54</v>
      </c>
      <c r="G51" t="s">
        <v>108</v>
      </c>
      <c r="I51" s="15">
        <f t="shared" si="0"/>
        <v>1010</v>
      </c>
      <c r="J51" s="15" t="str">
        <f t="shared" si="1"/>
        <v>10</v>
      </c>
      <c r="K51" s="15" t="str">
        <f t="shared" si="2"/>
        <v>0110</v>
      </c>
      <c r="L51" t="s">
        <v>2072</v>
      </c>
      <c r="M51">
        <v>0</v>
      </c>
      <c r="N51">
        <v>2</v>
      </c>
      <c r="O51">
        <v>7.6</v>
      </c>
      <c r="P51">
        <v>10</v>
      </c>
    </row>
    <row r="52" spans="1:16">
      <c r="A52" t="s">
        <v>1803</v>
      </c>
      <c r="B52">
        <v>0</v>
      </c>
      <c r="C52">
        <v>2</v>
      </c>
      <c r="D52">
        <v>6.7</v>
      </c>
      <c r="E52">
        <v>10</v>
      </c>
      <c r="F52" t="s">
        <v>54</v>
      </c>
      <c r="G52" t="s">
        <v>108</v>
      </c>
      <c r="I52" s="15">
        <f t="shared" si="0"/>
        <v>1010</v>
      </c>
      <c r="J52" s="15" t="str">
        <f t="shared" si="1"/>
        <v>10</v>
      </c>
      <c r="K52" s="15" t="str">
        <f t="shared" si="2"/>
        <v>0110</v>
      </c>
      <c r="L52" t="s">
        <v>2072</v>
      </c>
      <c r="M52">
        <v>0</v>
      </c>
      <c r="N52">
        <v>2</v>
      </c>
      <c r="O52">
        <v>6.7</v>
      </c>
      <c r="P52">
        <v>10</v>
      </c>
    </row>
    <row r="53" spans="1:16">
      <c r="A53" t="s">
        <v>1804</v>
      </c>
      <c r="B53">
        <v>0</v>
      </c>
      <c r="C53">
        <v>4</v>
      </c>
      <c r="D53">
        <v>6.6</v>
      </c>
      <c r="E53">
        <v>4.2</v>
      </c>
      <c r="F53" t="s">
        <v>47</v>
      </c>
      <c r="G53" t="s">
        <v>1754</v>
      </c>
      <c r="I53" s="15">
        <f t="shared" si="0"/>
        <v>1023</v>
      </c>
      <c r="J53" s="15" t="str">
        <f t="shared" si="1"/>
        <v>10</v>
      </c>
      <c r="K53" s="15" t="str">
        <f t="shared" si="2"/>
        <v>0110</v>
      </c>
      <c r="L53" t="s">
        <v>2072</v>
      </c>
      <c r="M53">
        <v>0</v>
      </c>
      <c r="N53">
        <v>4</v>
      </c>
      <c r="O53">
        <v>6.6</v>
      </c>
      <c r="P53">
        <v>4.2</v>
      </c>
    </row>
    <row r="54" spans="1:16">
      <c r="A54" t="s">
        <v>1805</v>
      </c>
      <c r="B54">
        <v>0</v>
      </c>
      <c r="C54">
        <v>5</v>
      </c>
      <c r="D54">
        <v>6.7</v>
      </c>
      <c r="E54">
        <v>34</v>
      </c>
      <c r="F54" t="s">
        <v>25</v>
      </c>
      <c r="G54" t="s">
        <v>64</v>
      </c>
      <c r="I54" s="15">
        <f t="shared" si="0"/>
        <v>1212</v>
      </c>
      <c r="J54" s="15" t="str">
        <f t="shared" si="1"/>
        <v>12</v>
      </c>
      <c r="K54" s="15" t="str">
        <f t="shared" si="2"/>
        <v>0112</v>
      </c>
      <c r="L54" t="s">
        <v>2074</v>
      </c>
      <c r="M54">
        <v>0</v>
      </c>
      <c r="N54">
        <v>5</v>
      </c>
      <c r="O54">
        <v>6.7</v>
      </c>
      <c r="P54">
        <v>34</v>
      </c>
    </row>
    <row r="55" spans="1:16">
      <c r="A55" t="s">
        <v>1806</v>
      </c>
      <c r="B55">
        <v>0</v>
      </c>
      <c r="C55">
        <v>2</v>
      </c>
      <c r="D55">
        <v>6.7</v>
      </c>
      <c r="E55">
        <v>10</v>
      </c>
      <c r="F55" t="s">
        <v>54</v>
      </c>
      <c r="G55" t="s">
        <v>295</v>
      </c>
      <c r="I55" s="15">
        <f t="shared" si="0"/>
        <v>110</v>
      </c>
      <c r="J55" s="15" t="str">
        <f t="shared" si="1"/>
        <v>01</v>
      </c>
      <c r="K55" s="15" t="str">
        <f t="shared" si="2"/>
        <v>0101</v>
      </c>
      <c r="L55" t="s">
        <v>2064</v>
      </c>
      <c r="M55">
        <v>0</v>
      </c>
      <c r="N55">
        <v>2</v>
      </c>
      <c r="O55">
        <v>6.7</v>
      </c>
      <c r="P55">
        <v>10</v>
      </c>
    </row>
    <row r="56" spans="1:16">
      <c r="A56" t="s">
        <v>1807</v>
      </c>
      <c r="B56">
        <v>0</v>
      </c>
      <c r="C56">
        <v>5</v>
      </c>
      <c r="D56">
        <v>7.3</v>
      </c>
      <c r="E56">
        <v>33</v>
      </c>
      <c r="F56" t="s">
        <v>25</v>
      </c>
      <c r="G56" t="s">
        <v>26</v>
      </c>
      <c r="I56" s="15">
        <f t="shared" si="0"/>
        <v>120</v>
      </c>
      <c r="J56" s="15" t="str">
        <f t="shared" si="1"/>
        <v>01</v>
      </c>
      <c r="K56" s="15" t="str">
        <f t="shared" si="2"/>
        <v>0101</v>
      </c>
      <c r="L56" t="s">
        <v>2064</v>
      </c>
      <c r="M56">
        <v>0</v>
      </c>
      <c r="N56">
        <v>5</v>
      </c>
      <c r="O56">
        <v>7.3</v>
      </c>
      <c r="P56">
        <v>33</v>
      </c>
    </row>
    <row r="57" spans="1:16">
      <c r="A57" t="s">
        <v>1808</v>
      </c>
      <c r="B57">
        <v>0</v>
      </c>
      <c r="C57">
        <v>4</v>
      </c>
      <c r="D57">
        <v>6.5</v>
      </c>
      <c r="E57">
        <v>24</v>
      </c>
      <c r="F57" t="s">
        <v>47</v>
      </c>
      <c r="G57" t="s">
        <v>534</v>
      </c>
      <c r="I57" s="15">
        <f t="shared" si="0"/>
        <v>121</v>
      </c>
      <c r="J57" s="15" t="str">
        <f t="shared" si="1"/>
        <v>01</v>
      </c>
      <c r="K57" s="15" t="str">
        <f t="shared" si="2"/>
        <v>0101</v>
      </c>
      <c r="L57" t="s">
        <v>2064</v>
      </c>
      <c r="M57">
        <v>0</v>
      </c>
      <c r="N57">
        <v>4</v>
      </c>
      <c r="O57">
        <v>6.5</v>
      </c>
      <c r="P57">
        <v>24</v>
      </c>
    </row>
    <row r="58" spans="1:16">
      <c r="A58" t="s">
        <v>1809</v>
      </c>
      <c r="B58">
        <v>0</v>
      </c>
      <c r="C58">
        <v>4</v>
      </c>
      <c r="D58">
        <v>7.6</v>
      </c>
      <c r="E58">
        <v>24</v>
      </c>
      <c r="F58" t="s">
        <v>47</v>
      </c>
      <c r="G58" t="s">
        <v>48</v>
      </c>
      <c r="I58" s="15">
        <f t="shared" si="0"/>
        <v>122</v>
      </c>
      <c r="J58" s="15" t="str">
        <f t="shared" si="1"/>
        <v>01</v>
      </c>
      <c r="K58" s="15" t="str">
        <f t="shared" si="2"/>
        <v>0101</v>
      </c>
      <c r="L58" t="s">
        <v>2064</v>
      </c>
      <c r="M58">
        <v>0</v>
      </c>
      <c r="N58">
        <v>4</v>
      </c>
      <c r="O58">
        <v>7.6</v>
      </c>
      <c r="P58">
        <v>24</v>
      </c>
    </row>
    <row r="59" spans="1:16">
      <c r="A59" t="s">
        <v>1810</v>
      </c>
      <c r="B59">
        <v>0</v>
      </c>
      <c r="C59">
        <v>2</v>
      </c>
      <c r="D59">
        <v>6.5</v>
      </c>
      <c r="E59">
        <v>33</v>
      </c>
      <c r="F59" t="s">
        <v>54</v>
      </c>
      <c r="G59" t="s">
        <v>108</v>
      </c>
      <c r="I59" s="15">
        <f t="shared" si="0"/>
        <v>325</v>
      </c>
      <c r="J59" s="15" t="str">
        <f t="shared" si="1"/>
        <v>03</v>
      </c>
      <c r="K59" s="15" t="str">
        <f t="shared" si="2"/>
        <v>0103</v>
      </c>
      <c r="L59" t="s">
        <v>2066</v>
      </c>
      <c r="M59">
        <v>0</v>
      </c>
      <c r="N59">
        <v>2</v>
      </c>
      <c r="O59">
        <v>6.5</v>
      </c>
      <c r="P59">
        <v>33</v>
      </c>
    </row>
    <row r="60" spans="1:16">
      <c r="A60" t="s">
        <v>1811</v>
      </c>
      <c r="B60">
        <v>0</v>
      </c>
      <c r="C60">
        <v>3</v>
      </c>
      <c r="D60">
        <v>7.6</v>
      </c>
      <c r="E60">
        <v>10</v>
      </c>
      <c r="F60" t="s">
        <v>234</v>
      </c>
      <c r="G60" t="s">
        <v>1753</v>
      </c>
      <c r="I60" s="15">
        <f t="shared" si="0"/>
        <v>408</v>
      </c>
      <c r="J60" s="15" t="str">
        <f t="shared" si="1"/>
        <v>04</v>
      </c>
      <c r="K60" s="15" t="str">
        <f t="shared" si="2"/>
        <v>0104</v>
      </c>
      <c r="L60" t="s">
        <v>2067</v>
      </c>
      <c r="M60">
        <v>0</v>
      </c>
      <c r="N60">
        <v>3</v>
      </c>
      <c r="O60">
        <v>7.6</v>
      </c>
      <c r="P60">
        <v>10</v>
      </c>
    </row>
    <row r="61" spans="1:16">
      <c r="A61" t="s">
        <v>1812</v>
      </c>
      <c r="B61">
        <v>0</v>
      </c>
      <c r="C61">
        <v>1</v>
      </c>
      <c r="D61">
        <v>6.8</v>
      </c>
      <c r="E61">
        <v>12</v>
      </c>
      <c r="F61" t="s">
        <v>549</v>
      </c>
      <c r="G61" t="s">
        <v>1613</v>
      </c>
      <c r="I61" s="15">
        <f t="shared" si="0"/>
        <v>521</v>
      </c>
      <c r="J61" s="15" t="str">
        <f t="shared" si="1"/>
        <v>05</v>
      </c>
      <c r="K61" s="15" t="str">
        <f t="shared" si="2"/>
        <v>0105</v>
      </c>
      <c r="L61" t="s">
        <v>2068</v>
      </c>
      <c r="M61">
        <v>0</v>
      </c>
      <c r="N61">
        <v>1</v>
      </c>
      <c r="O61">
        <v>6.8</v>
      </c>
      <c r="P61">
        <v>12</v>
      </c>
    </row>
    <row r="62" spans="1:16">
      <c r="A62" t="s">
        <v>1813</v>
      </c>
      <c r="B62">
        <v>0</v>
      </c>
      <c r="C62">
        <v>2</v>
      </c>
      <c r="D62">
        <v>7</v>
      </c>
      <c r="E62">
        <v>68</v>
      </c>
      <c r="F62" t="s">
        <v>54</v>
      </c>
      <c r="G62" t="s">
        <v>200</v>
      </c>
      <c r="I62" s="15">
        <f t="shared" si="0"/>
        <v>526</v>
      </c>
      <c r="J62" s="15" t="str">
        <f t="shared" si="1"/>
        <v>05</v>
      </c>
      <c r="K62" s="15" t="str">
        <f t="shared" si="2"/>
        <v>0105</v>
      </c>
      <c r="L62" t="s">
        <v>2068</v>
      </c>
      <c r="M62">
        <v>0</v>
      </c>
      <c r="N62">
        <v>2</v>
      </c>
      <c r="O62">
        <v>7</v>
      </c>
      <c r="P62">
        <v>68</v>
      </c>
    </row>
    <row r="63" spans="1:16">
      <c r="A63" t="s">
        <v>1813</v>
      </c>
      <c r="B63">
        <v>0</v>
      </c>
      <c r="C63">
        <v>2</v>
      </c>
      <c r="D63">
        <v>7</v>
      </c>
      <c r="E63">
        <v>31</v>
      </c>
      <c r="F63" t="s">
        <v>54</v>
      </c>
      <c r="G63" t="s">
        <v>108</v>
      </c>
      <c r="I63" s="15">
        <f t="shared" si="0"/>
        <v>526</v>
      </c>
      <c r="J63" s="15" t="str">
        <f t="shared" si="1"/>
        <v>05</v>
      </c>
      <c r="K63" s="15" t="str">
        <f t="shared" si="2"/>
        <v>0105</v>
      </c>
      <c r="L63" t="s">
        <v>2068</v>
      </c>
      <c r="M63">
        <v>0</v>
      </c>
      <c r="N63">
        <v>2</v>
      </c>
      <c r="O63">
        <v>7</v>
      </c>
      <c r="P63">
        <v>31</v>
      </c>
    </row>
    <row r="64" spans="1:16">
      <c r="A64" t="s">
        <v>1814</v>
      </c>
      <c r="B64">
        <v>0</v>
      </c>
      <c r="C64">
        <v>5</v>
      </c>
      <c r="D64">
        <v>6.6</v>
      </c>
      <c r="E64">
        <v>113.7</v>
      </c>
      <c r="F64" t="s">
        <v>25</v>
      </c>
      <c r="G64" t="s">
        <v>163</v>
      </c>
      <c r="I64" s="15">
        <f t="shared" si="0"/>
        <v>611</v>
      </c>
      <c r="J64" s="15" t="str">
        <f t="shared" si="1"/>
        <v>06</v>
      </c>
      <c r="K64" s="15" t="str">
        <f t="shared" si="2"/>
        <v>0106</v>
      </c>
      <c r="L64" t="s">
        <v>2069</v>
      </c>
      <c r="M64">
        <v>0</v>
      </c>
      <c r="N64">
        <v>5</v>
      </c>
      <c r="O64">
        <v>6.6</v>
      </c>
      <c r="P64">
        <v>113.7</v>
      </c>
    </row>
    <row r="65" spans="1:16">
      <c r="A65" t="s">
        <v>1815</v>
      </c>
      <c r="B65">
        <v>0</v>
      </c>
      <c r="C65">
        <v>2</v>
      </c>
      <c r="D65">
        <v>6.9</v>
      </c>
      <c r="E65">
        <v>174.8</v>
      </c>
      <c r="F65" t="s">
        <v>54</v>
      </c>
      <c r="G65" t="s">
        <v>295</v>
      </c>
      <c r="I65" s="15">
        <f t="shared" si="0"/>
        <v>616</v>
      </c>
      <c r="J65" s="15" t="str">
        <f t="shared" si="1"/>
        <v>06</v>
      </c>
      <c r="K65" s="15" t="str">
        <f t="shared" si="2"/>
        <v>0106</v>
      </c>
      <c r="L65" t="s">
        <v>2069</v>
      </c>
      <c r="M65">
        <v>0</v>
      </c>
      <c r="N65">
        <v>2</v>
      </c>
      <c r="O65">
        <v>6.9</v>
      </c>
      <c r="P65">
        <v>174.8</v>
      </c>
    </row>
    <row r="66" spans="1:16">
      <c r="A66" t="s">
        <v>1816</v>
      </c>
      <c r="B66">
        <v>0</v>
      </c>
      <c r="C66">
        <v>6</v>
      </c>
      <c r="D66">
        <v>6.8</v>
      </c>
      <c r="E66">
        <v>33</v>
      </c>
      <c r="F66" t="s">
        <v>78</v>
      </c>
      <c r="G66" t="s">
        <v>245</v>
      </c>
      <c r="I66" s="15">
        <f t="shared" ref="I66:I129" si="3">TRUNC(A66,6)</f>
        <v>620</v>
      </c>
      <c r="J66" s="15" t="str">
        <f t="shared" si="1"/>
        <v>06</v>
      </c>
      <c r="K66" s="15" t="str">
        <f t="shared" si="2"/>
        <v>0106</v>
      </c>
      <c r="L66" t="s">
        <v>2069</v>
      </c>
      <c r="M66">
        <v>0</v>
      </c>
      <c r="N66">
        <v>6</v>
      </c>
      <c r="O66">
        <v>6.8</v>
      </c>
      <c r="P66">
        <v>33</v>
      </c>
    </row>
    <row r="67" spans="1:16">
      <c r="A67" t="s">
        <v>1817</v>
      </c>
      <c r="B67">
        <v>0</v>
      </c>
      <c r="C67">
        <v>5</v>
      </c>
      <c r="D67">
        <v>6.6</v>
      </c>
      <c r="E67">
        <v>33</v>
      </c>
      <c r="F67" t="s">
        <v>25</v>
      </c>
      <c r="G67" t="s">
        <v>64</v>
      </c>
      <c r="I67" s="15">
        <f t="shared" si="3"/>
        <v>706</v>
      </c>
      <c r="J67" s="15" t="str">
        <f t="shared" ref="J67:J130" si="4">LEFT(L67,2)</f>
        <v>07</v>
      </c>
      <c r="K67" s="15" t="str">
        <f t="shared" ref="K67:K130" si="5">TEXT(J67,"MMDD")</f>
        <v>0107</v>
      </c>
      <c r="L67" t="s">
        <v>2070</v>
      </c>
      <c r="M67">
        <v>0</v>
      </c>
      <c r="N67">
        <v>5</v>
      </c>
      <c r="O67">
        <v>6.6</v>
      </c>
      <c r="P67">
        <v>33</v>
      </c>
    </row>
    <row r="68" spans="1:16">
      <c r="A68" t="s">
        <v>1818</v>
      </c>
      <c r="B68">
        <v>0</v>
      </c>
      <c r="C68">
        <v>5</v>
      </c>
      <c r="D68">
        <v>6.5</v>
      </c>
      <c r="E68">
        <v>33</v>
      </c>
      <c r="F68" t="s">
        <v>25</v>
      </c>
      <c r="G68" t="s">
        <v>64</v>
      </c>
      <c r="I68" s="15">
        <f t="shared" si="3"/>
        <v>715</v>
      </c>
      <c r="J68" s="15" t="str">
        <f t="shared" si="4"/>
        <v>07</v>
      </c>
      <c r="K68" s="15" t="str">
        <f t="shared" si="5"/>
        <v>0107</v>
      </c>
      <c r="L68" t="s">
        <v>2070</v>
      </c>
      <c r="M68">
        <v>0</v>
      </c>
      <c r="N68">
        <v>5</v>
      </c>
      <c r="O68">
        <v>6.5</v>
      </c>
      <c r="P68">
        <v>33</v>
      </c>
    </row>
    <row r="69" spans="1:16">
      <c r="A69" t="s">
        <v>1819</v>
      </c>
      <c r="B69">
        <v>0</v>
      </c>
      <c r="C69">
        <v>2</v>
      </c>
      <c r="D69">
        <v>6.7</v>
      </c>
      <c r="E69">
        <v>32</v>
      </c>
      <c r="F69" t="s">
        <v>54</v>
      </c>
      <c r="G69" t="s">
        <v>200</v>
      </c>
      <c r="I69" s="15">
        <f t="shared" si="3"/>
        <v>810</v>
      </c>
      <c r="J69" s="15" t="str">
        <f t="shared" si="4"/>
        <v>08</v>
      </c>
      <c r="K69" s="15" t="str">
        <f t="shared" si="5"/>
        <v>0108</v>
      </c>
      <c r="L69" t="s">
        <v>2075</v>
      </c>
      <c r="M69">
        <v>0</v>
      </c>
      <c r="N69">
        <v>2</v>
      </c>
      <c r="O69">
        <v>6.7</v>
      </c>
      <c r="P69">
        <v>32</v>
      </c>
    </row>
    <row r="70" spans="1:16">
      <c r="A70" t="s">
        <v>1820</v>
      </c>
      <c r="B70">
        <v>0</v>
      </c>
      <c r="C70">
        <v>5</v>
      </c>
      <c r="D70">
        <v>7.2</v>
      </c>
      <c r="E70">
        <v>28</v>
      </c>
      <c r="F70" t="s">
        <v>25</v>
      </c>
      <c r="G70" t="s">
        <v>594</v>
      </c>
      <c r="I70" s="15">
        <f t="shared" si="3"/>
        <v>821</v>
      </c>
      <c r="J70" s="15" t="str">
        <f t="shared" si="4"/>
        <v>08</v>
      </c>
      <c r="K70" s="15" t="str">
        <f t="shared" si="5"/>
        <v>0108</v>
      </c>
      <c r="L70" t="s">
        <v>2075</v>
      </c>
      <c r="M70">
        <v>0</v>
      </c>
      <c r="N70">
        <v>5</v>
      </c>
      <c r="O70">
        <v>7.2</v>
      </c>
      <c r="P70">
        <v>28</v>
      </c>
    </row>
    <row r="71" spans="1:16">
      <c r="A71" t="s">
        <v>1821</v>
      </c>
      <c r="B71">
        <v>0</v>
      </c>
      <c r="C71">
        <v>2</v>
      </c>
      <c r="D71">
        <v>6.6</v>
      </c>
      <c r="E71">
        <v>10</v>
      </c>
      <c r="F71" t="s">
        <v>54</v>
      </c>
      <c r="G71" t="s">
        <v>620</v>
      </c>
      <c r="I71" s="15">
        <f t="shared" si="3"/>
        <v>921</v>
      </c>
      <c r="J71" s="15" t="str">
        <f t="shared" si="4"/>
        <v>09</v>
      </c>
      <c r="K71" s="15" t="str">
        <f t="shared" si="5"/>
        <v>0109</v>
      </c>
      <c r="L71" t="s">
        <v>2071</v>
      </c>
      <c r="M71">
        <v>0</v>
      </c>
      <c r="N71">
        <v>2</v>
      </c>
      <c r="O71">
        <v>6.6</v>
      </c>
      <c r="P71">
        <v>10</v>
      </c>
    </row>
    <row r="72" spans="1:16">
      <c r="A72" t="s">
        <v>1822</v>
      </c>
      <c r="B72">
        <v>0</v>
      </c>
      <c r="C72">
        <v>2</v>
      </c>
      <c r="D72">
        <v>8.16</v>
      </c>
      <c r="E72">
        <v>27</v>
      </c>
      <c r="F72" t="s">
        <v>54</v>
      </c>
      <c r="G72" t="s">
        <v>200</v>
      </c>
      <c r="I72" s="15">
        <f t="shared" si="3"/>
        <v>925</v>
      </c>
      <c r="J72" s="15" t="str">
        <f t="shared" si="4"/>
        <v>09</v>
      </c>
      <c r="K72" s="15" t="str">
        <f t="shared" si="5"/>
        <v>0109</v>
      </c>
      <c r="L72" t="s">
        <v>2071</v>
      </c>
      <c r="M72">
        <v>0</v>
      </c>
      <c r="N72">
        <v>2</v>
      </c>
      <c r="O72">
        <v>8.16</v>
      </c>
      <c r="P72">
        <v>27</v>
      </c>
    </row>
    <row r="73" spans="1:16">
      <c r="A73" t="s">
        <v>1822</v>
      </c>
      <c r="B73">
        <v>0</v>
      </c>
      <c r="C73">
        <v>2</v>
      </c>
      <c r="D73">
        <v>7.4</v>
      </c>
      <c r="E73">
        <v>33</v>
      </c>
      <c r="F73" t="s">
        <v>54</v>
      </c>
      <c r="G73" t="s">
        <v>200</v>
      </c>
      <c r="I73" s="15">
        <f t="shared" si="3"/>
        <v>925</v>
      </c>
      <c r="J73" s="15" t="str">
        <f t="shared" si="4"/>
        <v>09</v>
      </c>
      <c r="K73" s="15" t="str">
        <f t="shared" si="5"/>
        <v>0109</v>
      </c>
      <c r="L73" t="s">
        <v>2071</v>
      </c>
      <c r="M73">
        <v>0</v>
      </c>
      <c r="N73">
        <v>2</v>
      </c>
      <c r="O73">
        <v>7.4</v>
      </c>
      <c r="P73">
        <v>33</v>
      </c>
    </row>
    <row r="74" spans="1:16">
      <c r="A74" t="s">
        <v>1823</v>
      </c>
      <c r="B74">
        <v>0</v>
      </c>
      <c r="C74">
        <v>2</v>
      </c>
      <c r="D74">
        <v>7.3</v>
      </c>
      <c r="E74">
        <v>16</v>
      </c>
      <c r="F74" t="s">
        <v>54</v>
      </c>
      <c r="G74" t="s">
        <v>295</v>
      </c>
      <c r="I74" s="15">
        <f t="shared" si="3"/>
        <v>927</v>
      </c>
      <c r="J74" s="15" t="str">
        <f t="shared" si="4"/>
        <v>09</v>
      </c>
      <c r="K74" s="15" t="str">
        <f t="shared" si="5"/>
        <v>0109</v>
      </c>
      <c r="L74" t="s">
        <v>2071</v>
      </c>
      <c r="M74">
        <v>0</v>
      </c>
      <c r="N74">
        <v>2</v>
      </c>
      <c r="O74">
        <v>7.3</v>
      </c>
      <c r="P74">
        <v>16</v>
      </c>
    </row>
    <row r="75" spans="1:16">
      <c r="A75" t="s">
        <v>1824</v>
      </c>
      <c r="B75">
        <v>0</v>
      </c>
      <c r="C75">
        <v>2</v>
      </c>
      <c r="D75">
        <v>6.5</v>
      </c>
      <c r="E75">
        <v>25</v>
      </c>
      <c r="F75" t="s">
        <v>54</v>
      </c>
      <c r="G75" t="s">
        <v>200</v>
      </c>
      <c r="I75" s="15">
        <f t="shared" si="3"/>
        <v>929</v>
      </c>
      <c r="J75" s="15" t="str">
        <f t="shared" si="4"/>
        <v>09</v>
      </c>
      <c r="K75" s="15" t="str">
        <f t="shared" si="5"/>
        <v>0109</v>
      </c>
      <c r="L75" t="s">
        <v>2071</v>
      </c>
      <c r="M75">
        <v>0</v>
      </c>
      <c r="N75">
        <v>2</v>
      </c>
      <c r="O75">
        <v>6.5</v>
      </c>
      <c r="P75">
        <v>25</v>
      </c>
    </row>
    <row r="76" spans="1:16">
      <c r="A76" t="s">
        <v>1776</v>
      </c>
      <c r="B76">
        <v>0</v>
      </c>
      <c r="C76">
        <v>5</v>
      </c>
      <c r="D76">
        <v>6.7</v>
      </c>
      <c r="E76">
        <v>71.900000000000006</v>
      </c>
      <c r="F76" t="s">
        <v>25</v>
      </c>
      <c r="G76" t="s">
        <v>64</v>
      </c>
      <c r="I76" s="15">
        <f t="shared" si="3"/>
        <v>1001</v>
      </c>
      <c r="J76" s="15" t="str">
        <f t="shared" si="4"/>
        <v>10</v>
      </c>
      <c r="K76" s="15" t="str">
        <f t="shared" si="5"/>
        <v>0110</v>
      </c>
      <c r="L76" t="s">
        <v>2072</v>
      </c>
      <c r="M76">
        <v>0</v>
      </c>
      <c r="N76">
        <v>5</v>
      </c>
      <c r="O76">
        <v>6.7</v>
      </c>
      <c r="P76">
        <v>71.900000000000006</v>
      </c>
    </row>
    <row r="77" spans="1:16">
      <c r="A77" t="s">
        <v>1825</v>
      </c>
      <c r="B77">
        <v>0</v>
      </c>
      <c r="C77">
        <v>2</v>
      </c>
      <c r="D77">
        <v>6.8</v>
      </c>
      <c r="E77">
        <v>10</v>
      </c>
      <c r="F77" t="s">
        <v>54</v>
      </c>
      <c r="G77" t="s">
        <v>55</v>
      </c>
      <c r="I77" s="15">
        <f t="shared" si="3"/>
        <v>1012</v>
      </c>
      <c r="J77" s="15" t="str">
        <f t="shared" si="4"/>
        <v>10</v>
      </c>
      <c r="K77" s="15" t="str">
        <f t="shared" si="5"/>
        <v>0110</v>
      </c>
      <c r="L77" t="s">
        <v>2072</v>
      </c>
      <c r="M77">
        <v>0</v>
      </c>
      <c r="N77">
        <v>2</v>
      </c>
      <c r="O77">
        <v>6.8</v>
      </c>
      <c r="P77">
        <v>10</v>
      </c>
    </row>
    <row r="78" spans="1:16">
      <c r="A78" t="s">
        <v>1778</v>
      </c>
      <c r="B78">
        <v>0</v>
      </c>
      <c r="C78">
        <v>2</v>
      </c>
      <c r="D78">
        <v>7</v>
      </c>
      <c r="E78">
        <v>10</v>
      </c>
      <c r="F78" s="3" t="s">
        <v>54</v>
      </c>
      <c r="G78" t="s">
        <v>200</v>
      </c>
      <c r="I78" s="15">
        <f t="shared" si="3"/>
        <v>1031</v>
      </c>
      <c r="J78" s="15" t="str">
        <f t="shared" si="4"/>
        <v>10</v>
      </c>
      <c r="K78" s="15" t="str">
        <f t="shared" si="5"/>
        <v>0110</v>
      </c>
      <c r="L78" t="s">
        <v>2072</v>
      </c>
      <c r="M78">
        <v>0</v>
      </c>
      <c r="N78">
        <v>2</v>
      </c>
      <c r="O78">
        <v>7</v>
      </c>
      <c r="P78">
        <v>10</v>
      </c>
    </row>
    <row r="79" spans="1:16">
      <c r="A79" t="s">
        <v>1826</v>
      </c>
      <c r="B79">
        <v>0</v>
      </c>
      <c r="C79">
        <v>5</v>
      </c>
      <c r="D79">
        <v>6.8</v>
      </c>
      <c r="E79">
        <v>40.200000000000003</v>
      </c>
      <c r="F79" t="s">
        <v>25</v>
      </c>
      <c r="G79" t="s">
        <v>64</v>
      </c>
      <c r="I79" s="15">
        <f t="shared" si="3"/>
        <v>1103</v>
      </c>
      <c r="J79" s="15" t="str">
        <f t="shared" si="4"/>
        <v>11</v>
      </c>
      <c r="K79" s="15" t="str">
        <f t="shared" si="5"/>
        <v>0111</v>
      </c>
      <c r="L79" t="s">
        <v>2073</v>
      </c>
      <c r="M79">
        <v>0</v>
      </c>
      <c r="N79">
        <v>5</v>
      </c>
      <c r="O79">
        <v>6.8</v>
      </c>
      <c r="P79">
        <v>40.200000000000003</v>
      </c>
    </row>
    <row r="80" spans="1:16">
      <c r="A80" t="s">
        <v>1827</v>
      </c>
      <c r="B80">
        <v>0</v>
      </c>
      <c r="C80">
        <v>2</v>
      </c>
      <c r="D80">
        <v>6.5</v>
      </c>
      <c r="E80">
        <v>35</v>
      </c>
      <c r="F80" t="s">
        <v>54</v>
      </c>
      <c r="G80" t="s">
        <v>75</v>
      </c>
      <c r="I80" s="15">
        <f t="shared" si="3"/>
        <v>1118</v>
      </c>
      <c r="J80" s="15" t="str">
        <f t="shared" si="4"/>
        <v>11</v>
      </c>
      <c r="K80" s="15" t="str">
        <f t="shared" si="5"/>
        <v>0111</v>
      </c>
      <c r="L80" t="s">
        <v>2073</v>
      </c>
      <c r="M80">
        <v>0</v>
      </c>
      <c r="N80">
        <v>2</v>
      </c>
      <c r="O80">
        <v>6.5</v>
      </c>
      <c r="P80">
        <v>35</v>
      </c>
    </row>
    <row r="81" spans="1:16">
      <c r="A81" t="s">
        <v>1828</v>
      </c>
      <c r="B81">
        <v>0</v>
      </c>
      <c r="C81">
        <v>5</v>
      </c>
      <c r="D81">
        <v>6.6</v>
      </c>
      <c r="E81">
        <v>35</v>
      </c>
      <c r="F81" t="s">
        <v>25</v>
      </c>
      <c r="G81" t="s">
        <v>64</v>
      </c>
      <c r="I81" s="15">
        <f t="shared" si="3"/>
        <v>1125</v>
      </c>
      <c r="J81" s="15" t="str">
        <f t="shared" si="4"/>
        <v>11</v>
      </c>
      <c r="K81" s="15" t="str">
        <f t="shared" si="5"/>
        <v>0111</v>
      </c>
      <c r="L81" t="s">
        <v>2073</v>
      </c>
      <c r="M81">
        <v>0</v>
      </c>
      <c r="N81">
        <v>5</v>
      </c>
      <c r="O81">
        <v>6.6</v>
      </c>
      <c r="P81">
        <v>35</v>
      </c>
    </row>
    <row r="82" spans="1:16">
      <c r="A82" t="s">
        <v>1829</v>
      </c>
      <c r="B82">
        <v>0</v>
      </c>
      <c r="C82">
        <v>4</v>
      </c>
      <c r="D82">
        <v>6.5</v>
      </c>
      <c r="E82">
        <v>8.3819999999999997</v>
      </c>
      <c r="F82" t="s">
        <v>47</v>
      </c>
      <c r="G82" t="s">
        <v>1754</v>
      </c>
      <c r="I82" s="15">
        <f t="shared" si="3"/>
        <v>1222</v>
      </c>
      <c r="J82" s="15" t="str">
        <f t="shared" si="4"/>
        <v>12</v>
      </c>
      <c r="K82" s="15" t="str">
        <f t="shared" si="5"/>
        <v>0112</v>
      </c>
      <c r="L82" t="s">
        <v>2074</v>
      </c>
      <c r="M82">
        <v>0</v>
      </c>
      <c r="N82">
        <v>4</v>
      </c>
      <c r="O82">
        <v>6.5</v>
      </c>
      <c r="P82">
        <v>8.3819999999999997</v>
      </c>
    </row>
    <row r="83" spans="1:16">
      <c r="A83" t="s">
        <v>1830</v>
      </c>
      <c r="B83">
        <v>0</v>
      </c>
      <c r="C83">
        <v>4</v>
      </c>
      <c r="D83">
        <v>6.5</v>
      </c>
      <c r="E83">
        <v>33</v>
      </c>
      <c r="F83" t="s">
        <v>47</v>
      </c>
      <c r="G83" t="s">
        <v>42</v>
      </c>
      <c r="I83" s="15">
        <f t="shared" si="3"/>
        <v>1225</v>
      </c>
      <c r="J83" s="15" t="str">
        <f t="shared" si="4"/>
        <v>12</v>
      </c>
      <c r="K83" s="15" t="str">
        <f t="shared" si="5"/>
        <v>0112</v>
      </c>
      <c r="L83" t="s">
        <v>2074</v>
      </c>
      <c r="M83">
        <v>0</v>
      </c>
      <c r="N83">
        <v>4</v>
      </c>
      <c r="O83">
        <v>6.5</v>
      </c>
      <c r="P83">
        <v>33</v>
      </c>
    </row>
    <row r="84" spans="1:16">
      <c r="A84" t="s">
        <v>1831</v>
      </c>
      <c r="B84">
        <v>0</v>
      </c>
      <c r="C84">
        <v>2</v>
      </c>
      <c r="D84">
        <v>6.6</v>
      </c>
      <c r="E84">
        <v>10</v>
      </c>
      <c r="F84" t="s">
        <v>54</v>
      </c>
      <c r="G84" t="s">
        <v>498</v>
      </c>
      <c r="I84" s="15">
        <f t="shared" si="3"/>
        <v>1226</v>
      </c>
      <c r="J84" s="15" t="str">
        <f t="shared" si="4"/>
        <v>12</v>
      </c>
      <c r="K84" s="15" t="str">
        <f t="shared" si="5"/>
        <v>0112</v>
      </c>
      <c r="L84" t="s">
        <v>2074</v>
      </c>
      <c r="M84">
        <v>0</v>
      </c>
      <c r="N84">
        <v>2</v>
      </c>
      <c r="O84">
        <v>6.6</v>
      </c>
      <c r="P84">
        <v>10</v>
      </c>
    </row>
    <row r="85" spans="1:16">
      <c r="A85" t="s">
        <v>1832</v>
      </c>
      <c r="B85">
        <v>0</v>
      </c>
      <c r="C85">
        <v>5</v>
      </c>
      <c r="D85">
        <v>7.3</v>
      </c>
      <c r="E85">
        <v>10</v>
      </c>
      <c r="F85" t="s">
        <v>25</v>
      </c>
      <c r="G85" t="s">
        <v>1744</v>
      </c>
      <c r="I85" s="15">
        <f t="shared" si="3"/>
        <v>1227</v>
      </c>
      <c r="J85" s="15" t="str">
        <f t="shared" si="4"/>
        <v>12</v>
      </c>
      <c r="K85" s="15" t="str">
        <f t="shared" si="5"/>
        <v>0112</v>
      </c>
      <c r="L85" t="s">
        <v>2074</v>
      </c>
      <c r="M85">
        <v>0</v>
      </c>
      <c r="N85">
        <v>5</v>
      </c>
      <c r="O85">
        <v>7.3</v>
      </c>
      <c r="P85">
        <v>10</v>
      </c>
    </row>
    <row r="86" spans="1:16">
      <c r="A86" t="s">
        <v>1833</v>
      </c>
      <c r="B86">
        <v>0</v>
      </c>
      <c r="C86">
        <v>2</v>
      </c>
      <c r="D86">
        <v>6.7</v>
      </c>
      <c r="E86">
        <v>17.399999999999999</v>
      </c>
      <c r="F86" t="s">
        <v>54</v>
      </c>
      <c r="G86" t="s">
        <v>108</v>
      </c>
      <c r="I86" s="15">
        <f t="shared" si="3"/>
        <v>128</v>
      </c>
      <c r="J86" s="15" t="str">
        <f t="shared" si="4"/>
        <v>01</v>
      </c>
      <c r="K86" s="15" t="str">
        <f t="shared" si="5"/>
        <v>0101</v>
      </c>
      <c r="L86" t="s">
        <v>2064</v>
      </c>
      <c r="M86">
        <v>0</v>
      </c>
      <c r="N86">
        <v>2</v>
      </c>
      <c r="O86">
        <v>6.7</v>
      </c>
      <c r="P86">
        <v>17.399999999999999</v>
      </c>
    </row>
    <row r="87" spans="1:16">
      <c r="A87" t="s">
        <v>1785</v>
      </c>
      <c r="B87">
        <v>0</v>
      </c>
      <c r="C87">
        <v>4</v>
      </c>
      <c r="D87">
        <v>6.7</v>
      </c>
      <c r="E87">
        <v>10</v>
      </c>
      <c r="F87" t="s">
        <v>47</v>
      </c>
      <c r="G87" t="s">
        <v>998</v>
      </c>
      <c r="I87" s="15">
        <f t="shared" si="3"/>
        <v>211</v>
      </c>
      <c r="J87" s="15" t="str">
        <f t="shared" si="4"/>
        <v>02</v>
      </c>
      <c r="K87" s="15" t="str">
        <f t="shared" si="5"/>
        <v>0102</v>
      </c>
      <c r="L87" t="s">
        <v>2065</v>
      </c>
      <c r="M87">
        <v>0</v>
      </c>
      <c r="N87">
        <v>4</v>
      </c>
      <c r="O87">
        <v>6.7</v>
      </c>
      <c r="P87">
        <v>10</v>
      </c>
    </row>
    <row r="88" spans="1:16">
      <c r="A88" t="s">
        <v>1834</v>
      </c>
      <c r="B88">
        <v>0</v>
      </c>
      <c r="C88">
        <v>6</v>
      </c>
      <c r="D88">
        <v>6.6</v>
      </c>
      <c r="E88">
        <v>21</v>
      </c>
      <c r="F88" t="s">
        <v>78</v>
      </c>
      <c r="G88" t="s">
        <v>245</v>
      </c>
      <c r="I88" s="15">
        <f t="shared" si="3"/>
        <v>305</v>
      </c>
      <c r="J88" s="15" t="str">
        <f t="shared" si="4"/>
        <v>03</v>
      </c>
      <c r="K88" s="15" t="str">
        <f t="shared" si="5"/>
        <v>0103</v>
      </c>
      <c r="L88" t="s">
        <v>2066</v>
      </c>
      <c r="M88">
        <v>0</v>
      </c>
      <c r="N88">
        <v>6</v>
      </c>
      <c r="O88">
        <v>6.6</v>
      </c>
      <c r="P88">
        <v>21</v>
      </c>
    </row>
    <row r="89" spans="1:16">
      <c r="A89" t="s">
        <v>1835</v>
      </c>
      <c r="B89">
        <v>0</v>
      </c>
      <c r="C89">
        <v>2</v>
      </c>
      <c r="D89">
        <v>6.7</v>
      </c>
      <c r="E89">
        <v>65.8</v>
      </c>
      <c r="F89" t="s">
        <v>54</v>
      </c>
      <c r="G89" t="s">
        <v>108</v>
      </c>
      <c r="I89" s="15">
        <f t="shared" si="3"/>
        <v>423</v>
      </c>
      <c r="J89" s="15" t="str">
        <f t="shared" si="4"/>
        <v>04</v>
      </c>
      <c r="K89" s="15" t="str">
        <f t="shared" si="5"/>
        <v>0104</v>
      </c>
      <c r="L89" t="s">
        <v>2067</v>
      </c>
      <c r="M89">
        <v>0</v>
      </c>
      <c r="N89">
        <v>2</v>
      </c>
      <c r="O89">
        <v>6.7</v>
      </c>
      <c r="P89">
        <v>65.8</v>
      </c>
    </row>
    <row r="90" spans="1:16">
      <c r="A90" t="s">
        <v>1794</v>
      </c>
      <c r="B90">
        <v>0</v>
      </c>
      <c r="C90">
        <v>2</v>
      </c>
      <c r="D90">
        <v>7</v>
      </c>
      <c r="E90">
        <v>16.600000000000001</v>
      </c>
      <c r="F90" t="s">
        <v>54</v>
      </c>
      <c r="G90" t="s">
        <v>108</v>
      </c>
      <c r="I90" s="15">
        <f t="shared" si="3"/>
        <v>502</v>
      </c>
      <c r="J90" s="15" t="str">
        <f t="shared" si="4"/>
        <v>05</v>
      </c>
      <c r="K90" s="15" t="str">
        <f t="shared" si="5"/>
        <v>0105</v>
      </c>
      <c r="L90" t="s">
        <v>2068</v>
      </c>
      <c r="M90">
        <v>0</v>
      </c>
      <c r="N90">
        <v>2</v>
      </c>
      <c r="O90">
        <v>7</v>
      </c>
      <c r="P90">
        <v>16.600000000000001</v>
      </c>
    </row>
    <row r="91" spans="1:16">
      <c r="A91" t="s">
        <v>1836</v>
      </c>
      <c r="B91">
        <v>0</v>
      </c>
      <c r="C91">
        <v>2</v>
      </c>
      <c r="D91">
        <v>6.6</v>
      </c>
      <c r="E91">
        <v>187.1</v>
      </c>
      <c r="F91" t="s">
        <v>54</v>
      </c>
      <c r="G91" t="s">
        <v>649</v>
      </c>
      <c r="I91" s="15">
        <f t="shared" si="3"/>
        <v>504</v>
      </c>
      <c r="J91" s="15" t="str">
        <f t="shared" si="4"/>
        <v>05</v>
      </c>
      <c r="K91" s="15" t="str">
        <f t="shared" si="5"/>
        <v>0105</v>
      </c>
      <c r="L91" t="s">
        <v>2068</v>
      </c>
      <c r="M91">
        <v>0</v>
      </c>
      <c r="N91">
        <v>2</v>
      </c>
      <c r="O91">
        <v>6.6</v>
      </c>
      <c r="P91">
        <v>187.1</v>
      </c>
    </row>
    <row r="92" spans="1:16">
      <c r="A92" t="s">
        <v>1837</v>
      </c>
      <c r="B92">
        <v>0</v>
      </c>
      <c r="C92">
        <v>2</v>
      </c>
      <c r="D92">
        <v>7.2</v>
      </c>
      <c r="E92">
        <v>14</v>
      </c>
      <c r="F92" s="3" t="s">
        <v>54</v>
      </c>
      <c r="G92" t="s">
        <v>200</v>
      </c>
      <c r="I92" s="15">
        <f t="shared" si="3"/>
        <v>509</v>
      </c>
      <c r="J92" s="15" t="str">
        <f t="shared" si="4"/>
        <v>05</v>
      </c>
      <c r="K92" s="15" t="str">
        <f t="shared" si="5"/>
        <v>0105</v>
      </c>
      <c r="L92" t="s">
        <v>2068</v>
      </c>
      <c r="M92">
        <v>0</v>
      </c>
      <c r="N92">
        <v>2</v>
      </c>
      <c r="O92">
        <v>7.2</v>
      </c>
      <c r="P92">
        <v>14</v>
      </c>
    </row>
    <row r="93" spans="1:16">
      <c r="A93" t="s">
        <v>1837</v>
      </c>
      <c r="B93">
        <v>0</v>
      </c>
      <c r="C93">
        <v>2</v>
      </c>
      <c r="D93">
        <v>7.4</v>
      </c>
      <c r="E93">
        <v>10</v>
      </c>
      <c r="F93" t="s">
        <v>54</v>
      </c>
      <c r="G93" t="s">
        <v>200</v>
      </c>
      <c r="I93" s="15">
        <f t="shared" si="3"/>
        <v>509</v>
      </c>
      <c r="J93" s="15" t="str">
        <f t="shared" si="4"/>
        <v>05</v>
      </c>
      <c r="K93" s="15" t="str">
        <f t="shared" si="5"/>
        <v>0105</v>
      </c>
      <c r="L93" t="s">
        <v>2068</v>
      </c>
      <c r="M93">
        <v>0</v>
      </c>
      <c r="N93">
        <v>2</v>
      </c>
      <c r="O93">
        <v>7.4</v>
      </c>
      <c r="P93">
        <v>10</v>
      </c>
    </row>
    <row r="94" spans="1:16">
      <c r="A94" t="s">
        <v>1838</v>
      </c>
      <c r="B94">
        <v>0</v>
      </c>
      <c r="C94">
        <v>2</v>
      </c>
      <c r="D94">
        <v>6.6</v>
      </c>
      <c r="E94">
        <v>10</v>
      </c>
      <c r="F94" t="s">
        <v>54</v>
      </c>
      <c r="G94" t="s">
        <v>200</v>
      </c>
      <c r="I94" s="15">
        <f t="shared" si="3"/>
        <v>609</v>
      </c>
      <c r="J94" s="15" t="str">
        <f t="shared" si="4"/>
        <v>06</v>
      </c>
      <c r="K94" s="15" t="str">
        <f t="shared" si="5"/>
        <v>0106</v>
      </c>
      <c r="L94" t="s">
        <v>2069</v>
      </c>
      <c r="M94">
        <v>0</v>
      </c>
      <c r="N94">
        <v>2</v>
      </c>
      <c r="O94">
        <v>6.6</v>
      </c>
      <c r="P94">
        <v>10</v>
      </c>
    </row>
    <row r="95" spans="1:16">
      <c r="A95" t="s">
        <v>1839</v>
      </c>
      <c r="B95">
        <v>0</v>
      </c>
      <c r="C95">
        <v>2</v>
      </c>
      <c r="D95">
        <v>6.8</v>
      </c>
      <c r="E95">
        <v>35</v>
      </c>
      <c r="F95" t="s">
        <v>54</v>
      </c>
      <c r="G95" t="s">
        <v>200</v>
      </c>
      <c r="I95" s="15">
        <f t="shared" si="3"/>
        <v>612</v>
      </c>
      <c r="J95" s="15" t="str">
        <f t="shared" si="4"/>
        <v>06</v>
      </c>
      <c r="K95" s="15" t="str">
        <f t="shared" si="5"/>
        <v>0106</v>
      </c>
      <c r="L95" t="s">
        <v>2069</v>
      </c>
      <c r="M95">
        <v>0</v>
      </c>
      <c r="N95">
        <v>2</v>
      </c>
      <c r="O95">
        <v>6.8</v>
      </c>
      <c r="P95">
        <v>35</v>
      </c>
    </row>
    <row r="96" spans="1:16">
      <c r="A96" t="s">
        <v>1840</v>
      </c>
      <c r="B96">
        <v>0</v>
      </c>
      <c r="C96">
        <v>2</v>
      </c>
      <c r="D96">
        <v>7.3</v>
      </c>
      <c r="E96">
        <v>10</v>
      </c>
      <c r="F96" t="s">
        <v>54</v>
      </c>
      <c r="G96" t="s">
        <v>108</v>
      </c>
      <c r="I96" s="15">
        <f t="shared" si="3"/>
        <v>702</v>
      </c>
      <c r="J96" s="15" t="str">
        <f t="shared" si="4"/>
        <v>07</v>
      </c>
      <c r="K96" s="15" t="str">
        <f t="shared" si="5"/>
        <v>0107</v>
      </c>
      <c r="L96" t="s">
        <v>2070</v>
      </c>
      <c r="M96">
        <v>0</v>
      </c>
      <c r="N96">
        <v>2</v>
      </c>
      <c r="O96">
        <v>7.3</v>
      </c>
      <c r="P96">
        <v>10</v>
      </c>
    </row>
    <row r="97" spans="1:16">
      <c r="A97" t="s">
        <v>1774</v>
      </c>
      <c r="B97">
        <v>0</v>
      </c>
      <c r="C97">
        <v>2</v>
      </c>
      <c r="D97">
        <v>6.5</v>
      </c>
      <c r="E97">
        <v>13.4</v>
      </c>
      <c r="F97" t="s">
        <v>54</v>
      </c>
      <c r="G97" t="s">
        <v>108</v>
      </c>
      <c r="I97" s="15">
        <f t="shared" si="3"/>
        <v>728</v>
      </c>
      <c r="J97" s="15" t="str">
        <f t="shared" si="4"/>
        <v>07</v>
      </c>
      <c r="K97" s="15" t="str">
        <f t="shared" si="5"/>
        <v>0107</v>
      </c>
      <c r="L97" t="s">
        <v>2070</v>
      </c>
      <c r="M97">
        <v>0</v>
      </c>
      <c r="N97">
        <v>2</v>
      </c>
      <c r="O97">
        <v>6.5</v>
      </c>
      <c r="P97">
        <v>13.4</v>
      </c>
    </row>
    <row r="98" spans="1:16">
      <c r="A98" t="s">
        <v>1841</v>
      </c>
      <c r="B98">
        <v>0</v>
      </c>
      <c r="C98">
        <v>2</v>
      </c>
      <c r="D98">
        <v>6.7</v>
      </c>
      <c r="E98">
        <v>25.7</v>
      </c>
      <c r="F98" t="s">
        <v>54</v>
      </c>
      <c r="G98" t="s">
        <v>108</v>
      </c>
      <c r="I98" s="15">
        <f t="shared" si="3"/>
        <v>802</v>
      </c>
      <c r="J98" s="15" t="str">
        <f t="shared" si="4"/>
        <v>08</v>
      </c>
      <c r="K98" s="15" t="str">
        <f t="shared" si="5"/>
        <v>0108</v>
      </c>
      <c r="L98" t="s">
        <v>2075</v>
      </c>
      <c r="M98">
        <v>0</v>
      </c>
      <c r="N98">
        <v>2</v>
      </c>
      <c r="O98">
        <v>6.7</v>
      </c>
      <c r="P98">
        <v>25.7</v>
      </c>
    </row>
    <row r="99" spans="1:16">
      <c r="A99" t="s">
        <v>1819</v>
      </c>
      <c r="B99">
        <v>0</v>
      </c>
      <c r="C99">
        <v>5</v>
      </c>
      <c r="D99">
        <v>6.8</v>
      </c>
      <c r="E99">
        <v>36</v>
      </c>
      <c r="F99" t="s">
        <v>25</v>
      </c>
      <c r="G99" t="s">
        <v>26</v>
      </c>
      <c r="I99" s="15">
        <f t="shared" si="3"/>
        <v>810</v>
      </c>
      <c r="J99" s="15" t="str">
        <f t="shared" si="4"/>
        <v>08</v>
      </c>
      <c r="K99" s="15" t="str">
        <f t="shared" si="5"/>
        <v>0108</v>
      </c>
      <c r="L99" t="s">
        <v>2075</v>
      </c>
      <c r="M99">
        <v>0</v>
      </c>
      <c r="N99">
        <v>5</v>
      </c>
      <c r="O99">
        <v>6.8</v>
      </c>
      <c r="P99">
        <v>36</v>
      </c>
    </row>
    <row r="100" spans="1:16">
      <c r="A100" t="s">
        <v>1819</v>
      </c>
      <c r="B100">
        <v>0</v>
      </c>
      <c r="C100">
        <v>2</v>
      </c>
      <c r="D100">
        <v>6.5</v>
      </c>
      <c r="E100">
        <v>105</v>
      </c>
      <c r="F100" t="s">
        <v>54</v>
      </c>
      <c r="G100" t="s">
        <v>75</v>
      </c>
      <c r="I100" s="15">
        <f t="shared" si="3"/>
        <v>810</v>
      </c>
      <c r="J100" s="15" t="str">
        <f t="shared" si="4"/>
        <v>08</v>
      </c>
      <c r="K100" s="15" t="str">
        <f t="shared" si="5"/>
        <v>0108</v>
      </c>
      <c r="L100" t="s">
        <v>2075</v>
      </c>
      <c r="M100">
        <v>0</v>
      </c>
      <c r="N100">
        <v>2</v>
      </c>
      <c r="O100">
        <v>6.5</v>
      </c>
      <c r="P100">
        <v>105</v>
      </c>
    </row>
    <row r="101" spans="1:16">
      <c r="A101" t="s">
        <v>1842</v>
      </c>
      <c r="B101">
        <v>0</v>
      </c>
      <c r="C101">
        <v>6</v>
      </c>
      <c r="D101">
        <v>6.5</v>
      </c>
      <c r="E101">
        <v>5</v>
      </c>
      <c r="F101" t="s">
        <v>78</v>
      </c>
      <c r="G101" t="s">
        <v>245</v>
      </c>
      <c r="I101" s="15">
        <f t="shared" si="3"/>
        <v>828</v>
      </c>
      <c r="J101" s="15" t="str">
        <f t="shared" si="4"/>
        <v>08</v>
      </c>
      <c r="K101" s="15" t="str">
        <f t="shared" si="5"/>
        <v>0108</v>
      </c>
      <c r="L101" t="s">
        <v>2075</v>
      </c>
      <c r="M101">
        <v>0</v>
      </c>
      <c r="N101">
        <v>6</v>
      </c>
      <c r="O101">
        <v>6.5</v>
      </c>
      <c r="P101">
        <v>5</v>
      </c>
    </row>
    <row r="102" spans="1:16">
      <c r="A102" t="s">
        <v>1843</v>
      </c>
      <c r="B102">
        <v>0</v>
      </c>
      <c r="C102">
        <v>5</v>
      </c>
      <c r="D102">
        <v>6.5</v>
      </c>
      <c r="E102">
        <v>228.4</v>
      </c>
      <c r="F102" t="s">
        <v>25</v>
      </c>
      <c r="G102" t="s">
        <v>163</v>
      </c>
      <c r="I102" s="15">
        <f t="shared" si="3"/>
        <v>904</v>
      </c>
      <c r="J102" s="15" t="str">
        <f t="shared" si="4"/>
        <v>09</v>
      </c>
      <c r="K102" s="15" t="str">
        <f t="shared" si="5"/>
        <v>0109</v>
      </c>
      <c r="L102" t="s">
        <v>2071</v>
      </c>
      <c r="M102">
        <v>0</v>
      </c>
      <c r="N102">
        <v>5</v>
      </c>
      <c r="O102">
        <v>6.5</v>
      </c>
      <c r="P102">
        <v>228.4</v>
      </c>
    </row>
    <row r="103" spans="1:16">
      <c r="A103" t="s">
        <v>1844</v>
      </c>
      <c r="B103">
        <v>0</v>
      </c>
      <c r="C103">
        <v>4</v>
      </c>
      <c r="D103">
        <v>7</v>
      </c>
      <c r="E103">
        <v>35</v>
      </c>
      <c r="F103" t="s">
        <v>47</v>
      </c>
      <c r="G103" t="s">
        <v>856</v>
      </c>
      <c r="I103" s="15">
        <f t="shared" si="3"/>
        <v>910</v>
      </c>
      <c r="J103" s="15" t="str">
        <f t="shared" si="4"/>
        <v>09</v>
      </c>
      <c r="K103" s="15" t="str">
        <f t="shared" si="5"/>
        <v>0109</v>
      </c>
      <c r="L103" t="s">
        <v>2071</v>
      </c>
      <c r="M103">
        <v>0</v>
      </c>
      <c r="N103">
        <v>4</v>
      </c>
      <c r="O103">
        <v>7</v>
      </c>
      <c r="P103">
        <v>35</v>
      </c>
    </row>
    <row r="104" spans="1:16">
      <c r="A104" t="s">
        <v>1845</v>
      </c>
      <c r="B104">
        <v>0</v>
      </c>
      <c r="C104">
        <v>2</v>
      </c>
      <c r="D104">
        <v>6.9</v>
      </c>
      <c r="E104">
        <v>188.6</v>
      </c>
      <c r="F104" t="s">
        <v>54</v>
      </c>
      <c r="G104" t="s">
        <v>295</v>
      </c>
      <c r="I104" s="15">
        <f t="shared" si="3"/>
        <v>1006</v>
      </c>
      <c r="J104" s="15" t="str">
        <f t="shared" si="4"/>
        <v>10</v>
      </c>
      <c r="K104" s="15" t="str">
        <f t="shared" si="5"/>
        <v>0110</v>
      </c>
      <c r="L104" t="s">
        <v>2072</v>
      </c>
      <c r="M104">
        <v>0</v>
      </c>
      <c r="N104">
        <v>2</v>
      </c>
      <c r="O104">
        <v>6.9</v>
      </c>
      <c r="P104">
        <v>188.6</v>
      </c>
    </row>
    <row r="105" spans="1:16">
      <c r="A105" t="s">
        <v>1846</v>
      </c>
      <c r="B105">
        <v>0</v>
      </c>
      <c r="C105">
        <v>2</v>
      </c>
      <c r="D105">
        <v>6.7</v>
      </c>
      <c r="E105">
        <v>94</v>
      </c>
      <c r="F105" t="s">
        <v>54</v>
      </c>
      <c r="G105" t="s">
        <v>200</v>
      </c>
      <c r="I105" s="15">
        <f t="shared" si="3"/>
        <v>1015</v>
      </c>
      <c r="J105" s="15" t="str">
        <f t="shared" si="4"/>
        <v>10</v>
      </c>
      <c r="K105" s="15" t="str">
        <f t="shared" si="5"/>
        <v>0110</v>
      </c>
      <c r="L105" t="s">
        <v>2072</v>
      </c>
      <c r="M105">
        <v>0</v>
      </c>
      <c r="N105">
        <v>2</v>
      </c>
      <c r="O105">
        <v>6.7</v>
      </c>
      <c r="P105">
        <v>94</v>
      </c>
    </row>
    <row r="106" spans="1:16">
      <c r="A106" t="s">
        <v>1804</v>
      </c>
      <c r="B106">
        <v>0</v>
      </c>
      <c r="C106">
        <v>2</v>
      </c>
      <c r="D106">
        <v>6.6</v>
      </c>
      <c r="E106">
        <v>16</v>
      </c>
      <c r="F106" t="s">
        <v>54</v>
      </c>
      <c r="G106" t="s">
        <v>200</v>
      </c>
      <c r="I106" s="15">
        <f t="shared" si="3"/>
        <v>1023</v>
      </c>
      <c r="J106" s="15" t="str">
        <f t="shared" si="4"/>
        <v>10</v>
      </c>
      <c r="K106" s="15" t="str">
        <f t="shared" si="5"/>
        <v>0110</v>
      </c>
      <c r="L106" t="s">
        <v>2072</v>
      </c>
      <c r="M106">
        <v>0</v>
      </c>
      <c r="N106">
        <v>2</v>
      </c>
      <c r="O106">
        <v>6.6</v>
      </c>
      <c r="P106">
        <v>16</v>
      </c>
    </row>
    <row r="107" spans="1:16">
      <c r="A107" t="s">
        <v>1847</v>
      </c>
      <c r="B107">
        <v>0</v>
      </c>
      <c r="C107">
        <v>5</v>
      </c>
      <c r="D107">
        <v>6.7</v>
      </c>
      <c r="E107">
        <v>10</v>
      </c>
      <c r="F107" t="s">
        <v>25</v>
      </c>
      <c r="G107" t="s">
        <v>26</v>
      </c>
      <c r="I107" s="15">
        <f t="shared" si="3"/>
        <v>1111</v>
      </c>
      <c r="J107" s="15" t="str">
        <f t="shared" si="4"/>
        <v>11</v>
      </c>
      <c r="K107" s="15" t="str">
        <f t="shared" si="5"/>
        <v>0111</v>
      </c>
      <c r="L107" t="s">
        <v>2073</v>
      </c>
      <c r="M107">
        <v>0</v>
      </c>
      <c r="N107">
        <v>5</v>
      </c>
      <c r="O107">
        <v>6.7</v>
      </c>
      <c r="P107">
        <v>10</v>
      </c>
    </row>
    <row r="108" spans="1:16">
      <c r="A108" t="s">
        <v>1847</v>
      </c>
      <c r="B108">
        <v>0</v>
      </c>
      <c r="C108">
        <v>2</v>
      </c>
      <c r="D108">
        <v>7.5</v>
      </c>
      <c r="E108">
        <v>10</v>
      </c>
      <c r="F108" t="s">
        <v>54</v>
      </c>
      <c r="G108" t="s">
        <v>108</v>
      </c>
      <c r="I108" s="15">
        <f t="shared" si="3"/>
        <v>1111</v>
      </c>
      <c r="J108" s="15" t="str">
        <f t="shared" si="4"/>
        <v>11</v>
      </c>
      <c r="K108" s="15" t="str">
        <f t="shared" si="5"/>
        <v>0111</v>
      </c>
      <c r="L108" t="s">
        <v>2073</v>
      </c>
      <c r="M108">
        <v>0</v>
      </c>
      <c r="N108">
        <v>2</v>
      </c>
      <c r="O108">
        <v>7.5</v>
      </c>
      <c r="P108">
        <v>10</v>
      </c>
    </row>
    <row r="109" spans="1:16">
      <c r="A109" t="s">
        <v>1848</v>
      </c>
      <c r="B109">
        <v>0</v>
      </c>
      <c r="C109">
        <v>6</v>
      </c>
      <c r="D109">
        <v>7.2</v>
      </c>
      <c r="E109">
        <v>15</v>
      </c>
      <c r="F109" t="s">
        <v>78</v>
      </c>
      <c r="G109" t="s">
        <v>973</v>
      </c>
      <c r="I109" s="15">
        <f t="shared" si="3"/>
        <v>1115</v>
      </c>
      <c r="J109" s="15" t="str">
        <f t="shared" si="4"/>
        <v>11</v>
      </c>
      <c r="K109" s="15" t="str">
        <f t="shared" si="5"/>
        <v>0111</v>
      </c>
      <c r="L109" t="s">
        <v>2073</v>
      </c>
      <c r="M109">
        <v>0</v>
      </c>
      <c r="N109">
        <v>6</v>
      </c>
      <c r="O109">
        <v>7.2</v>
      </c>
      <c r="P109">
        <v>15</v>
      </c>
    </row>
    <row r="110" spans="1:16">
      <c r="A110" t="s">
        <v>1849</v>
      </c>
      <c r="B110">
        <v>0</v>
      </c>
      <c r="C110">
        <v>5</v>
      </c>
      <c r="D110">
        <v>7.1</v>
      </c>
      <c r="E110">
        <v>10</v>
      </c>
      <c r="F110" t="s">
        <v>25</v>
      </c>
      <c r="G110" t="s">
        <v>594</v>
      </c>
      <c r="I110" s="15">
        <f t="shared" si="3"/>
        <v>1122</v>
      </c>
      <c r="J110" s="15" t="str">
        <f t="shared" si="4"/>
        <v>11</v>
      </c>
      <c r="K110" s="15" t="str">
        <f t="shared" si="5"/>
        <v>0111</v>
      </c>
      <c r="L110" t="s">
        <v>2073</v>
      </c>
      <c r="M110">
        <v>0</v>
      </c>
      <c r="N110">
        <v>5</v>
      </c>
      <c r="O110">
        <v>7.1</v>
      </c>
      <c r="P110">
        <v>10</v>
      </c>
    </row>
    <row r="111" spans="1:16">
      <c r="A111" t="s">
        <v>1850</v>
      </c>
      <c r="B111">
        <v>0</v>
      </c>
      <c r="C111">
        <v>2</v>
      </c>
      <c r="D111">
        <v>7.1</v>
      </c>
      <c r="E111">
        <v>10</v>
      </c>
      <c r="F111" t="s">
        <v>54</v>
      </c>
      <c r="G111" t="s">
        <v>108</v>
      </c>
      <c r="I111" s="15">
        <f t="shared" si="3"/>
        <v>1126</v>
      </c>
      <c r="J111" s="15" t="str">
        <f t="shared" si="4"/>
        <v>11</v>
      </c>
      <c r="K111" s="15" t="str">
        <f t="shared" si="5"/>
        <v>0111</v>
      </c>
      <c r="L111" t="s">
        <v>2073</v>
      </c>
      <c r="M111">
        <v>0</v>
      </c>
      <c r="N111">
        <v>2</v>
      </c>
      <c r="O111">
        <v>7.1</v>
      </c>
      <c r="P111">
        <v>10</v>
      </c>
    </row>
    <row r="112" spans="1:16">
      <c r="A112" t="s">
        <v>1851</v>
      </c>
      <c r="B112">
        <v>0</v>
      </c>
      <c r="C112">
        <v>2</v>
      </c>
      <c r="D112">
        <v>7</v>
      </c>
      <c r="E112">
        <v>39</v>
      </c>
      <c r="F112" t="s">
        <v>54</v>
      </c>
      <c r="G112" t="s">
        <v>200</v>
      </c>
      <c r="I112" s="15">
        <f t="shared" si="3"/>
        <v>1128</v>
      </c>
      <c r="J112" s="15" t="str">
        <f t="shared" si="4"/>
        <v>11</v>
      </c>
      <c r="K112" s="15" t="str">
        <f t="shared" si="5"/>
        <v>0111</v>
      </c>
      <c r="L112" t="s">
        <v>2073</v>
      </c>
      <c r="M112">
        <v>0</v>
      </c>
      <c r="N112">
        <v>2</v>
      </c>
      <c r="O112">
        <v>7</v>
      </c>
      <c r="P112">
        <v>39</v>
      </c>
    </row>
    <row r="113" spans="1:16">
      <c r="A113" t="s">
        <v>1852</v>
      </c>
      <c r="B113">
        <v>0</v>
      </c>
      <c r="C113">
        <v>4</v>
      </c>
      <c r="D113">
        <v>6.8</v>
      </c>
      <c r="E113">
        <v>10</v>
      </c>
      <c r="F113" t="s">
        <v>47</v>
      </c>
      <c r="G113" t="s">
        <v>1750</v>
      </c>
      <c r="I113" s="15">
        <f t="shared" si="3"/>
        <v>1214</v>
      </c>
      <c r="J113" s="15" t="str">
        <f t="shared" si="4"/>
        <v>12</v>
      </c>
      <c r="K113" s="15" t="str">
        <f t="shared" si="5"/>
        <v>0112</v>
      </c>
      <c r="L113" t="s">
        <v>2074</v>
      </c>
      <c r="M113">
        <v>0</v>
      </c>
      <c r="N113">
        <v>4</v>
      </c>
      <c r="O113">
        <v>6.8</v>
      </c>
      <c r="P113">
        <v>10</v>
      </c>
    </row>
    <row r="114" spans="1:16">
      <c r="A114" t="s">
        <v>1783</v>
      </c>
      <c r="B114">
        <v>0</v>
      </c>
      <c r="C114">
        <v>5</v>
      </c>
      <c r="D114">
        <v>8.1</v>
      </c>
      <c r="E114">
        <v>10</v>
      </c>
      <c r="F114" t="s">
        <v>25</v>
      </c>
      <c r="G114" t="s">
        <v>1750</v>
      </c>
      <c r="I114" s="15">
        <f t="shared" si="3"/>
        <v>1223</v>
      </c>
      <c r="J114" s="15" t="str">
        <f t="shared" si="4"/>
        <v>12</v>
      </c>
      <c r="K114" s="15" t="str">
        <f t="shared" si="5"/>
        <v>0112</v>
      </c>
      <c r="L114" t="s">
        <v>2074</v>
      </c>
      <c r="M114">
        <v>0</v>
      </c>
      <c r="N114">
        <v>5</v>
      </c>
      <c r="O114">
        <v>8.1</v>
      </c>
      <c r="P114">
        <v>10</v>
      </c>
    </row>
    <row r="115" spans="1:16">
      <c r="A115" t="s">
        <v>1831</v>
      </c>
      <c r="B115">
        <v>0</v>
      </c>
      <c r="C115">
        <v>2</v>
      </c>
      <c r="D115">
        <v>6.6</v>
      </c>
      <c r="E115">
        <v>16.100000000000001</v>
      </c>
      <c r="F115" t="s">
        <v>54</v>
      </c>
      <c r="G115" t="s">
        <v>671</v>
      </c>
      <c r="I115" s="15">
        <f t="shared" si="3"/>
        <v>1226</v>
      </c>
      <c r="J115" s="15" t="str">
        <f t="shared" si="4"/>
        <v>12</v>
      </c>
      <c r="K115" s="15" t="str">
        <f t="shared" si="5"/>
        <v>0112</v>
      </c>
      <c r="L115" t="s">
        <v>2074</v>
      </c>
      <c r="M115">
        <v>0</v>
      </c>
      <c r="N115">
        <v>2</v>
      </c>
      <c r="O115">
        <v>6.6</v>
      </c>
      <c r="P115">
        <v>16.100000000000001</v>
      </c>
    </row>
    <row r="116" spans="1:16">
      <c r="A116" t="s">
        <v>1831</v>
      </c>
      <c r="B116">
        <v>0</v>
      </c>
      <c r="C116">
        <v>2</v>
      </c>
      <c r="D116">
        <v>9.1</v>
      </c>
      <c r="E116">
        <v>30</v>
      </c>
      <c r="F116" t="s">
        <v>54</v>
      </c>
      <c r="G116" t="s">
        <v>108</v>
      </c>
      <c r="I116" s="15">
        <f t="shared" si="3"/>
        <v>1226</v>
      </c>
      <c r="J116" s="15" t="str">
        <f t="shared" si="4"/>
        <v>12</v>
      </c>
      <c r="K116" s="15" t="str">
        <f t="shared" si="5"/>
        <v>0112</v>
      </c>
      <c r="L116" t="s">
        <v>2074</v>
      </c>
      <c r="M116">
        <v>0</v>
      </c>
      <c r="N116">
        <v>2</v>
      </c>
      <c r="O116">
        <v>9.1</v>
      </c>
      <c r="P116">
        <v>30</v>
      </c>
    </row>
    <row r="117" spans="1:16">
      <c r="A117" t="s">
        <v>1831</v>
      </c>
      <c r="B117">
        <v>0</v>
      </c>
      <c r="C117">
        <v>2</v>
      </c>
      <c r="D117">
        <v>7.2</v>
      </c>
      <c r="E117">
        <v>39.200000000000003</v>
      </c>
      <c r="F117" t="s">
        <v>54</v>
      </c>
      <c r="G117" t="s">
        <v>108</v>
      </c>
      <c r="I117" s="15">
        <f t="shared" si="3"/>
        <v>1226</v>
      </c>
      <c r="J117" s="15" t="str">
        <f t="shared" si="4"/>
        <v>12</v>
      </c>
      <c r="K117" s="15" t="str">
        <f t="shared" si="5"/>
        <v>0112</v>
      </c>
      <c r="L117" t="s">
        <v>2074</v>
      </c>
      <c r="M117">
        <v>0</v>
      </c>
      <c r="N117">
        <v>2</v>
      </c>
      <c r="O117">
        <v>7.2</v>
      </c>
      <c r="P117">
        <v>39.200000000000003</v>
      </c>
    </row>
    <row r="118" spans="1:16">
      <c r="A118" t="s">
        <v>1853</v>
      </c>
      <c r="B118">
        <v>0</v>
      </c>
      <c r="C118">
        <v>2</v>
      </c>
      <c r="D118">
        <v>6.6</v>
      </c>
      <c r="E118">
        <v>27.8</v>
      </c>
      <c r="F118" t="s">
        <v>54</v>
      </c>
      <c r="G118" t="s">
        <v>200</v>
      </c>
      <c r="I118" s="15">
        <f t="shared" si="3"/>
        <v>119</v>
      </c>
      <c r="J118" s="15" t="str">
        <f t="shared" si="4"/>
        <v>01</v>
      </c>
      <c r="K118" s="15" t="str">
        <f t="shared" si="5"/>
        <v>0101</v>
      </c>
      <c r="L118" t="s">
        <v>2064</v>
      </c>
      <c r="M118">
        <v>0</v>
      </c>
      <c r="N118">
        <v>2</v>
      </c>
      <c r="O118">
        <v>6.6</v>
      </c>
      <c r="P118">
        <v>27.8</v>
      </c>
    </row>
    <row r="119" spans="1:16">
      <c r="A119" t="s">
        <v>1854</v>
      </c>
      <c r="B119">
        <v>0</v>
      </c>
      <c r="C119">
        <v>2</v>
      </c>
      <c r="D119">
        <v>7.1</v>
      </c>
      <c r="E119">
        <v>201.7</v>
      </c>
      <c r="F119" t="s">
        <v>54</v>
      </c>
      <c r="G119" t="s">
        <v>108</v>
      </c>
      <c r="I119" s="15">
        <f t="shared" si="3"/>
        <v>203</v>
      </c>
      <c r="J119" s="15" t="str">
        <f t="shared" si="4"/>
        <v>02</v>
      </c>
      <c r="K119" s="15" t="str">
        <f t="shared" si="5"/>
        <v>0102</v>
      </c>
      <c r="L119" t="s">
        <v>2065</v>
      </c>
      <c r="M119">
        <v>0</v>
      </c>
      <c r="N119">
        <v>2</v>
      </c>
      <c r="O119">
        <v>7.1</v>
      </c>
      <c r="P119">
        <v>201.7</v>
      </c>
    </row>
    <row r="120" spans="1:16">
      <c r="A120" t="s">
        <v>1855</v>
      </c>
      <c r="B120">
        <v>0</v>
      </c>
      <c r="C120">
        <v>4</v>
      </c>
      <c r="D120">
        <v>6.6</v>
      </c>
      <c r="E120">
        <v>27</v>
      </c>
      <c r="F120" t="s">
        <v>47</v>
      </c>
      <c r="G120" t="s">
        <v>856</v>
      </c>
      <c r="I120" s="15">
        <f t="shared" si="3"/>
        <v>207</v>
      </c>
      <c r="J120" s="15" t="str">
        <f t="shared" si="4"/>
        <v>02</v>
      </c>
      <c r="K120" s="15" t="str">
        <f t="shared" si="5"/>
        <v>0102</v>
      </c>
      <c r="L120" t="s">
        <v>2065</v>
      </c>
      <c r="M120">
        <v>0</v>
      </c>
      <c r="N120">
        <v>4</v>
      </c>
      <c r="O120">
        <v>6.6</v>
      </c>
      <c r="P120">
        <v>27</v>
      </c>
    </row>
    <row r="121" spans="1:16">
      <c r="A121" t="s">
        <v>1762</v>
      </c>
      <c r="B121">
        <v>0</v>
      </c>
      <c r="C121">
        <v>2</v>
      </c>
      <c r="D121">
        <v>6.5</v>
      </c>
      <c r="E121">
        <v>29</v>
      </c>
      <c r="F121" t="s">
        <v>54</v>
      </c>
      <c r="G121" t="s">
        <v>200</v>
      </c>
      <c r="I121" s="15">
        <f t="shared" si="3"/>
        <v>212</v>
      </c>
      <c r="J121" s="15" t="str">
        <f t="shared" si="4"/>
        <v>02</v>
      </c>
      <c r="K121" s="15" t="str">
        <f t="shared" si="5"/>
        <v>0102</v>
      </c>
      <c r="L121" t="s">
        <v>2065</v>
      </c>
      <c r="M121">
        <v>0</v>
      </c>
      <c r="N121">
        <v>2</v>
      </c>
      <c r="O121">
        <v>6.5</v>
      </c>
      <c r="P121">
        <v>29</v>
      </c>
    </row>
    <row r="122" spans="1:16">
      <c r="A122" t="s">
        <v>1856</v>
      </c>
      <c r="B122">
        <v>0</v>
      </c>
      <c r="C122">
        <v>2</v>
      </c>
      <c r="D122">
        <v>6.5</v>
      </c>
      <c r="E122">
        <v>39.700000000000003</v>
      </c>
      <c r="F122" t="s">
        <v>54</v>
      </c>
      <c r="G122" t="s">
        <v>108</v>
      </c>
      <c r="I122" s="15">
        <f t="shared" si="3"/>
        <v>215</v>
      </c>
      <c r="J122" s="15" t="str">
        <f t="shared" si="4"/>
        <v>02</v>
      </c>
      <c r="K122" s="15" t="str">
        <f t="shared" si="5"/>
        <v>0102</v>
      </c>
      <c r="L122" t="s">
        <v>2065</v>
      </c>
      <c r="M122">
        <v>0</v>
      </c>
      <c r="N122">
        <v>2</v>
      </c>
      <c r="O122">
        <v>6.5</v>
      </c>
      <c r="P122">
        <v>39.700000000000003</v>
      </c>
    </row>
    <row r="123" spans="1:16">
      <c r="A123" t="s">
        <v>1857</v>
      </c>
      <c r="B123">
        <v>0</v>
      </c>
      <c r="C123">
        <v>2</v>
      </c>
      <c r="D123">
        <v>6.5</v>
      </c>
      <c r="E123">
        <v>10</v>
      </c>
      <c r="F123" t="s">
        <v>54</v>
      </c>
      <c r="G123" t="s">
        <v>108</v>
      </c>
      <c r="I123" s="15">
        <f t="shared" si="3"/>
        <v>219</v>
      </c>
      <c r="J123" s="15" t="str">
        <f t="shared" si="4"/>
        <v>02</v>
      </c>
      <c r="K123" s="15" t="str">
        <f t="shared" si="5"/>
        <v>0102</v>
      </c>
      <c r="L123" t="s">
        <v>2065</v>
      </c>
      <c r="M123">
        <v>0</v>
      </c>
      <c r="N123">
        <v>2</v>
      </c>
      <c r="O123">
        <v>6.5</v>
      </c>
      <c r="P123">
        <v>10</v>
      </c>
    </row>
    <row r="124" spans="1:16">
      <c r="A124" t="s">
        <v>1858</v>
      </c>
      <c r="B124">
        <v>0</v>
      </c>
      <c r="C124">
        <v>2</v>
      </c>
      <c r="D124">
        <v>6.8</v>
      </c>
      <c r="E124">
        <v>36</v>
      </c>
      <c r="F124" t="s">
        <v>54</v>
      </c>
      <c r="G124" t="s">
        <v>108</v>
      </c>
      <c r="I124" s="15">
        <f t="shared" si="3"/>
        <v>226</v>
      </c>
      <c r="J124" s="15" t="str">
        <f t="shared" si="4"/>
        <v>02</v>
      </c>
      <c r="K124" s="15" t="str">
        <f t="shared" si="5"/>
        <v>0102</v>
      </c>
      <c r="L124" t="s">
        <v>2065</v>
      </c>
      <c r="M124">
        <v>0</v>
      </c>
      <c r="N124">
        <v>2</v>
      </c>
      <c r="O124">
        <v>6.8</v>
      </c>
      <c r="P124">
        <v>36</v>
      </c>
    </row>
    <row r="125" spans="1:16">
      <c r="A125" t="s">
        <v>1859</v>
      </c>
      <c r="B125">
        <v>0</v>
      </c>
      <c r="C125">
        <v>2</v>
      </c>
      <c r="D125">
        <v>6.6</v>
      </c>
      <c r="E125">
        <v>10</v>
      </c>
      <c r="F125" t="s">
        <v>54</v>
      </c>
      <c r="G125" t="s">
        <v>200</v>
      </c>
      <c r="I125" s="15">
        <f t="shared" si="3"/>
        <v>320</v>
      </c>
      <c r="J125" s="15" t="str">
        <f t="shared" si="4"/>
        <v>03</v>
      </c>
      <c r="K125" s="15" t="str">
        <f t="shared" si="5"/>
        <v>0103</v>
      </c>
      <c r="L125" t="s">
        <v>2066</v>
      </c>
      <c r="M125">
        <v>0</v>
      </c>
      <c r="N125">
        <v>2</v>
      </c>
      <c r="O125">
        <v>6.6</v>
      </c>
      <c r="P125">
        <v>10</v>
      </c>
    </row>
    <row r="126" spans="1:16">
      <c r="A126" t="s">
        <v>1790</v>
      </c>
      <c r="B126">
        <v>0</v>
      </c>
      <c r="C126">
        <v>2</v>
      </c>
      <c r="D126">
        <v>8.6</v>
      </c>
      <c r="E126">
        <v>30</v>
      </c>
      <c r="F126" t="s">
        <v>54</v>
      </c>
      <c r="G126" t="s">
        <v>108</v>
      </c>
      <c r="I126" s="15">
        <f t="shared" si="3"/>
        <v>328</v>
      </c>
      <c r="J126" s="15" t="str">
        <f t="shared" si="4"/>
        <v>03</v>
      </c>
      <c r="K126" s="15" t="str">
        <f t="shared" si="5"/>
        <v>0103</v>
      </c>
      <c r="L126" t="s">
        <v>2066</v>
      </c>
      <c r="M126">
        <v>0</v>
      </c>
      <c r="N126">
        <v>2</v>
      </c>
      <c r="O126">
        <v>8.6</v>
      </c>
      <c r="P126">
        <v>30</v>
      </c>
    </row>
    <row r="127" spans="1:16">
      <c r="A127" t="s">
        <v>1794</v>
      </c>
      <c r="B127">
        <v>0</v>
      </c>
      <c r="C127">
        <v>2</v>
      </c>
      <c r="D127">
        <v>7.1</v>
      </c>
      <c r="E127">
        <v>525</v>
      </c>
      <c r="F127" t="s">
        <v>54</v>
      </c>
      <c r="G127" t="s">
        <v>75</v>
      </c>
      <c r="I127" s="15">
        <f t="shared" si="3"/>
        <v>502</v>
      </c>
      <c r="J127" s="15" t="str">
        <f t="shared" si="4"/>
        <v>05</v>
      </c>
      <c r="K127" s="15" t="str">
        <f t="shared" si="5"/>
        <v>0105</v>
      </c>
      <c r="L127" t="s">
        <v>2068</v>
      </c>
      <c r="M127">
        <v>0</v>
      </c>
      <c r="N127">
        <v>2</v>
      </c>
      <c r="O127">
        <v>7.1</v>
      </c>
      <c r="P127">
        <v>525</v>
      </c>
    </row>
    <row r="128" spans="1:16">
      <c r="A128" t="s">
        <v>1769</v>
      </c>
      <c r="B128">
        <v>0</v>
      </c>
      <c r="C128">
        <v>2</v>
      </c>
      <c r="D128">
        <v>6.7</v>
      </c>
      <c r="E128">
        <v>21</v>
      </c>
      <c r="F128" t="s">
        <v>54</v>
      </c>
      <c r="G128" t="s">
        <v>108</v>
      </c>
      <c r="I128" s="15">
        <f t="shared" si="3"/>
        <v>507</v>
      </c>
      <c r="J128" s="15" t="str">
        <f t="shared" si="4"/>
        <v>05</v>
      </c>
      <c r="K128" s="15" t="str">
        <f t="shared" si="5"/>
        <v>0105</v>
      </c>
      <c r="L128" t="s">
        <v>2068</v>
      </c>
      <c r="M128">
        <v>0</v>
      </c>
      <c r="N128">
        <v>2</v>
      </c>
      <c r="O128">
        <v>6.7</v>
      </c>
      <c r="P128">
        <v>21</v>
      </c>
    </row>
    <row r="129" spans="1:16">
      <c r="A129" t="s">
        <v>1860</v>
      </c>
      <c r="B129">
        <v>0</v>
      </c>
      <c r="C129">
        <v>1</v>
      </c>
      <c r="D129">
        <v>6.8</v>
      </c>
      <c r="E129">
        <v>22</v>
      </c>
      <c r="F129" t="s">
        <v>549</v>
      </c>
      <c r="G129" t="s">
        <v>1449</v>
      </c>
      <c r="I129" s="15">
        <f t="shared" si="3"/>
        <v>512</v>
      </c>
      <c r="J129" s="15" t="str">
        <f t="shared" si="4"/>
        <v>05</v>
      </c>
      <c r="K129" s="15" t="str">
        <f t="shared" si="5"/>
        <v>0105</v>
      </c>
      <c r="L129" t="s">
        <v>2068</v>
      </c>
      <c r="M129">
        <v>0</v>
      </c>
      <c r="N129">
        <v>1</v>
      </c>
      <c r="O129">
        <v>6.8</v>
      </c>
      <c r="P129">
        <v>22</v>
      </c>
    </row>
    <row r="130" spans="1:16">
      <c r="A130" t="s">
        <v>1861</v>
      </c>
      <c r="B130">
        <v>0</v>
      </c>
      <c r="C130">
        <v>2</v>
      </c>
      <c r="D130">
        <v>6.7</v>
      </c>
      <c r="E130">
        <v>34</v>
      </c>
      <c r="F130" t="s">
        <v>54</v>
      </c>
      <c r="G130" t="s">
        <v>108</v>
      </c>
      <c r="I130" s="15">
        <f t="shared" ref="I130:I193" si="6">TRUNC(A130,6)</f>
        <v>514</v>
      </c>
      <c r="J130" s="15" t="str">
        <f t="shared" si="4"/>
        <v>05</v>
      </c>
      <c r="K130" s="15" t="str">
        <f t="shared" si="5"/>
        <v>0105</v>
      </c>
      <c r="L130" t="s">
        <v>2068</v>
      </c>
      <c r="M130">
        <v>0</v>
      </c>
      <c r="N130">
        <v>2</v>
      </c>
      <c r="O130">
        <v>6.7</v>
      </c>
      <c r="P130">
        <v>34</v>
      </c>
    </row>
    <row r="131" spans="1:16">
      <c r="A131" t="s">
        <v>1862</v>
      </c>
      <c r="B131">
        <v>0</v>
      </c>
      <c r="C131">
        <v>2</v>
      </c>
      <c r="D131">
        <v>6.9</v>
      </c>
      <c r="E131">
        <v>30</v>
      </c>
      <c r="F131" t="s">
        <v>54</v>
      </c>
      <c r="G131" t="s">
        <v>108</v>
      </c>
      <c r="I131" s="15">
        <f t="shared" si="6"/>
        <v>519</v>
      </c>
      <c r="J131" s="15" t="str">
        <f t="shared" ref="J131:J194" si="7">LEFT(L131,2)</f>
        <v>05</v>
      </c>
      <c r="K131" s="15" t="str">
        <f t="shared" ref="K131:K194" si="8">TEXT(J131,"MMDD")</f>
        <v>0105</v>
      </c>
      <c r="L131" t="s">
        <v>2068</v>
      </c>
      <c r="M131">
        <v>0</v>
      </c>
      <c r="N131">
        <v>2</v>
      </c>
      <c r="O131">
        <v>6.9</v>
      </c>
      <c r="P131">
        <v>30</v>
      </c>
    </row>
    <row r="132" spans="1:16">
      <c r="A132" t="s">
        <v>1863</v>
      </c>
      <c r="B132">
        <v>0</v>
      </c>
      <c r="C132">
        <v>6</v>
      </c>
      <c r="D132">
        <v>7.8</v>
      </c>
      <c r="E132">
        <v>115.6</v>
      </c>
      <c r="F132" t="s">
        <v>78</v>
      </c>
      <c r="G132" t="s">
        <v>245</v>
      </c>
      <c r="I132" s="15">
        <f t="shared" si="6"/>
        <v>613</v>
      </c>
      <c r="J132" s="15" t="str">
        <f t="shared" si="7"/>
        <v>06</v>
      </c>
      <c r="K132" s="15" t="str">
        <f t="shared" si="8"/>
        <v>0106</v>
      </c>
      <c r="L132" t="s">
        <v>2069</v>
      </c>
      <c r="M132">
        <v>0</v>
      </c>
      <c r="N132">
        <v>6</v>
      </c>
      <c r="O132">
        <v>7.8</v>
      </c>
      <c r="P132">
        <v>115.6</v>
      </c>
    </row>
    <row r="133" spans="1:16">
      <c r="A133" t="s">
        <v>1864</v>
      </c>
      <c r="B133">
        <v>0</v>
      </c>
      <c r="C133">
        <v>4</v>
      </c>
      <c r="D133">
        <v>7.2</v>
      </c>
      <c r="E133">
        <v>16</v>
      </c>
      <c r="F133" t="s">
        <v>47</v>
      </c>
      <c r="G133" t="s">
        <v>1754</v>
      </c>
      <c r="I133" s="15">
        <f t="shared" si="6"/>
        <v>615</v>
      </c>
      <c r="J133" s="15" t="str">
        <f t="shared" si="7"/>
        <v>06</v>
      </c>
      <c r="K133" s="15" t="str">
        <f t="shared" si="8"/>
        <v>0106</v>
      </c>
      <c r="L133" t="s">
        <v>2069</v>
      </c>
      <c r="M133">
        <v>0</v>
      </c>
      <c r="N133">
        <v>4</v>
      </c>
      <c r="O133">
        <v>7.2</v>
      </c>
      <c r="P133">
        <v>16</v>
      </c>
    </row>
    <row r="134" spans="1:16">
      <c r="A134" t="s">
        <v>1865</v>
      </c>
      <c r="B134">
        <v>0</v>
      </c>
      <c r="C134">
        <v>2</v>
      </c>
      <c r="D134">
        <v>7.2</v>
      </c>
      <c r="E134">
        <v>16</v>
      </c>
      <c r="F134" t="s">
        <v>54</v>
      </c>
      <c r="G134" t="s">
        <v>671</v>
      </c>
      <c r="I134" s="15">
        <f t="shared" si="6"/>
        <v>724</v>
      </c>
      <c r="J134" s="15" t="str">
        <f t="shared" si="7"/>
        <v>07</v>
      </c>
      <c r="K134" s="15" t="str">
        <f t="shared" si="8"/>
        <v>0107</v>
      </c>
      <c r="L134" t="s">
        <v>2070</v>
      </c>
      <c r="M134">
        <v>0</v>
      </c>
      <c r="N134">
        <v>2</v>
      </c>
      <c r="O134">
        <v>7.2</v>
      </c>
      <c r="P134">
        <v>16</v>
      </c>
    </row>
    <row r="135" spans="1:16">
      <c r="A135" t="s">
        <v>1841</v>
      </c>
      <c r="B135">
        <v>0</v>
      </c>
      <c r="C135">
        <v>5</v>
      </c>
      <c r="D135">
        <v>6.7</v>
      </c>
      <c r="E135">
        <v>206.3</v>
      </c>
      <c r="F135" t="s">
        <v>25</v>
      </c>
      <c r="G135" t="s">
        <v>163</v>
      </c>
      <c r="I135" s="15">
        <f t="shared" si="6"/>
        <v>802</v>
      </c>
      <c r="J135" s="15" t="str">
        <f t="shared" si="7"/>
        <v>08</v>
      </c>
      <c r="K135" s="15" t="str">
        <f t="shared" si="8"/>
        <v>0108</v>
      </c>
      <c r="L135" t="s">
        <v>2075</v>
      </c>
      <c r="M135">
        <v>0</v>
      </c>
      <c r="N135">
        <v>5</v>
      </c>
      <c r="O135">
        <v>6.7</v>
      </c>
      <c r="P135">
        <v>206.3</v>
      </c>
    </row>
    <row r="136" spans="1:16">
      <c r="A136" t="s">
        <v>1819</v>
      </c>
      <c r="B136">
        <v>0</v>
      </c>
      <c r="C136">
        <v>2</v>
      </c>
      <c r="D136">
        <v>7.6</v>
      </c>
      <c r="E136">
        <v>26</v>
      </c>
      <c r="F136" t="s">
        <v>54</v>
      </c>
      <c r="G136" t="s">
        <v>907</v>
      </c>
      <c r="I136" s="15">
        <f t="shared" si="6"/>
        <v>810</v>
      </c>
      <c r="J136" s="15" t="str">
        <f t="shared" si="7"/>
        <v>08</v>
      </c>
      <c r="K136" s="15" t="str">
        <f t="shared" si="8"/>
        <v>0108</v>
      </c>
      <c r="L136" t="s">
        <v>2075</v>
      </c>
      <c r="M136">
        <v>0</v>
      </c>
      <c r="N136">
        <v>2</v>
      </c>
      <c r="O136">
        <v>7.6</v>
      </c>
      <c r="P136">
        <v>26</v>
      </c>
    </row>
    <row r="137" spans="1:16">
      <c r="A137" t="s">
        <v>1866</v>
      </c>
      <c r="B137">
        <v>0</v>
      </c>
      <c r="C137">
        <v>2</v>
      </c>
      <c r="D137">
        <v>7.2</v>
      </c>
      <c r="E137">
        <v>36</v>
      </c>
      <c r="F137" t="s">
        <v>54</v>
      </c>
      <c r="G137" t="s">
        <v>200</v>
      </c>
      <c r="I137" s="15">
        <f t="shared" si="6"/>
        <v>816</v>
      </c>
      <c r="J137" s="15" t="str">
        <f t="shared" si="7"/>
        <v>08</v>
      </c>
      <c r="K137" s="15" t="str">
        <f t="shared" si="8"/>
        <v>0108</v>
      </c>
      <c r="L137" t="s">
        <v>2075</v>
      </c>
      <c r="M137">
        <v>0</v>
      </c>
      <c r="N137">
        <v>2</v>
      </c>
      <c r="O137">
        <v>7.2</v>
      </c>
      <c r="P137">
        <v>36</v>
      </c>
    </row>
    <row r="138" spans="1:16">
      <c r="A138" t="s">
        <v>1867</v>
      </c>
      <c r="B138">
        <v>0</v>
      </c>
      <c r="C138">
        <v>5</v>
      </c>
      <c r="D138">
        <v>7.6</v>
      </c>
      <c r="E138">
        <v>90</v>
      </c>
      <c r="F138" t="s">
        <v>25</v>
      </c>
      <c r="G138" t="s">
        <v>64</v>
      </c>
      <c r="I138" s="15">
        <f t="shared" si="6"/>
        <v>909</v>
      </c>
      <c r="J138" s="15" t="str">
        <f t="shared" si="7"/>
        <v>09</v>
      </c>
      <c r="K138" s="15" t="str">
        <f t="shared" si="8"/>
        <v>0109</v>
      </c>
      <c r="L138" t="s">
        <v>2071</v>
      </c>
      <c r="M138">
        <v>0</v>
      </c>
      <c r="N138">
        <v>5</v>
      </c>
      <c r="O138">
        <v>7.6</v>
      </c>
      <c r="P138">
        <v>90</v>
      </c>
    </row>
    <row r="139" spans="1:16">
      <c r="A139" t="s">
        <v>1868</v>
      </c>
      <c r="B139">
        <v>0</v>
      </c>
      <c r="C139">
        <v>6</v>
      </c>
      <c r="D139">
        <v>7.5</v>
      </c>
      <c r="E139">
        <v>115</v>
      </c>
      <c r="F139" t="s">
        <v>78</v>
      </c>
      <c r="G139" t="s">
        <v>83</v>
      </c>
      <c r="I139" s="15">
        <f t="shared" si="6"/>
        <v>926</v>
      </c>
      <c r="J139" s="15" t="str">
        <f t="shared" si="7"/>
        <v>09</v>
      </c>
      <c r="K139" s="15" t="str">
        <f t="shared" si="8"/>
        <v>0109</v>
      </c>
      <c r="L139" t="s">
        <v>2071</v>
      </c>
      <c r="M139">
        <v>0</v>
      </c>
      <c r="N139">
        <v>6</v>
      </c>
      <c r="O139">
        <v>7.5</v>
      </c>
      <c r="P139">
        <v>115</v>
      </c>
    </row>
    <row r="140" spans="1:16">
      <c r="A140" t="s">
        <v>1824</v>
      </c>
      <c r="B140">
        <v>0</v>
      </c>
      <c r="C140">
        <v>5</v>
      </c>
      <c r="D140">
        <v>6.6</v>
      </c>
      <c r="E140">
        <v>25</v>
      </c>
      <c r="F140" t="s">
        <v>25</v>
      </c>
      <c r="G140" t="s">
        <v>64</v>
      </c>
      <c r="I140" s="15">
        <f t="shared" si="6"/>
        <v>929</v>
      </c>
      <c r="J140" s="15" t="str">
        <f t="shared" si="7"/>
        <v>09</v>
      </c>
      <c r="K140" s="15" t="str">
        <f t="shared" si="8"/>
        <v>0109</v>
      </c>
      <c r="L140" t="s">
        <v>2071</v>
      </c>
      <c r="M140">
        <v>0</v>
      </c>
      <c r="N140">
        <v>5</v>
      </c>
      <c r="O140">
        <v>6.6</v>
      </c>
      <c r="P140">
        <v>25</v>
      </c>
    </row>
    <row r="141" spans="1:16">
      <c r="A141" t="s">
        <v>1869</v>
      </c>
      <c r="B141">
        <v>0</v>
      </c>
      <c r="C141">
        <v>2</v>
      </c>
      <c r="D141">
        <v>6.7</v>
      </c>
      <c r="E141">
        <v>19</v>
      </c>
      <c r="F141" t="s">
        <v>54</v>
      </c>
      <c r="G141" t="s">
        <v>108</v>
      </c>
      <c r="I141" s="15">
        <f t="shared" si="6"/>
        <v>1004</v>
      </c>
      <c r="J141" s="15" t="str">
        <f t="shared" si="7"/>
        <v>10</v>
      </c>
      <c r="K141" s="15" t="str">
        <f t="shared" si="8"/>
        <v>0110</v>
      </c>
      <c r="L141" t="s">
        <v>2072</v>
      </c>
      <c r="M141">
        <v>0</v>
      </c>
      <c r="N141">
        <v>2</v>
      </c>
      <c r="O141">
        <v>6.7</v>
      </c>
      <c r="P141">
        <v>19</v>
      </c>
    </row>
    <row r="142" spans="1:16">
      <c r="A142" t="s">
        <v>1869</v>
      </c>
      <c r="B142">
        <v>0</v>
      </c>
      <c r="C142">
        <v>2</v>
      </c>
      <c r="D142">
        <v>6.5</v>
      </c>
      <c r="E142">
        <v>30</v>
      </c>
      <c r="F142" t="s">
        <v>54</v>
      </c>
      <c r="G142" t="s">
        <v>108</v>
      </c>
      <c r="I142" s="15">
        <f t="shared" si="6"/>
        <v>1004</v>
      </c>
      <c r="J142" s="15" t="str">
        <f t="shared" si="7"/>
        <v>10</v>
      </c>
      <c r="K142" s="15" t="str">
        <f t="shared" si="8"/>
        <v>0110</v>
      </c>
      <c r="L142" t="s">
        <v>2072</v>
      </c>
      <c r="M142">
        <v>0</v>
      </c>
      <c r="N142">
        <v>2</v>
      </c>
      <c r="O142">
        <v>6.5</v>
      </c>
      <c r="P142">
        <v>30</v>
      </c>
    </row>
    <row r="143" spans="1:16">
      <c r="A143" t="s">
        <v>1870</v>
      </c>
      <c r="B143">
        <v>0</v>
      </c>
      <c r="C143">
        <v>6</v>
      </c>
      <c r="D143">
        <v>6.8</v>
      </c>
      <c r="E143">
        <v>147</v>
      </c>
      <c r="F143" t="s">
        <v>78</v>
      </c>
      <c r="G143" t="s">
        <v>460</v>
      </c>
      <c r="I143" s="15">
        <f t="shared" si="6"/>
        <v>1117</v>
      </c>
      <c r="J143" s="15" t="str">
        <f t="shared" si="7"/>
        <v>11</v>
      </c>
      <c r="K143" s="15" t="str">
        <f t="shared" si="8"/>
        <v>0111</v>
      </c>
      <c r="L143" t="s">
        <v>2073</v>
      </c>
      <c r="M143">
        <v>0</v>
      </c>
      <c r="N143">
        <v>6</v>
      </c>
      <c r="O143">
        <v>6.8</v>
      </c>
      <c r="P143">
        <v>147</v>
      </c>
    </row>
    <row r="144" spans="1:16">
      <c r="A144" t="s">
        <v>1871</v>
      </c>
      <c r="B144">
        <v>0</v>
      </c>
      <c r="C144">
        <v>2</v>
      </c>
      <c r="D144">
        <v>6.5</v>
      </c>
      <c r="E144">
        <v>21</v>
      </c>
      <c r="F144" t="s">
        <v>54</v>
      </c>
      <c r="G144" t="s">
        <v>108</v>
      </c>
      <c r="I144" s="15">
        <f t="shared" si="6"/>
        <v>1119</v>
      </c>
      <c r="J144" s="15" t="str">
        <f t="shared" si="7"/>
        <v>11</v>
      </c>
      <c r="K144" s="15" t="str">
        <f t="shared" si="8"/>
        <v>0111</v>
      </c>
      <c r="L144" t="s">
        <v>2073</v>
      </c>
      <c r="M144">
        <v>0</v>
      </c>
      <c r="N144">
        <v>2</v>
      </c>
      <c r="O144">
        <v>6.5</v>
      </c>
      <c r="P144">
        <v>21</v>
      </c>
    </row>
    <row r="145" spans="1:16">
      <c r="A145" t="s">
        <v>1805</v>
      </c>
      <c r="B145">
        <v>0</v>
      </c>
      <c r="C145">
        <v>2</v>
      </c>
      <c r="D145">
        <v>6.5</v>
      </c>
      <c r="E145">
        <v>224.6</v>
      </c>
      <c r="F145" t="s">
        <v>54</v>
      </c>
      <c r="G145" t="s">
        <v>649</v>
      </c>
      <c r="I145" s="15">
        <f t="shared" si="6"/>
        <v>1212</v>
      </c>
      <c r="J145" s="15" t="str">
        <f t="shared" si="7"/>
        <v>12</v>
      </c>
      <c r="K145" s="15" t="str">
        <f t="shared" si="8"/>
        <v>0112</v>
      </c>
      <c r="L145" t="s">
        <v>2074</v>
      </c>
      <c r="M145">
        <v>0</v>
      </c>
      <c r="N145">
        <v>2</v>
      </c>
      <c r="O145">
        <v>6.5</v>
      </c>
      <c r="P145">
        <v>224.6</v>
      </c>
    </row>
    <row r="146" spans="1:16">
      <c r="A146" t="s">
        <v>1872</v>
      </c>
      <c r="B146">
        <v>0</v>
      </c>
      <c r="C146">
        <v>5</v>
      </c>
      <c r="D146">
        <v>6.8</v>
      </c>
      <c r="E146">
        <v>38</v>
      </c>
      <c r="F146" t="s">
        <v>25</v>
      </c>
      <c r="G146" t="s">
        <v>64</v>
      </c>
      <c r="I146" s="15">
        <f t="shared" si="6"/>
        <v>109</v>
      </c>
      <c r="J146" s="15" t="str">
        <f t="shared" si="7"/>
        <v>01</v>
      </c>
      <c r="K146" s="15" t="str">
        <f t="shared" si="8"/>
        <v>0101</v>
      </c>
      <c r="L146" t="s">
        <v>2064</v>
      </c>
      <c r="M146">
        <v>0</v>
      </c>
      <c r="N146">
        <v>5</v>
      </c>
      <c r="O146">
        <v>6.8</v>
      </c>
      <c r="P146">
        <v>38</v>
      </c>
    </row>
    <row r="147" spans="1:16">
      <c r="A147" t="s">
        <v>1873</v>
      </c>
      <c r="B147">
        <v>0</v>
      </c>
      <c r="C147">
        <v>1</v>
      </c>
      <c r="D147">
        <v>7</v>
      </c>
      <c r="E147">
        <v>11</v>
      </c>
      <c r="F147" t="s">
        <v>549</v>
      </c>
      <c r="G147" t="s">
        <v>1442</v>
      </c>
      <c r="I147" s="15">
        <f t="shared" si="6"/>
        <v>222</v>
      </c>
      <c r="J147" s="15" t="str">
        <f t="shared" si="7"/>
        <v>02</v>
      </c>
      <c r="K147" s="15" t="str">
        <f t="shared" si="8"/>
        <v>0102</v>
      </c>
      <c r="L147" t="s">
        <v>2065</v>
      </c>
      <c r="M147">
        <v>0</v>
      </c>
      <c r="N147">
        <v>1</v>
      </c>
      <c r="O147">
        <v>7</v>
      </c>
      <c r="P147">
        <v>11</v>
      </c>
    </row>
    <row r="148" spans="1:16">
      <c r="A148" t="s">
        <v>1834</v>
      </c>
      <c r="B148">
        <v>0</v>
      </c>
      <c r="C148">
        <v>5</v>
      </c>
      <c r="D148">
        <v>8</v>
      </c>
      <c r="E148">
        <v>55</v>
      </c>
      <c r="F148" t="s">
        <v>25</v>
      </c>
      <c r="G148" t="s">
        <v>1022</v>
      </c>
      <c r="I148" s="15">
        <f t="shared" si="6"/>
        <v>305</v>
      </c>
      <c r="J148" s="15" t="str">
        <f t="shared" si="7"/>
        <v>03</v>
      </c>
      <c r="K148" s="15" t="str">
        <f t="shared" si="8"/>
        <v>0103</v>
      </c>
      <c r="L148" t="s">
        <v>2066</v>
      </c>
      <c r="M148">
        <v>0</v>
      </c>
      <c r="N148">
        <v>5</v>
      </c>
      <c r="O148">
        <v>8</v>
      </c>
      <c r="P148">
        <v>55</v>
      </c>
    </row>
    <row r="149" spans="1:16">
      <c r="A149" t="s">
        <v>1834</v>
      </c>
      <c r="B149">
        <v>0</v>
      </c>
      <c r="C149">
        <v>5</v>
      </c>
      <c r="D149">
        <v>8</v>
      </c>
      <c r="E149">
        <v>60.5</v>
      </c>
      <c r="F149" t="s">
        <v>25</v>
      </c>
      <c r="G149" t="s">
        <v>1022</v>
      </c>
      <c r="I149" s="15">
        <f t="shared" si="6"/>
        <v>305</v>
      </c>
      <c r="J149" s="15" t="str">
        <f t="shared" si="7"/>
        <v>03</v>
      </c>
      <c r="K149" s="15" t="str">
        <f t="shared" si="8"/>
        <v>0103</v>
      </c>
      <c r="L149" t="s">
        <v>2066</v>
      </c>
      <c r="M149">
        <v>0</v>
      </c>
      <c r="N149">
        <v>5</v>
      </c>
      <c r="O149">
        <v>8</v>
      </c>
      <c r="P149">
        <v>60.5</v>
      </c>
    </row>
    <row r="150" spans="1:16">
      <c r="A150" t="s">
        <v>1874</v>
      </c>
      <c r="B150">
        <v>0</v>
      </c>
      <c r="C150">
        <v>2</v>
      </c>
      <c r="D150">
        <v>6.7</v>
      </c>
      <c r="E150">
        <v>30.1</v>
      </c>
      <c r="F150" t="s">
        <v>54</v>
      </c>
      <c r="G150" t="s">
        <v>108</v>
      </c>
      <c r="I150" s="15">
        <f t="shared" si="6"/>
        <v>314</v>
      </c>
      <c r="J150" s="15" t="str">
        <f t="shared" si="7"/>
        <v>03</v>
      </c>
      <c r="K150" s="15" t="str">
        <f t="shared" si="8"/>
        <v>0103</v>
      </c>
      <c r="L150" t="s">
        <v>2066</v>
      </c>
      <c r="M150">
        <v>0</v>
      </c>
      <c r="N150">
        <v>2</v>
      </c>
      <c r="O150">
        <v>6.7</v>
      </c>
      <c r="P150">
        <v>30.1</v>
      </c>
    </row>
    <row r="151" spans="1:16">
      <c r="A151" t="s">
        <v>1875</v>
      </c>
      <c r="B151">
        <v>0</v>
      </c>
      <c r="C151">
        <v>4</v>
      </c>
      <c r="D151">
        <v>6.6</v>
      </c>
      <c r="E151">
        <v>14</v>
      </c>
      <c r="F151" t="s">
        <v>47</v>
      </c>
      <c r="G151" t="s">
        <v>48</v>
      </c>
      <c r="I151" s="15">
        <f t="shared" si="6"/>
        <v>401</v>
      </c>
      <c r="J151" s="15" t="str">
        <f t="shared" si="7"/>
        <v>04</v>
      </c>
      <c r="K151" s="15" t="str">
        <f t="shared" si="8"/>
        <v>0104</v>
      </c>
      <c r="L151" t="s">
        <v>2067</v>
      </c>
      <c r="M151">
        <v>0</v>
      </c>
      <c r="N151">
        <v>4</v>
      </c>
      <c r="O151">
        <v>6.6</v>
      </c>
      <c r="P151">
        <v>14</v>
      </c>
    </row>
    <row r="152" spans="1:16">
      <c r="A152" t="s">
        <v>1876</v>
      </c>
      <c r="B152">
        <v>0</v>
      </c>
      <c r="C152">
        <v>2</v>
      </c>
      <c r="D152">
        <v>7.6</v>
      </c>
      <c r="E152">
        <v>22</v>
      </c>
      <c r="F152" t="s">
        <v>54</v>
      </c>
      <c r="G152" t="s">
        <v>295</v>
      </c>
      <c r="I152" s="15">
        <f t="shared" si="6"/>
        <v>420</v>
      </c>
      <c r="J152" s="15" t="str">
        <f t="shared" si="7"/>
        <v>04</v>
      </c>
      <c r="K152" s="15" t="str">
        <f t="shared" si="8"/>
        <v>0104</v>
      </c>
      <c r="L152" t="s">
        <v>2067</v>
      </c>
      <c r="M152">
        <v>0</v>
      </c>
      <c r="N152">
        <v>2</v>
      </c>
      <c r="O152">
        <v>7.6</v>
      </c>
      <c r="P152">
        <v>22</v>
      </c>
    </row>
    <row r="153" spans="1:16">
      <c r="A153" t="s">
        <v>1877</v>
      </c>
      <c r="B153">
        <v>0</v>
      </c>
      <c r="C153">
        <v>2</v>
      </c>
      <c r="D153">
        <v>6.6</v>
      </c>
      <c r="E153">
        <v>11</v>
      </c>
      <c r="F153" t="s">
        <v>54</v>
      </c>
      <c r="G153" t="s">
        <v>295</v>
      </c>
      <c r="I153" s="15">
        <f t="shared" si="6"/>
        <v>429</v>
      </c>
      <c r="J153" s="15" t="str">
        <f t="shared" si="7"/>
        <v>04</v>
      </c>
      <c r="K153" s="15" t="str">
        <f t="shared" si="8"/>
        <v>0104</v>
      </c>
      <c r="L153" t="s">
        <v>2067</v>
      </c>
      <c r="M153">
        <v>0</v>
      </c>
      <c r="N153">
        <v>2</v>
      </c>
      <c r="O153">
        <v>6.6</v>
      </c>
      <c r="P153">
        <v>11</v>
      </c>
    </row>
    <row r="154" spans="1:16">
      <c r="A154" t="s">
        <v>1878</v>
      </c>
      <c r="B154">
        <v>0</v>
      </c>
      <c r="C154">
        <v>6</v>
      </c>
      <c r="D154">
        <v>6.7</v>
      </c>
      <c r="E154">
        <v>12</v>
      </c>
      <c r="F154" t="s">
        <v>78</v>
      </c>
      <c r="G154" t="s">
        <v>245</v>
      </c>
      <c r="I154" s="15">
        <f t="shared" si="6"/>
        <v>430</v>
      </c>
      <c r="J154" s="15" t="str">
        <f t="shared" si="7"/>
        <v>04</v>
      </c>
      <c r="K154" s="15" t="str">
        <f t="shared" si="8"/>
        <v>0104</v>
      </c>
      <c r="L154" t="s">
        <v>2067</v>
      </c>
      <c r="M154">
        <v>0</v>
      </c>
      <c r="N154">
        <v>6</v>
      </c>
      <c r="O154">
        <v>6.7</v>
      </c>
      <c r="P154">
        <v>12</v>
      </c>
    </row>
    <row r="155" spans="1:16">
      <c r="A155" t="s">
        <v>1878</v>
      </c>
      <c r="B155">
        <v>0</v>
      </c>
      <c r="C155">
        <v>6</v>
      </c>
      <c r="D155">
        <v>6.5</v>
      </c>
      <c r="E155">
        <v>12</v>
      </c>
      <c r="F155" t="s">
        <v>78</v>
      </c>
      <c r="G155" t="s">
        <v>245</v>
      </c>
      <c r="I155" s="15">
        <f t="shared" si="6"/>
        <v>430</v>
      </c>
      <c r="J155" s="15" t="str">
        <f t="shared" si="7"/>
        <v>04</v>
      </c>
      <c r="K155" s="15" t="str">
        <f t="shared" si="8"/>
        <v>0104</v>
      </c>
      <c r="L155" t="s">
        <v>2067</v>
      </c>
      <c r="M155">
        <v>0</v>
      </c>
      <c r="N155">
        <v>6</v>
      </c>
      <c r="O155">
        <v>6.5</v>
      </c>
      <c r="P155">
        <v>12</v>
      </c>
    </row>
    <row r="156" spans="1:16">
      <c r="A156" t="s">
        <v>1879</v>
      </c>
      <c r="B156">
        <v>0</v>
      </c>
      <c r="C156">
        <v>2</v>
      </c>
      <c r="D156">
        <v>6.8</v>
      </c>
      <c r="E156">
        <v>12</v>
      </c>
      <c r="F156" t="s">
        <v>54</v>
      </c>
      <c r="G156" t="s">
        <v>108</v>
      </c>
      <c r="I156" s="15">
        <f t="shared" si="6"/>
        <v>516</v>
      </c>
      <c r="J156" s="15" t="str">
        <f t="shared" si="7"/>
        <v>05</v>
      </c>
      <c r="K156" s="15" t="str">
        <f t="shared" si="8"/>
        <v>0105</v>
      </c>
      <c r="L156" t="s">
        <v>2068</v>
      </c>
      <c r="M156">
        <v>0</v>
      </c>
      <c r="N156">
        <v>2</v>
      </c>
      <c r="O156">
        <v>6.8</v>
      </c>
      <c r="P156">
        <v>12</v>
      </c>
    </row>
    <row r="157" spans="1:16">
      <c r="A157" t="s">
        <v>1880</v>
      </c>
      <c r="B157">
        <v>0</v>
      </c>
      <c r="C157">
        <v>2</v>
      </c>
      <c r="D157">
        <v>6.6</v>
      </c>
      <c r="E157">
        <v>19</v>
      </c>
      <c r="F157" t="s">
        <v>54</v>
      </c>
      <c r="G157" t="s">
        <v>295</v>
      </c>
      <c r="I157" s="15">
        <f t="shared" si="6"/>
        <v>522</v>
      </c>
      <c r="J157" s="15" t="str">
        <f t="shared" si="7"/>
        <v>05</v>
      </c>
      <c r="K157" s="15" t="str">
        <f t="shared" si="8"/>
        <v>0105</v>
      </c>
      <c r="L157" t="s">
        <v>2068</v>
      </c>
      <c r="M157">
        <v>0</v>
      </c>
      <c r="N157">
        <v>2</v>
      </c>
      <c r="O157">
        <v>6.6</v>
      </c>
      <c r="P157">
        <v>19</v>
      </c>
    </row>
    <row r="158" spans="1:16">
      <c r="A158" t="s">
        <v>1881</v>
      </c>
      <c r="B158">
        <v>0</v>
      </c>
      <c r="C158">
        <v>5</v>
      </c>
      <c r="D158">
        <v>6.5</v>
      </c>
      <c r="E158">
        <v>34</v>
      </c>
      <c r="F158" t="s">
        <v>25</v>
      </c>
      <c r="G158" t="s">
        <v>64</v>
      </c>
      <c r="I158" s="15">
        <f t="shared" si="6"/>
        <v>528</v>
      </c>
      <c r="J158" s="15" t="str">
        <f t="shared" si="7"/>
        <v>05</v>
      </c>
      <c r="K158" s="15" t="str">
        <f t="shared" si="8"/>
        <v>0105</v>
      </c>
      <c r="L158" t="s">
        <v>2068</v>
      </c>
      <c r="M158">
        <v>0</v>
      </c>
      <c r="N158">
        <v>5</v>
      </c>
      <c r="O158">
        <v>6.5</v>
      </c>
      <c r="P158">
        <v>34</v>
      </c>
    </row>
    <row r="159" spans="1:16">
      <c r="A159" t="s">
        <v>1882</v>
      </c>
      <c r="B159">
        <v>0</v>
      </c>
      <c r="C159">
        <v>5</v>
      </c>
      <c r="D159">
        <v>6.5</v>
      </c>
      <c r="E159">
        <v>14</v>
      </c>
      <c r="F159" t="s">
        <v>25</v>
      </c>
      <c r="G159" t="s">
        <v>31</v>
      </c>
      <c r="I159" s="15">
        <f t="shared" si="6"/>
        <v>704</v>
      </c>
      <c r="J159" s="15" t="str">
        <f t="shared" si="7"/>
        <v>07</v>
      </c>
      <c r="K159" s="15" t="str">
        <f t="shared" si="8"/>
        <v>0107</v>
      </c>
      <c r="L159" t="s">
        <v>2070</v>
      </c>
      <c r="M159">
        <v>0</v>
      </c>
      <c r="N159">
        <v>5</v>
      </c>
      <c r="O159">
        <v>6.5</v>
      </c>
      <c r="P159">
        <v>14</v>
      </c>
    </row>
    <row r="160" spans="1:16">
      <c r="A160" t="s">
        <v>1883</v>
      </c>
      <c r="B160">
        <v>0</v>
      </c>
      <c r="C160">
        <v>5</v>
      </c>
      <c r="D160">
        <v>6.8</v>
      </c>
      <c r="E160">
        <v>150</v>
      </c>
      <c r="F160" t="s">
        <v>25</v>
      </c>
      <c r="G160" t="s">
        <v>163</v>
      </c>
      <c r="I160" s="15">
        <f t="shared" si="6"/>
        <v>708</v>
      </c>
      <c r="J160" s="15" t="str">
        <f t="shared" si="7"/>
        <v>07</v>
      </c>
      <c r="K160" s="15" t="str">
        <f t="shared" si="8"/>
        <v>0107</v>
      </c>
      <c r="L160" t="s">
        <v>2070</v>
      </c>
      <c r="M160">
        <v>0</v>
      </c>
      <c r="N160">
        <v>5</v>
      </c>
      <c r="O160">
        <v>6.8</v>
      </c>
      <c r="P160">
        <v>150</v>
      </c>
    </row>
    <row r="161" spans="1:16">
      <c r="A161" t="s">
        <v>1884</v>
      </c>
      <c r="B161">
        <v>0</v>
      </c>
      <c r="C161">
        <v>5</v>
      </c>
      <c r="D161">
        <v>6.6</v>
      </c>
      <c r="E161">
        <v>11</v>
      </c>
      <c r="F161" t="s">
        <v>25</v>
      </c>
      <c r="G161" t="s">
        <v>64</v>
      </c>
      <c r="I161" s="15">
        <f t="shared" si="6"/>
        <v>711</v>
      </c>
      <c r="J161" s="15" t="str">
        <f t="shared" si="7"/>
        <v>07</v>
      </c>
      <c r="K161" s="15" t="str">
        <f t="shared" si="8"/>
        <v>0107</v>
      </c>
      <c r="L161" t="s">
        <v>2070</v>
      </c>
      <c r="M161">
        <v>0</v>
      </c>
      <c r="N161">
        <v>5</v>
      </c>
      <c r="O161">
        <v>6.6</v>
      </c>
      <c r="P161">
        <v>11</v>
      </c>
    </row>
    <row r="162" spans="1:16">
      <c r="A162" t="s">
        <v>1885</v>
      </c>
      <c r="B162">
        <v>0</v>
      </c>
      <c r="C162">
        <v>2</v>
      </c>
      <c r="D162">
        <v>7.7</v>
      </c>
      <c r="E162">
        <v>20</v>
      </c>
      <c r="F162" t="s">
        <v>54</v>
      </c>
      <c r="G162" t="s">
        <v>108</v>
      </c>
      <c r="I162" s="15">
        <f t="shared" si="6"/>
        <v>717</v>
      </c>
      <c r="J162" s="15" t="str">
        <f t="shared" si="7"/>
        <v>07</v>
      </c>
      <c r="K162" s="15" t="str">
        <f t="shared" si="8"/>
        <v>0107</v>
      </c>
      <c r="L162" t="s">
        <v>2070</v>
      </c>
      <c r="M162">
        <v>0</v>
      </c>
      <c r="N162">
        <v>2</v>
      </c>
      <c r="O162">
        <v>7.7</v>
      </c>
      <c r="P162">
        <v>20</v>
      </c>
    </row>
    <row r="163" spans="1:16">
      <c r="A163" t="s">
        <v>1886</v>
      </c>
      <c r="B163">
        <v>0</v>
      </c>
      <c r="C163">
        <v>3</v>
      </c>
      <c r="D163">
        <v>6.7</v>
      </c>
      <c r="E163">
        <v>66</v>
      </c>
      <c r="F163" t="s">
        <v>234</v>
      </c>
      <c r="G163" t="s">
        <v>235</v>
      </c>
      <c r="I163" s="15">
        <f t="shared" si="6"/>
        <v>801</v>
      </c>
      <c r="J163" s="15" t="str">
        <f t="shared" si="7"/>
        <v>08</v>
      </c>
      <c r="K163" s="15" t="str">
        <f t="shared" si="8"/>
        <v>0108</v>
      </c>
      <c r="L163" t="s">
        <v>2075</v>
      </c>
      <c r="M163">
        <v>0</v>
      </c>
      <c r="N163">
        <v>3</v>
      </c>
      <c r="O163">
        <v>6.7</v>
      </c>
      <c r="P163">
        <v>66</v>
      </c>
    </row>
    <row r="164" spans="1:16">
      <c r="A164" t="s">
        <v>1887</v>
      </c>
      <c r="B164">
        <v>0</v>
      </c>
      <c r="C164">
        <v>2</v>
      </c>
      <c r="D164">
        <v>6.5</v>
      </c>
      <c r="E164">
        <v>43</v>
      </c>
      <c r="F164" t="s">
        <v>54</v>
      </c>
      <c r="G164" t="s">
        <v>295</v>
      </c>
      <c r="I164" s="15">
        <f t="shared" si="6"/>
        <v>824</v>
      </c>
      <c r="J164" s="15" t="str">
        <f t="shared" si="7"/>
        <v>08</v>
      </c>
      <c r="K164" s="15" t="str">
        <f t="shared" si="8"/>
        <v>0108</v>
      </c>
      <c r="L164" t="s">
        <v>2075</v>
      </c>
      <c r="M164">
        <v>0</v>
      </c>
      <c r="N164">
        <v>2</v>
      </c>
      <c r="O164">
        <v>6.5</v>
      </c>
      <c r="P164">
        <v>43</v>
      </c>
    </row>
    <row r="165" spans="1:16">
      <c r="A165" t="s">
        <v>1888</v>
      </c>
      <c r="B165">
        <v>0</v>
      </c>
      <c r="C165">
        <v>5</v>
      </c>
      <c r="D165">
        <v>6.9</v>
      </c>
      <c r="E165">
        <v>28</v>
      </c>
      <c r="F165" t="s">
        <v>25</v>
      </c>
      <c r="G165" t="s">
        <v>1022</v>
      </c>
      <c r="I165" s="15">
        <f t="shared" si="6"/>
        <v>928</v>
      </c>
      <c r="J165" s="15" t="str">
        <f t="shared" si="7"/>
        <v>09</v>
      </c>
      <c r="K165" s="15" t="str">
        <f t="shared" si="8"/>
        <v>0109</v>
      </c>
      <c r="L165" t="s">
        <v>2071</v>
      </c>
      <c r="M165">
        <v>0</v>
      </c>
      <c r="N165">
        <v>5</v>
      </c>
      <c r="O165">
        <v>6.9</v>
      </c>
      <c r="P165">
        <v>28</v>
      </c>
    </row>
    <row r="166" spans="1:16">
      <c r="A166" t="s">
        <v>1846</v>
      </c>
      <c r="B166">
        <v>0</v>
      </c>
      <c r="C166">
        <v>4</v>
      </c>
      <c r="D166">
        <v>6.7</v>
      </c>
      <c r="E166">
        <v>38.182000000000002</v>
      </c>
      <c r="F166" t="s">
        <v>47</v>
      </c>
      <c r="G166" t="s">
        <v>1754</v>
      </c>
      <c r="I166" s="15">
        <f t="shared" si="6"/>
        <v>1015</v>
      </c>
      <c r="J166" s="15" t="str">
        <f t="shared" si="7"/>
        <v>10</v>
      </c>
      <c r="K166" s="15" t="str">
        <f t="shared" si="8"/>
        <v>0110</v>
      </c>
      <c r="L166" t="s">
        <v>2072</v>
      </c>
      <c r="M166">
        <v>0</v>
      </c>
      <c r="N166">
        <v>4</v>
      </c>
      <c r="O166">
        <v>6.7</v>
      </c>
      <c r="P166">
        <v>38.182000000000002</v>
      </c>
    </row>
    <row r="167" spans="1:16">
      <c r="A167" t="s">
        <v>1889</v>
      </c>
      <c r="B167">
        <v>0</v>
      </c>
      <c r="C167">
        <v>5</v>
      </c>
      <c r="D167">
        <v>6.7</v>
      </c>
      <c r="E167">
        <v>32</v>
      </c>
      <c r="F167" t="s">
        <v>25</v>
      </c>
      <c r="G167" t="s">
        <v>64</v>
      </c>
      <c r="I167" s="15">
        <f t="shared" si="6"/>
        <v>1017</v>
      </c>
      <c r="J167" s="15" t="str">
        <f t="shared" si="7"/>
        <v>10</v>
      </c>
      <c r="K167" s="15" t="str">
        <f t="shared" si="8"/>
        <v>0110</v>
      </c>
      <c r="L167" t="s">
        <v>2072</v>
      </c>
      <c r="M167">
        <v>0</v>
      </c>
      <c r="N167">
        <v>5</v>
      </c>
      <c r="O167">
        <v>6.7</v>
      </c>
      <c r="P167">
        <v>32</v>
      </c>
    </row>
    <row r="168" spans="1:16">
      <c r="A168" t="s">
        <v>1890</v>
      </c>
      <c r="B168">
        <v>0</v>
      </c>
      <c r="C168">
        <v>6</v>
      </c>
      <c r="D168">
        <v>6.7</v>
      </c>
      <c r="E168">
        <v>23</v>
      </c>
      <c r="F168" t="s">
        <v>78</v>
      </c>
      <c r="G168" t="s">
        <v>83</v>
      </c>
      <c r="I168" s="15">
        <f t="shared" si="6"/>
        <v>1020</v>
      </c>
      <c r="J168" s="15" t="str">
        <f t="shared" si="7"/>
        <v>10</v>
      </c>
      <c r="K168" s="15" t="str">
        <f t="shared" si="8"/>
        <v>0110</v>
      </c>
      <c r="L168" t="s">
        <v>2072</v>
      </c>
      <c r="M168">
        <v>0</v>
      </c>
      <c r="N168">
        <v>6</v>
      </c>
      <c r="O168">
        <v>6.7</v>
      </c>
      <c r="P168">
        <v>23</v>
      </c>
    </row>
    <row r="169" spans="1:16">
      <c r="A169" t="s">
        <v>1848</v>
      </c>
      <c r="B169">
        <v>0</v>
      </c>
      <c r="C169">
        <v>2</v>
      </c>
      <c r="D169">
        <v>8.3000000000000007</v>
      </c>
      <c r="E169">
        <v>10</v>
      </c>
      <c r="F169" t="s">
        <v>54</v>
      </c>
      <c r="G169" t="s">
        <v>1750</v>
      </c>
      <c r="I169" s="15">
        <f t="shared" si="6"/>
        <v>1115</v>
      </c>
      <c r="J169" s="15" t="str">
        <f t="shared" si="7"/>
        <v>11</v>
      </c>
      <c r="K169" s="15" t="str">
        <f t="shared" si="8"/>
        <v>0111</v>
      </c>
      <c r="L169" t="s">
        <v>2073</v>
      </c>
      <c r="M169">
        <v>0</v>
      </c>
      <c r="N169">
        <v>2</v>
      </c>
      <c r="O169">
        <v>8.3000000000000007</v>
      </c>
      <c r="P169">
        <v>10</v>
      </c>
    </row>
    <row r="170" spans="1:16">
      <c r="A170" t="s">
        <v>1831</v>
      </c>
      <c r="B170">
        <v>0</v>
      </c>
      <c r="C170">
        <v>2</v>
      </c>
      <c r="D170">
        <v>7.1</v>
      </c>
      <c r="E170">
        <v>10</v>
      </c>
      <c r="F170" t="s">
        <v>54</v>
      </c>
      <c r="G170" t="s">
        <v>55</v>
      </c>
      <c r="I170" s="15">
        <f t="shared" si="6"/>
        <v>1226</v>
      </c>
      <c r="J170" s="15" t="str">
        <f t="shared" si="7"/>
        <v>12</v>
      </c>
      <c r="K170" s="15" t="str">
        <f t="shared" si="8"/>
        <v>0112</v>
      </c>
      <c r="L170" t="s">
        <v>2074</v>
      </c>
      <c r="M170">
        <v>0</v>
      </c>
      <c r="N170">
        <v>2</v>
      </c>
      <c r="O170">
        <v>7.1</v>
      </c>
      <c r="P170">
        <v>10</v>
      </c>
    </row>
    <row r="171" spans="1:16">
      <c r="A171" t="s">
        <v>1831</v>
      </c>
      <c r="B171">
        <v>0</v>
      </c>
      <c r="C171">
        <v>2</v>
      </c>
      <c r="D171">
        <v>6.9</v>
      </c>
      <c r="E171">
        <v>10</v>
      </c>
      <c r="F171" t="s">
        <v>54</v>
      </c>
      <c r="G171" t="s">
        <v>55</v>
      </c>
      <c r="I171" s="15">
        <f t="shared" si="6"/>
        <v>1226</v>
      </c>
      <c r="J171" s="15" t="str">
        <f t="shared" si="7"/>
        <v>12</v>
      </c>
      <c r="K171" s="15" t="str">
        <f t="shared" si="8"/>
        <v>0112</v>
      </c>
      <c r="L171" t="s">
        <v>2074</v>
      </c>
      <c r="M171">
        <v>0</v>
      </c>
      <c r="N171">
        <v>2</v>
      </c>
      <c r="O171">
        <v>6.9</v>
      </c>
      <c r="P171">
        <v>10</v>
      </c>
    </row>
    <row r="172" spans="1:16">
      <c r="A172" t="s">
        <v>1891</v>
      </c>
      <c r="B172">
        <v>0</v>
      </c>
      <c r="C172">
        <v>5</v>
      </c>
      <c r="D172">
        <v>8.1</v>
      </c>
      <c r="E172">
        <v>24</v>
      </c>
      <c r="F172" t="s">
        <v>25</v>
      </c>
      <c r="G172" t="s">
        <v>26</v>
      </c>
      <c r="I172" s="15">
        <f t="shared" si="6"/>
        <v>104</v>
      </c>
      <c r="J172" s="15" t="str">
        <f t="shared" si="7"/>
        <v>01</v>
      </c>
      <c r="K172" s="15" t="str">
        <f t="shared" si="8"/>
        <v>0101</v>
      </c>
      <c r="L172" t="s">
        <v>2064</v>
      </c>
      <c r="M172">
        <v>0</v>
      </c>
      <c r="N172">
        <v>5</v>
      </c>
      <c r="O172">
        <v>8.1</v>
      </c>
      <c r="P172">
        <v>24</v>
      </c>
    </row>
    <row r="173" spans="1:16">
      <c r="A173" t="s">
        <v>1891</v>
      </c>
      <c r="B173">
        <v>0</v>
      </c>
      <c r="C173">
        <v>5</v>
      </c>
      <c r="D173">
        <v>6.6</v>
      </c>
      <c r="E173">
        <v>10</v>
      </c>
      <c r="F173" t="s">
        <v>25</v>
      </c>
      <c r="G173" t="s">
        <v>64</v>
      </c>
      <c r="I173" s="15">
        <f t="shared" si="6"/>
        <v>104</v>
      </c>
      <c r="J173" s="15" t="str">
        <f t="shared" si="7"/>
        <v>01</v>
      </c>
      <c r="K173" s="15" t="str">
        <f t="shared" si="8"/>
        <v>0101</v>
      </c>
      <c r="L173" t="s">
        <v>2064</v>
      </c>
      <c r="M173">
        <v>0</v>
      </c>
      <c r="N173">
        <v>5</v>
      </c>
      <c r="O173">
        <v>6.6</v>
      </c>
      <c r="P173">
        <v>10</v>
      </c>
    </row>
    <row r="174" spans="1:16">
      <c r="A174" t="s">
        <v>1891</v>
      </c>
      <c r="B174">
        <v>0</v>
      </c>
      <c r="C174">
        <v>5</v>
      </c>
      <c r="D174">
        <v>6.9</v>
      </c>
      <c r="E174">
        <v>10</v>
      </c>
      <c r="F174" t="s">
        <v>25</v>
      </c>
      <c r="G174" t="s">
        <v>64</v>
      </c>
      <c r="I174" s="15">
        <f t="shared" si="6"/>
        <v>104</v>
      </c>
      <c r="J174" s="15" t="str">
        <f t="shared" si="7"/>
        <v>01</v>
      </c>
      <c r="K174" s="15" t="str">
        <f t="shared" si="8"/>
        <v>0101</v>
      </c>
      <c r="L174" t="s">
        <v>2064</v>
      </c>
      <c r="M174">
        <v>0</v>
      </c>
      <c r="N174">
        <v>5</v>
      </c>
      <c r="O174">
        <v>6.9</v>
      </c>
      <c r="P174">
        <v>10</v>
      </c>
    </row>
    <row r="175" spans="1:16">
      <c r="A175" t="s">
        <v>1892</v>
      </c>
      <c r="B175">
        <v>0</v>
      </c>
      <c r="C175">
        <v>5</v>
      </c>
      <c r="D175">
        <v>7.2</v>
      </c>
      <c r="E175">
        <v>120</v>
      </c>
      <c r="F175" t="s">
        <v>25</v>
      </c>
      <c r="G175" t="s">
        <v>163</v>
      </c>
      <c r="I175" s="15">
        <f t="shared" si="6"/>
        <v>108</v>
      </c>
      <c r="J175" s="15" t="str">
        <f t="shared" si="7"/>
        <v>01</v>
      </c>
      <c r="K175" s="15" t="str">
        <f t="shared" si="8"/>
        <v>0101</v>
      </c>
      <c r="L175" t="s">
        <v>2064</v>
      </c>
      <c r="M175">
        <v>0</v>
      </c>
      <c r="N175">
        <v>5</v>
      </c>
      <c r="O175">
        <v>7.2</v>
      </c>
      <c r="P175">
        <v>120</v>
      </c>
    </row>
    <row r="176" spans="1:16">
      <c r="A176" t="s">
        <v>1759</v>
      </c>
      <c r="B176">
        <v>0</v>
      </c>
      <c r="C176">
        <v>8</v>
      </c>
      <c r="D176">
        <v>8.1</v>
      </c>
      <c r="E176">
        <v>10</v>
      </c>
      <c r="F176" t="s">
        <v>1749</v>
      </c>
      <c r="G176" t="s">
        <v>1750</v>
      </c>
      <c r="I176" s="15">
        <f t="shared" si="6"/>
        <v>113</v>
      </c>
      <c r="J176" s="15" t="str">
        <f t="shared" si="7"/>
        <v>01</v>
      </c>
      <c r="K176" s="15" t="str">
        <f t="shared" si="8"/>
        <v>0101</v>
      </c>
      <c r="L176" t="s">
        <v>2064</v>
      </c>
      <c r="M176">
        <v>0</v>
      </c>
      <c r="N176">
        <v>8</v>
      </c>
      <c r="O176">
        <v>8.1</v>
      </c>
      <c r="P176">
        <v>10</v>
      </c>
    </row>
    <row r="177" spans="1:16">
      <c r="A177" t="s">
        <v>1808</v>
      </c>
      <c r="B177">
        <v>0</v>
      </c>
      <c r="C177">
        <v>2</v>
      </c>
      <c r="D177">
        <v>7.5</v>
      </c>
      <c r="E177">
        <v>22</v>
      </c>
      <c r="F177" t="s">
        <v>54</v>
      </c>
      <c r="G177" t="s">
        <v>108</v>
      </c>
      <c r="I177" s="15">
        <f t="shared" si="6"/>
        <v>121</v>
      </c>
      <c r="J177" s="15" t="str">
        <f t="shared" si="7"/>
        <v>01</v>
      </c>
      <c r="K177" s="15" t="str">
        <f t="shared" si="8"/>
        <v>0101</v>
      </c>
      <c r="L177" t="s">
        <v>2064</v>
      </c>
      <c r="M177">
        <v>0</v>
      </c>
      <c r="N177">
        <v>2</v>
      </c>
      <c r="O177">
        <v>7.5</v>
      </c>
      <c r="P177">
        <v>22</v>
      </c>
    </row>
    <row r="178" spans="1:16">
      <c r="A178" t="s">
        <v>1893</v>
      </c>
      <c r="B178">
        <v>0</v>
      </c>
      <c r="C178">
        <v>5</v>
      </c>
      <c r="D178">
        <v>7.2</v>
      </c>
      <c r="E178">
        <v>35</v>
      </c>
      <c r="F178" t="s">
        <v>25</v>
      </c>
      <c r="G178" t="s">
        <v>26</v>
      </c>
      <c r="I178" s="15">
        <f t="shared" si="6"/>
        <v>209</v>
      </c>
      <c r="J178" s="15" t="str">
        <f t="shared" si="7"/>
        <v>02</v>
      </c>
      <c r="K178" s="15" t="str">
        <f t="shared" si="8"/>
        <v>0102</v>
      </c>
      <c r="L178" t="s">
        <v>2065</v>
      </c>
      <c r="M178">
        <v>0</v>
      </c>
      <c r="N178">
        <v>5</v>
      </c>
      <c r="O178">
        <v>7.2</v>
      </c>
      <c r="P178">
        <v>35</v>
      </c>
    </row>
    <row r="179" spans="1:16">
      <c r="A179" t="s">
        <v>1894</v>
      </c>
      <c r="B179">
        <v>0</v>
      </c>
      <c r="C179">
        <v>2</v>
      </c>
      <c r="D179">
        <v>6.7</v>
      </c>
      <c r="E179">
        <v>12</v>
      </c>
      <c r="F179" t="s">
        <v>54</v>
      </c>
      <c r="G179" t="s">
        <v>108</v>
      </c>
      <c r="I179" s="15">
        <f t="shared" si="6"/>
        <v>220</v>
      </c>
      <c r="J179" s="15" t="str">
        <f t="shared" si="7"/>
        <v>02</v>
      </c>
      <c r="K179" s="15" t="str">
        <f t="shared" si="8"/>
        <v>0102</v>
      </c>
      <c r="L179" t="s">
        <v>2065</v>
      </c>
      <c r="M179">
        <v>0</v>
      </c>
      <c r="N179">
        <v>2</v>
      </c>
      <c r="O179">
        <v>6.7</v>
      </c>
      <c r="P179">
        <v>12</v>
      </c>
    </row>
    <row r="180" spans="1:16">
      <c r="A180" t="s">
        <v>1810</v>
      </c>
      <c r="B180">
        <v>0</v>
      </c>
      <c r="C180">
        <v>5</v>
      </c>
      <c r="D180">
        <v>7.1</v>
      </c>
      <c r="E180">
        <v>34</v>
      </c>
      <c r="F180" t="s">
        <v>25</v>
      </c>
      <c r="G180" t="s">
        <v>163</v>
      </c>
      <c r="I180" s="15">
        <f t="shared" si="6"/>
        <v>325</v>
      </c>
      <c r="J180" s="15" t="str">
        <f t="shared" si="7"/>
        <v>03</v>
      </c>
      <c r="K180" s="15" t="str">
        <f t="shared" si="8"/>
        <v>0103</v>
      </c>
      <c r="L180" t="s">
        <v>2066</v>
      </c>
      <c r="M180">
        <v>0</v>
      </c>
      <c r="N180">
        <v>5</v>
      </c>
      <c r="O180">
        <v>7.1</v>
      </c>
      <c r="P180">
        <v>34</v>
      </c>
    </row>
    <row r="181" spans="1:16">
      <c r="A181" t="s">
        <v>1810</v>
      </c>
      <c r="B181">
        <v>0</v>
      </c>
      <c r="C181">
        <v>2</v>
      </c>
      <c r="D181">
        <v>6.7</v>
      </c>
      <c r="E181">
        <v>8</v>
      </c>
      <c r="F181" t="s">
        <v>54</v>
      </c>
      <c r="G181" t="s">
        <v>200</v>
      </c>
      <c r="I181" s="15">
        <f t="shared" si="6"/>
        <v>325</v>
      </c>
      <c r="J181" s="15" t="str">
        <f t="shared" si="7"/>
        <v>03</v>
      </c>
      <c r="K181" s="15" t="str">
        <f t="shared" si="8"/>
        <v>0103</v>
      </c>
      <c r="L181" t="s">
        <v>2066</v>
      </c>
      <c r="M181">
        <v>0</v>
      </c>
      <c r="N181">
        <v>2</v>
      </c>
      <c r="O181">
        <v>6.7</v>
      </c>
      <c r="P181">
        <v>8</v>
      </c>
    </row>
    <row r="182" spans="1:16">
      <c r="A182" t="s">
        <v>1863</v>
      </c>
      <c r="B182">
        <v>0</v>
      </c>
      <c r="C182">
        <v>6</v>
      </c>
      <c r="D182">
        <v>6.7</v>
      </c>
      <c r="E182">
        <v>23</v>
      </c>
      <c r="F182" t="s">
        <v>78</v>
      </c>
      <c r="G182" t="s">
        <v>534</v>
      </c>
      <c r="I182" s="15">
        <f t="shared" si="6"/>
        <v>613</v>
      </c>
      <c r="J182" s="15" t="str">
        <f t="shared" si="7"/>
        <v>06</v>
      </c>
      <c r="K182" s="15" t="str">
        <f t="shared" si="8"/>
        <v>0106</v>
      </c>
      <c r="L182" t="s">
        <v>2069</v>
      </c>
      <c r="M182">
        <v>0</v>
      </c>
      <c r="N182">
        <v>6</v>
      </c>
      <c r="O182">
        <v>6.7</v>
      </c>
      <c r="P182">
        <v>23</v>
      </c>
    </row>
    <row r="183" spans="1:16">
      <c r="A183" t="s">
        <v>1895</v>
      </c>
      <c r="B183">
        <v>0</v>
      </c>
      <c r="C183">
        <v>2</v>
      </c>
      <c r="D183">
        <v>6.6</v>
      </c>
      <c r="E183">
        <v>12</v>
      </c>
      <c r="F183" t="s">
        <v>54</v>
      </c>
      <c r="G183" t="s">
        <v>200</v>
      </c>
      <c r="I183" s="15">
        <f t="shared" si="6"/>
        <v>716</v>
      </c>
      <c r="J183" s="15" t="str">
        <f t="shared" si="7"/>
        <v>07</v>
      </c>
      <c r="K183" s="15" t="str">
        <f t="shared" si="8"/>
        <v>0107</v>
      </c>
      <c r="L183" t="s">
        <v>2070</v>
      </c>
      <c r="M183">
        <v>0</v>
      </c>
      <c r="N183">
        <v>2</v>
      </c>
      <c r="O183">
        <v>6.6</v>
      </c>
      <c r="P183">
        <v>12</v>
      </c>
    </row>
    <row r="184" spans="1:16">
      <c r="A184" t="s">
        <v>1895</v>
      </c>
      <c r="B184">
        <v>0</v>
      </c>
      <c r="C184">
        <v>2</v>
      </c>
      <c r="D184">
        <v>6.8</v>
      </c>
      <c r="E184">
        <v>350.4</v>
      </c>
      <c r="F184" t="s">
        <v>54</v>
      </c>
      <c r="G184" t="s">
        <v>200</v>
      </c>
      <c r="I184" s="15">
        <f t="shared" si="6"/>
        <v>716</v>
      </c>
      <c r="J184" s="15" t="str">
        <f t="shared" si="7"/>
        <v>07</v>
      </c>
      <c r="K184" s="15" t="str">
        <f t="shared" si="8"/>
        <v>0107</v>
      </c>
      <c r="L184" t="s">
        <v>2070</v>
      </c>
      <c r="M184">
        <v>0</v>
      </c>
      <c r="N184">
        <v>2</v>
      </c>
      <c r="O184">
        <v>6.8</v>
      </c>
      <c r="P184">
        <v>350.4</v>
      </c>
    </row>
    <row r="185" spans="1:16">
      <c r="A185" t="s">
        <v>1773</v>
      </c>
      <c r="B185">
        <v>0</v>
      </c>
      <c r="C185">
        <v>2</v>
      </c>
      <c r="D185">
        <v>6.9</v>
      </c>
      <c r="E185">
        <v>25</v>
      </c>
      <c r="F185" t="s">
        <v>54</v>
      </c>
      <c r="G185" t="s">
        <v>108</v>
      </c>
      <c r="I185" s="15">
        <f t="shared" si="6"/>
        <v>726</v>
      </c>
      <c r="J185" s="15" t="str">
        <f t="shared" si="7"/>
        <v>07</v>
      </c>
      <c r="K185" s="15" t="str">
        <f t="shared" si="8"/>
        <v>0107</v>
      </c>
      <c r="L185" t="s">
        <v>2070</v>
      </c>
      <c r="M185">
        <v>0</v>
      </c>
      <c r="N185">
        <v>2</v>
      </c>
      <c r="O185">
        <v>6.9</v>
      </c>
      <c r="P185">
        <v>25</v>
      </c>
    </row>
    <row r="186" spans="1:16">
      <c r="A186" t="s">
        <v>1896</v>
      </c>
      <c r="B186">
        <v>0</v>
      </c>
      <c r="C186">
        <v>2</v>
      </c>
      <c r="D186">
        <v>7.5</v>
      </c>
      <c r="E186">
        <v>280</v>
      </c>
      <c r="F186" t="s">
        <v>54</v>
      </c>
      <c r="G186" t="s">
        <v>108</v>
      </c>
      <c r="I186" s="15">
        <f t="shared" si="6"/>
        <v>808</v>
      </c>
      <c r="J186" s="15" t="str">
        <f t="shared" si="7"/>
        <v>08</v>
      </c>
      <c r="K186" s="15" t="str">
        <f t="shared" si="8"/>
        <v>0108</v>
      </c>
      <c r="L186" t="s">
        <v>2075</v>
      </c>
      <c r="M186">
        <v>0</v>
      </c>
      <c r="N186">
        <v>2</v>
      </c>
      <c r="O186">
        <v>7.5</v>
      </c>
      <c r="P186">
        <v>280</v>
      </c>
    </row>
    <row r="187" spans="1:16">
      <c r="A187" t="s">
        <v>1897</v>
      </c>
      <c r="B187">
        <v>0</v>
      </c>
      <c r="C187">
        <v>6</v>
      </c>
      <c r="D187">
        <v>8</v>
      </c>
      <c r="E187">
        <v>39</v>
      </c>
      <c r="F187" t="s">
        <v>78</v>
      </c>
      <c r="G187" t="s">
        <v>83</v>
      </c>
      <c r="I187" s="15">
        <f t="shared" si="6"/>
        <v>815</v>
      </c>
      <c r="J187" s="15" t="str">
        <f t="shared" si="7"/>
        <v>08</v>
      </c>
      <c r="K187" s="15" t="str">
        <f t="shared" si="8"/>
        <v>0108</v>
      </c>
      <c r="L187" t="s">
        <v>2075</v>
      </c>
      <c r="M187">
        <v>0</v>
      </c>
      <c r="N187">
        <v>6</v>
      </c>
      <c r="O187">
        <v>8</v>
      </c>
      <c r="P187">
        <v>39</v>
      </c>
    </row>
    <row r="188" spans="1:16">
      <c r="A188" t="s">
        <v>1866</v>
      </c>
      <c r="B188">
        <v>0</v>
      </c>
      <c r="C188">
        <v>5</v>
      </c>
      <c r="D188">
        <v>6.5</v>
      </c>
      <c r="E188">
        <v>15</v>
      </c>
      <c r="F188" t="s">
        <v>25</v>
      </c>
      <c r="G188" t="s">
        <v>26</v>
      </c>
      <c r="I188" s="15">
        <f t="shared" si="6"/>
        <v>816</v>
      </c>
      <c r="J188" s="15" t="str">
        <f t="shared" si="7"/>
        <v>08</v>
      </c>
      <c r="K188" s="15" t="str">
        <f t="shared" si="8"/>
        <v>0108</v>
      </c>
      <c r="L188" t="s">
        <v>2075</v>
      </c>
      <c r="M188">
        <v>0</v>
      </c>
      <c r="N188">
        <v>5</v>
      </c>
      <c r="O188">
        <v>6.5</v>
      </c>
      <c r="P188">
        <v>15</v>
      </c>
    </row>
    <row r="189" spans="1:16">
      <c r="A189" t="s">
        <v>1802</v>
      </c>
      <c r="B189">
        <v>0</v>
      </c>
      <c r="C189">
        <v>2</v>
      </c>
      <c r="D189">
        <v>6.5</v>
      </c>
      <c r="E189">
        <v>28.9</v>
      </c>
      <c r="F189" t="s">
        <v>54</v>
      </c>
      <c r="G189" t="s">
        <v>108</v>
      </c>
      <c r="I189" s="15">
        <f t="shared" si="6"/>
        <v>913</v>
      </c>
      <c r="J189" s="15" t="str">
        <f t="shared" si="7"/>
        <v>09</v>
      </c>
      <c r="K189" s="15" t="str">
        <f t="shared" si="8"/>
        <v>0109</v>
      </c>
      <c r="L189" t="s">
        <v>2071</v>
      </c>
      <c r="M189">
        <v>0</v>
      </c>
      <c r="N189">
        <v>2</v>
      </c>
      <c r="O189">
        <v>6.5</v>
      </c>
      <c r="P189">
        <v>28.9</v>
      </c>
    </row>
    <row r="190" spans="1:16">
      <c r="A190" t="s">
        <v>1802</v>
      </c>
      <c r="B190">
        <v>0</v>
      </c>
      <c r="C190">
        <v>2</v>
      </c>
      <c r="D190">
        <v>7</v>
      </c>
      <c r="E190">
        <v>22</v>
      </c>
      <c r="F190" t="s">
        <v>54</v>
      </c>
      <c r="G190" t="s">
        <v>108</v>
      </c>
      <c r="I190" s="15">
        <f t="shared" si="6"/>
        <v>913</v>
      </c>
      <c r="J190" s="15" t="str">
        <f t="shared" si="7"/>
        <v>09</v>
      </c>
      <c r="K190" s="15" t="str">
        <f t="shared" si="8"/>
        <v>0109</v>
      </c>
      <c r="L190" t="s">
        <v>2071</v>
      </c>
      <c r="M190">
        <v>0</v>
      </c>
      <c r="N190">
        <v>2</v>
      </c>
      <c r="O190">
        <v>7</v>
      </c>
      <c r="P190">
        <v>22</v>
      </c>
    </row>
    <row r="191" spans="1:16">
      <c r="A191" t="s">
        <v>1898</v>
      </c>
      <c r="B191">
        <v>0</v>
      </c>
      <c r="C191">
        <v>2</v>
      </c>
      <c r="D191">
        <v>6.7</v>
      </c>
      <c r="E191">
        <v>30</v>
      </c>
      <c r="F191" t="s">
        <v>54</v>
      </c>
      <c r="G191" t="s">
        <v>108</v>
      </c>
      <c r="I191" s="15">
        <f t="shared" si="6"/>
        <v>920</v>
      </c>
      <c r="J191" s="15" t="str">
        <f t="shared" si="7"/>
        <v>09</v>
      </c>
      <c r="K191" s="15" t="str">
        <f t="shared" si="8"/>
        <v>0109</v>
      </c>
      <c r="L191" t="s">
        <v>2071</v>
      </c>
      <c r="M191">
        <v>0</v>
      </c>
      <c r="N191">
        <v>2</v>
      </c>
      <c r="O191">
        <v>6.7</v>
      </c>
      <c r="P191">
        <v>30</v>
      </c>
    </row>
    <row r="192" spans="1:16">
      <c r="A192" t="s">
        <v>1868</v>
      </c>
      <c r="B192">
        <v>0</v>
      </c>
      <c r="C192">
        <v>5</v>
      </c>
      <c r="D192">
        <v>6.8</v>
      </c>
      <c r="E192">
        <v>40</v>
      </c>
      <c r="F192" t="s">
        <v>25</v>
      </c>
      <c r="G192" t="s">
        <v>64</v>
      </c>
      <c r="I192" s="15">
        <f t="shared" si="6"/>
        <v>926</v>
      </c>
      <c r="J192" s="15" t="str">
        <f t="shared" si="7"/>
        <v>09</v>
      </c>
      <c r="K192" s="15" t="str">
        <f t="shared" si="8"/>
        <v>0109</v>
      </c>
      <c r="L192" t="s">
        <v>2071</v>
      </c>
      <c r="M192">
        <v>0</v>
      </c>
      <c r="N192">
        <v>5</v>
      </c>
      <c r="O192">
        <v>6.8</v>
      </c>
      <c r="P192">
        <v>40</v>
      </c>
    </row>
    <row r="193" spans="1:16">
      <c r="A193" t="s">
        <v>1899</v>
      </c>
      <c r="B193">
        <v>0</v>
      </c>
      <c r="C193">
        <v>6</v>
      </c>
      <c r="D193">
        <v>6.8</v>
      </c>
      <c r="E193">
        <v>15</v>
      </c>
      <c r="F193" t="s">
        <v>78</v>
      </c>
      <c r="G193" t="s">
        <v>973</v>
      </c>
      <c r="I193" s="15">
        <f t="shared" si="6"/>
        <v>1009</v>
      </c>
      <c r="J193" s="15" t="str">
        <f t="shared" si="7"/>
        <v>10</v>
      </c>
      <c r="K193" s="15" t="str">
        <f t="shared" si="8"/>
        <v>0110</v>
      </c>
      <c r="L193" t="s">
        <v>2072</v>
      </c>
      <c r="M193">
        <v>0</v>
      </c>
      <c r="N193">
        <v>6</v>
      </c>
      <c r="O193">
        <v>6.8</v>
      </c>
      <c r="P193">
        <v>15</v>
      </c>
    </row>
    <row r="194" spans="1:16">
      <c r="A194" t="s">
        <v>1846</v>
      </c>
      <c r="B194">
        <v>0</v>
      </c>
      <c r="C194">
        <v>5</v>
      </c>
      <c r="D194">
        <v>6.8</v>
      </c>
      <c r="E194">
        <v>18</v>
      </c>
      <c r="F194" t="s">
        <v>25</v>
      </c>
      <c r="G194" t="s">
        <v>594</v>
      </c>
      <c r="I194" s="15">
        <f t="shared" ref="I194:I257" si="9">TRUNC(A194,6)</f>
        <v>1015</v>
      </c>
      <c r="J194" s="15" t="str">
        <f t="shared" si="7"/>
        <v>10</v>
      </c>
      <c r="K194" s="15" t="str">
        <f t="shared" si="8"/>
        <v>0110</v>
      </c>
      <c r="L194" t="s">
        <v>2072</v>
      </c>
      <c r="M194">
        <v>0</v>
      </c>
      <c r="N194">
        <v>5</v>
      </c>
      <c r="O194">
        <v>6.8</v>
      </c>
      <c r="P194">
        <v>18</v>
      </c>
    </row>
    <row r="195" spans="1:16">
      <c r="A195" t="s">
        <v>1900</v>
      </c>
      <c r="B195">
        <v>0</v>
      </c>
      <c r="C195">
        <v>2</v>
      </c>
      <c r="D195">
        <v>6.8</v>
      </c>
      <c r="E195">
        <v>21</v>
      </c>
      <c r="F195" t="s">
        <v>54</v>
      </c>
      <c r="G195" t="s">
        <v>108</v>
      </c>
      <c r="I195" s="15">
        <f t="shared" si="9"/>
        <v>1024</v>
      </c>
      <c r="J195" s="15" t="str">
        <f t="shared" ref="J195:J258" si="10">LEFT(L195,2)</f>
        <v>10</v>
      </c>
      <c r="K195" s="15" t="str">
        <f t="shared" ref="K195:K258" si="11">TEXT(J195,"MMDD")</f>
        <v>0110</v>
      </c>
      <c r="L195" t="s">
        <v>2072</v>
      </c>
      <c r="M195">
        <v>0</v>
      </c>
      <c r="N195">
        <v>2</v>
      </c>
      <c r="O195">
        <v>6.8</v>
      </c>
      <c r="P195">
        <v>21</v>
      </c>
    </row>
    <row r="196" spans="1:16">
      <c r="A196" t="s">
        <v>1780</v>
      </c>
      <c r="B196">
        <v>0</v>
      </c>
      <c r="C196">
        <v>6</v>
      </c>
      <c r="D196">
        <v>7.7</v>
      </c>
      <c r="E196">
        <v>40</v>
      </c>
      <c r="F196" t="s">
        <v>78</v>
      </c>
      <c r="G196" t="s">
        <v>245</v>
      </c>
      <c r="I196" s="15">
        <f t="shared" si="9"/>
        <v>1114</v>
      </c>
      <c r="J196" s="15" t="str">
        <f t="shared" si="10"/>
        <v>11</v>
      </c>
      <c r="K196" s="15" t="str">
        <f t="shared" si="11"/>
        <v>0111</v>
      </c>
      <c r="L196" t="s">
        <v>2073</v>
      </c>
      <c r="M196">
        <v>0</v>
      </c>
      <c r="N196">
        <v>6</v>
      </c>
      <c r="O196">
        <v>7.7</v>
      </c>
      <c r="P196">
        <v>40</v>
      </c>
    </row>
    <row r="197" spans="1:16">
      <c r="A197" t="s">
        <v>1848</v>
      </c>
      <c r="B197">
        <v>0</v>
      </c>
      <c r="C197">
        <v>6</v>
      </c>
      <c r="D197">
        <v>6.8</v>
      </c>
      <c r="E197">
        <v>26</v>
      </c>
      <c r="F197" t="s">
        <v>78</v>
      </c>
      <c r="G197" t="s">
        <v>245</v>
      </c>
      <c r="I197" s="15">
        <f t="shared" si="9"/>
        <v>1115</v>
      </c>
      <c r="J197" s="15" t="str">
        <f t="shared" si="10"/>
        <v>11</v>
      </c>
      <c r="K197" s="15" t="str">
        <f t="shared" si="11"/>
        <v>0111</v>
      </c>
      <c r="L197" t="s">
        <v>2073</v>
      </c>
      <c r="M197">
        <v>0</v>
      </c>
      <c r="N197">
        <v>6</v>
      </c>
      <c r="O197">
        <v>6.8</v>
      </c>
      <c r="P197">
        <v>26</v>
      </c>
    </row>
    <row r="198" spans="1:16">
      <c r="A198" t="s">
        <v>1901</v>
      </c>
      <c r="B198">
        <v>0</v>
      </c>
      <c r="C198">
        <v>6</v>
      </c>
      <c r="D198">
        <v>6.8</v>
      </c>
      <c r="E198">
        <v>122.9</v>
      </c>
      <c r="F198" t="s">
        <v>78</v>
      </c>
      <c r="G198" t="s">
        <v>371</v>
      </c>
      <c r="I198" s="15">
        <f t="shared" si="9"/>
        <v>1116</v>
      </c>
      <c r="J198" s="15" t="str">
        <f t="shared" si="10"/>
        <v>11</v>
      </c>
      <c r="K198" s="15" t="str">
        <f t="shared" si="11"/>
        <v>0111</v>
      </c>
      <c r="L198" t="s">
        <v>2073</v>
      </c>
      <c r="M198">
        <v>0</v>
      </c>
      <c r="N198">
        <v>6</v>
      </c>
      <c r="O198">
        <v>6.8</v>
      </c>
      <c r="P198">
        <v>122.9</v>
      </c>
    </row>
    <row r="199" spans="1:16">
      <c r="A199" t="s">
        <v>1849</v>
      </c>
      <c r="B199">
        <v>0</v>
      </c>
      <c r="C199">
        <v>5</v>
      </c>
      <c r="D199">
        <v>6.8</v>
      </c>
      <c r="E199">
        <v>53</v>
      </c>
      <c r="F199" t="s">
        <v>25</v>
      </c>
      <c r="G199" t="s">
        <v>64</v>
      </c>
      <c r="I199" s="15">
        <f t="shared" si="9"/>
        <v>1122</v>
      </c>
      <c r="J199" s="15" t="str">
        <f t="shared" si="10"/>
        <v>11</v>
      </c>
      <c r="K199" s="15" t="str">
        <f t="shared" si="11"/>
        <v>0111</v>
      </c>
      <c r="L199" t="s">
        <v>2073</v>
      </c>
      <c r="M199">
        <v>0</v>
      </c>
      <c r="N199">
        <v>5</v>
      </c>
      <c r="O199">
        <v>6.8</v>
      </c>
      <c r="P199">
        <v>53</v>
      </c>
    </row>
    <row r="200" spans="1:16">
      <c r="A200" t="s">
        <v>1828</v>
      </c>
      <c r="B200">
        <v>0</v>
      </c>
      <c r="C200">
        <v>2</v>
      </c>
      <c r="D200">
        <v>6.5</v>
      </c>
      <c r="E200">
        <v>20</v>
      </c>
      <c r="F200" t="s">
        <v>54</v>
      </c>
      <c r="G200" t="s">
        <v>108</v>
      </c>
      <c r="I200" s="15">
        <f t="shared" si="9"/>
        <v>1125</v>
      </c>
      <c r="J200" s="15" t="str">
        <f t="shared" si="10"/>
        <v>11</v>
      </c>
      <c r="K200" s="15" t="str">
        <f t="shared" si="11"/>
        <v>0111</v>
      </c>
      <c r="L200" t="s">
        <v>2073</v>
      </c>
      <c r="M200">
        <v>0</v>
      </c>
      <c r="N200">
        <v>2</v>
      </c>
      <c r="O200">
        <v>6.5</v>
      </c>
      <c r="P200">
        <v>20</v>
      </c>
    </row>
    <row r="201" spans="1:16">
      <c r="A201" t="s">
        <v>1828</v>
      </c>
      <c r="B201">
        <v>0</v>
      </c>
      <c r="C201">
        <v>2</v>
      </c>
      <c r="D201">
        <v>6.5</v>
      </c>
      <c r="E201">
        <v>18</v>
      </c>
      <c r="F201" t="s">
        <v>54</v>
      </c>
      <c r="G201" t="s">
        <v>108</v>
      </c>
      <c r="I201" s="15">
        <f t="shared" si="9"/>
        <v>1125</v>
      </c>
      <c r="J201" s="15" t="str">
        <f t="shared" si="10"/>
        <v>11</v>
      </c>
      <c r="K201" s="15" t="str">
        <f t="shared" si="11"/>
        <v>0111</v>
      </c>
      <c r="L201" t="s">
        <v>2073</v>
      </c>
      <c r="M201">
        <v>0</v>
      </c>
      <c r="N201">
        <v>2</v>
      </c>
      <c r="O201">
        <v>6.5</v>
      </c>
      <c r="P201">
        <v>18</v>
      </c>
    </row>
    <row r="202" spans="1:16">
      <c r="A202" t="s">
        <v>1902</v>
      </c>
      <c r="B202">
        <v>0</v>
      </c>
      <c r="C202">
        <v>5</v>
      </c>
      <c r="D202">
        <v>6.6</v>
      </c>
      <c r="E202">
        <v>16</v>
      </c>
      <c r="F202" t="s">
        <v>25</v>
      </c>
      <c r="G202" t="s">
        <v>26</v>
      </c>
      <c r="I202" s="15">
        <f t="shared" si="9"/>
        <v>1127</v>
      </c>
      <c r="J202" s="15" t="str">
        <f t="shared" si="10"/>
        <v>11</v>
      </c>
      <c r="K202" s="15" t="str">
        <f t="shared" si="11"/>
        <v>0111</v>
      </c>
      <c r="L202" t="s">
        <v>2073</v>
      </c>
      <c r="M202">
        <v>0</v>
      </c>
      <c r="N202">
        <v>5</v>
      </c>
      <c r="O202">
        <v>6.6</v>
      </c>
      <c r="P202">
        <v>16</v>
      </c>
    </row>
    <row r="203" spans="1:16">
      <c r="A203" t="s">
        <v>1903</v>
      </c>
      <c r="B203">
        <v>0</v>
      </c>
      <c r="C203">
        <v>4</v>
      </c>
      <c r="D203">
        <v>7.4</v>
      </c>
      <c r="E203">
        <v>156</v>
      </c>
      <c r="F203" t="s">
        <v>47</v>
      </c>
      <c r="G203" t="s">
        <v>1316</v>
      </c>
      <c r="I203" s="15">
        <f t="shared" si="9"/>
        <v>1129</v>
      </c>
      <c r="J203" s="15" t="str">
        <f t="shared" si="10"/>
        <v>11</v>
      </c>
      <c r="K203" s="15" t="str">
        <f t="shared" si="11"/>
        <v>0111</v>
      </c>
      <c r="L203" t="s">
        <v>2073</v>
      </c>
      <c r="M203">
        <v>0</v>
      </c>
      <c r="N203">
        <v>4</v>
      </c>
      <c r="O203">
        <v>7.4</v>
      </c>
      <c r="P203">
        <v>156</v>
      </c>
    </row>
    <row r="204" spans="1:16">
      <c r="A204" t="s">
        <v>1904</v>
      </c>
      <c r="B204">
        <v>0</v>
      </c>
      <c r="C204">
        <v>2</v>
      </c>
      <c r="D204">
        <v>8.4</v>
      </c>
      <c r="E204">
        <v>34</v>
      </c>
      <c r="F204" t="s">
        <v>54</v>
      </c>
      <c r="G204" t="s">
        <v>108</v>
      </c>
      <c r="I204" s="15">
        <f t="shared" si="9"/>
        <v>1209</v>
      </c>
      <c r="J204" s="15" t="str">
        <f t="shared" si="10"/>
        <v>12</v>
      </c>
      <c r="K204" s="15" t="str">
        <f t="shared" si="11"/>
        <v>0112</v>
      </c>
      <c r="L204" t="s">
        <v>2074</v>
      </c>
      <c r="M204">
        <v>0</v>
      </c>
      <c r="N204">
        <v>2</v>
      </c>
      <c r="O204">
        <v>8.4</v>
      </c>
      <c r="P204">
        <v>34</v>
      </c>
    </row>
    <row r="205" spans="1:16">
      <c r="A205" t="s">
        <v>1904</v>
      </c>
      <c r="B205">
        <v>0</v>
      </c>
      <c r="C205">
        <v>2</v>
      </c>
      <c r="D205">
        <v>7.9</v>
      </c>
      <c r="E205">
        <v>35</v>
      </c>
      <c r="F205" t="s">
        <v>54</v>
      </c>
      <c r="G205" t="s">
        <v>108</v>
      </c>
      <c r="I205" s="15">
        <f t="shared" si="9"/>
        <v>1209</v>
      </c>
      <c r="J205" s="15" t="str">
        <f t="shared" si="10"/>
        <v>12</v>
      </c>
      <c r="K205" s="15" t="str">
        <f t="shared" si="11"/>
        <v>0112</v>
      </c>
      <c r="L205" t="s">
        <v>2074</v>
      </c>
      <c r="M205">
        <v>0</v>
      </c>
      <c r="N205">
        <v>2</v>
      </c>
      <c r="O205">
        <v>7.9</v>
      </c>
      <c r="P205">
        <v>35</v>
      </c>
    </row>
    <row r="206" spans="1:16">
      <c r="A206" t="s">
        <v>1904</v>
      </c>
      <c r="B206">
        <v>0</v>
      </c>
      <c r="C206">
        <v>2</v>
      </c>
      <c r="D206">
        <v>7.8</v>
      </c>
      <c r="E206">
        <v>40.5</v>
      </c>
      <c r="F206" t="s">
        <v>54</v>
      </c>
      <c r="G206" t="s">
        <v>108</v>
      </c>
      <c r="I206" s="15">
        <f t="shared" si="9"/>
        <v>1209</v>
      </c>
      <c r="J206" s="15" t="str">
        <f t="shared" si="10"/>
        <v>12</v>
      </c>
      <c r="K206" s="15" t="str">
        <f t="shared" si="11"/>
        <v>0112</v>
      </c>
      <c r="L206" t="s">
        <v>2074</v>
      </c>
      <c r="M206">
        <v>0</v>
      </c>
      <c r="N206">
        <v>2</v>
      </c>
      <c r="O206">
        <v>7.8</v>
      </c>
      <c r="P206">
        <v>40.5</v>
      </c>
    </row>
    <row r="207" spans="1:16">
      <c r="A207" t="s">
        <v>1905</v>
      </c>
      <c r="B207">
        <v>0</v>
      </c>
      <c r="C207">
        <v>6</v>
      </c>
      <c r="D207">
        <v>6.7</v>
      </c>
      <c r="E207">
        <v>45</v>
      </c>
      <c r="F207" t="s">
        <v>78</v>
      </c>
      <c r="G207" t="s">
        <v>245</v>
      </c>
      <c r="I207" s="15">
        <f t="shared" si="9"/>
        <v>1216</v>
      </c>
      <c r="J207" s="15" t="str">
        <f t="shared" si="10"/>
        <v>12</v>
      </c>
      <c r="K207" s="15" t="str">
        <f t="shared" si="11"/>
        <v>0112</v>
      </c>
      <c r="L207" t="s">
        <v>2074</v>
      </c>
      <c r="M207">
        <v>0</v>
      </c>
      <c r="N207">
        <v>6</v>
      </c>
      <c r="O207">
        <v>6.7</v>
      </c>
      <c r="P207">
        <v>45</v>
      </c>
    </row>
    <row r="208" spans="1:16">
      <c r="A208" t="s">
        <v>1906</v>
      </c>
      <c r="B208">
        <v>0</v>
      </c>
      <c r="C208">
        <v>5</v>
      </c>
      <c r="D208">
        <v>6.6</v>
      </c>
      <c r="E208">
        <v>20</v>
      </c>
      <c r="F208" t="s">
        <v>25</v>
      </c>
      <c r="G208" t="s">
        <v>594</v>
      </c>
      <c r="I208" s="15">
        <f t="shared" si="9"/>
        <v>1220</v>
      </c>
      <c r="J208" s="15" t="str">
        <f t="shared" si="10"/>
        <v>12</v>
      </c>
      <c r="K208" s="15" t="str">
        <f t="shared" si="11"/>
        <v>0112</v>
      </c>
      <c r="L208" t="s">
        <v>2074</v>
      </c>
      <c r="M208">
        <v>0</v>
      </c>
      <c r="N208">
        <v>5</v>
      </c>
      <c r="O208">
        <v>6.6</v>
      </c>
      <c r="P208">
        <v>20</v>
      </c>
    </row>
    <row r="209" spans="1:16">
      <c r="A209" t="s">
        <v>1907</v>
      </c>
      <c r="B209">
        <v>0</v>
      </c>
      <c r="C209">
        <v>3</v>
      </c>
      <c r="D209">
        <v>6.9</v>
      </c>
      <c r="E209">
        <v>29</v>
      </c>
      <c r="F209" t="s">
        <v>234</v>
      </c>
      <c r="G209" t="s">
        <v>235</v>
      </c>
      <c r="I209" s="15">
        <f t="shared" si="9"/>
        <v>214</v>
      </c>
      <c r="J209" s="15" t="str">
        <f t="shared" si="10"/>
        <v>02</v>
      </c>
      <c r="K209" s="15" t="str">
        <f t="shared" si="11"/>
        <v>0102</v>
      </c>
      <c r="L209" t="s">
        <v>2065</v>
      </c>
      <c r="M209">
        <v>0</v>
      </c>
      <c r="N209">
        <v>3</v>
      </c>
      <c r="O209">
        <v>6.9</v>
      </c>
      <c r="P209">
        <v>29</v>
      </c>
    </row>
    <row r="210" spans="1:16">
      <c r="A210" t="s">
        <v>1907</v>
      </c>
      <c r="B210">
        <v>0</v>
      </c>
      <c r="C210">
        <v>3</v>
      </c>
      <c r="D210">
        <v>6.5</v>
      </c>
      <c r="E210">
        <v>28</v>
      </c>
      <c r="F210" t="s">
        <v>234</v>
      </c>
      <c r="G210" t="s">
        <v>235</v>
      </c>
      <c r="I210" s="15">
        <f t="shared" si="9"/>
        <v>214</v>
      </c>
      <c r="J210" s="15" t="str">
        <f t="shared" si="10"/>
        <v>02</v>
      </c>
      <c r="K210" s="15" t="str">
        <f t="shared" si="11"/>
        <v>0102</v>
      </c>
      <c r="L210" t="s">
        <v>2065</v>
      </c>
      <c r="M210">
        <v>0</v>
      </c>
      <c r="N210">
        <v>3</v>
      </c>
      <c r="O210">
        <v>6.5</v>
      </c>
      <c r="P210">
        <v>28</v>
      </c>
    </row>
    <row r="211" spans="1:16">
      <c r="A211" t="s">
        <v>1894</v>
      </c>
      <c r="B211">
        <v>0</v>
      </c>
      <c r="C211">
        <v>2</v>
      </c>
      <c r="D211">
        <v>7.4</v>
      </c>
      <c r="E211">
        <v>26</v>
      </c>
      <c r="F211" t="s">
        <v>54</v>
      </c>
      <c r="G211" t="s">
        <v>108</v>
      </c>
      <c r="I211" s="15">
        <f t="shared" si="9"/>
        <v>220</v>
      </c>
      <c r="J211" s="15" t="str">
        <f t="shared" si="10"/>
        <v>02</v>
      </c>
      <c r="K211" s="15" t="str">
        <f t="shared" si="11"/>
        <v>0102</v>
      </c>
      <c r="L211" t="s">
        <v>2065</v>
      </c>
      <c r="M211">
        <v>0</v>
      </c>
      <c r="N211">
        <v>2</v>
      </c>
      <c r="O211">
        <v>7.4</v>
      </c>
      <c r="P211">
        <v>26</v>
      </c>
    </row>
    <row r="212" spans="1:16">
      <c r="A212" t="s">
        <v>1764</v>
      </c>
      <c r="B212">
        <v>0</v>
      </c>
      <c r="C212">
        <v>2</v>
      </c>
      <c r="D212">
        <v>6.5</v>
      </c>
      <c r="E212">
        <v>22</v>
      </c>
      <c r="F212" t="s">
        <v>54</v>
      </c>
      <c r="G212" t="s">
        <v>108</v>
      </c>
      <c r="I212" s="15">
        <f t="shared" si="9"/>
        <v>224</v>
      </c>
      <c r="J212" s="15" t="str">
        <f t="shared" si="10"/>
        <v>02</v>
      </c>
      <c r="K212" s="15" t="str">
        <f t="shared" si="11"/>
        <v>0102</v>
      </c>
      <c r="L212" t="s">
        <v>2065</v>
      </c>
      <c r="M212">
        <v>0</v>
      </c>
      <c r="N212">
        <v>2</v>
      </c>
      <c r="O212">
        <v>6.5</v>
      </c>
      <c r="P212">
        <v>22</v>
      </c>
    </row>
    <row r="213" spans="1:16">
      <c r="A213" t="s">
        <v>1908</v>
      </c>
      <c r="B213">
        <v>0</v>
      </c>
      <c r="C213">
        <v>2</v>
      </c>
      <c r="D213">
        <v>7.2</v>
      </c>
      <c r="E213">
        <v>25</v>
      </c>
      <c r="F213" t="s">
        <v>54</v>
      </c>
      <c r="G213" t="s">
        <v>108</v>
      </c>
      <c r="I213" s="15">
        <f t="shared" si="9"/>
        <v>225</v>
      </c>
      <c r="J213" s="15" t="str">
        <f t="shared" si="10"/>
        <v>02</v>
      </c>
      <c r="K213" s="15" t="str">
        <f t="shared" si="11"/>
        <v>0102</v>
      </c>
      <c r="L213" t="s">
        <v>2065</v>
      </c>
      <c r="M213">
        <v>0</v>
      </c>
      <c r="N213">
        <v>2</v>
      </c>
      <c r="O213">
        <v>7.2</v>
      </c>
      <c r="P213">
        <v>25</v>
      </c>
    </row>
    <row r="214" spans="1:16">
      <c r="A214" t="s">
        <v>1908</v>
      </c>
      <c r="B214">
        <v>0</v>
      </c>
      <c r="C214">
        <v>2</v>
      </c>
      <c r="D214">
        <v>6.6</v>
      </c>
      <c r="E214">
        <v>25</v>
      </c>
      <c r="F214" t="s">
        <v>54</v>
      </c>
      <c r="G214" t="s">
        <v>108</v>
      </c>
      <c r="I214" s="15">
        <f t="shared" si="9"/>
        <v>225</v>
      </c>
      <c r="J214" s="15" t="str">
        <f t="shared" si="10"/>
        <v>02</v>
      </c>
      <c r="K214" s="15" t="str">
        <f t="shared" si="11"/>
        <v>0102</v>
      </c>
      <c r="L214" t="s">
        <v>2065</v>
      </c>
      <c r="M214">
        <v>0</v>
      </c>
      <c r="N214">
        <v>2</v>
      </c>
      <c r="O214">
        <v>6.6</v>
      </c>
      <c r="P214">
        <v>25</v>
      </c>
    </row>
    <row r="215" spans="1:16">
      <c r="A215" t="s">
        <v>1908</v>
      </c>
      <c r="B215">
        <v>0</v>
      </c>
      <c r="C215">
        <v>2</v>
      </c>
      <c r="D215">
        <v>6.7</v>
      </c>
      <c r="E215">
        <v>25</v>
      </c>
      <c r="F215" t="s">
        <v>54</v>
      </c>
      <c r="G215" t="s">
        <v>108</v>
      </c>
      <c r="I215" s="15">
        <f t="shared" si="9"/>
        <v>225</v>
      </c>
      <c r="J215" s="15" t="str">
        <f t="shared" si="10"/>
        <v>02</v>
      </c>
      <c r="K215" s="15" t="str">
        <f t="shared" si="11"/>
        <v>0102</v>
      </c>
      <c r="L215" t="s">
        <v>2065</v>
      </c>
      <c r="M215">
        <v>0</v>
      </c>
      <c r="N215">
        <v>2</v>
      </c>
      <c r="O215">
        <v>6.7</v>
      </c>
      <c r="P215">
        <v>25</v>
      </c>
    </row>
    <row r="216" spans="1:16">
      <c r="A216" t="s">
        <v>1788</v>
      </c>
      <c r="B216">
        <v>0</v>
      </c>
      <c r="C216">
        <v>2</v>
      </c>
      <c r="D216">
        <v>6.9</v>
      </c>
      <c r="E216">
        <v>24</v>
      </c>
      <c r="F216" t="s">
        <v>54</v>
      </c>
      <c r="G216" t="s">
        <v>75</v>
      </c>
      <c r="I216" s="15">
        <f t="shared" si="9"/>
        <v>303</v>
      </c>
      <c r="J216" s="15" t="str">
        <f t="shared" si="10"/>
        <v>03</v>
      </c>
      <c r="K216" s="15" t="str">
        <f t="shared" si="11"/>
        <v>0103</v>
      </c>
      <c r="L216" t="s">
        <v>2066</v>
      </c>
      <c r="M216">
        <v>0</v>
      </c>
      <c r="N216">
        <v>2</v>
      </c>
      <c r="O216">
        <v>6.9</v>
      </c>
      <c r="P216">
        <v>24</v>
      </c>
    </row>
    <row r="217" spans="1:16">
      <c r="A217" t="s">
        <v>1859</v>
      </c>
      <c r="B217">
        <v>0</v>
      </c>
      <c r="C217">
        <v>2</v>
      </c>
      <c r="D217">
        <v>7.2</v>
      </c>
      <c r="E217">
        <v>10</v>
      </c>
      <c r="F217" t="s">
        <v>54</v>
      </c>
      <c r="G217" t="s">
        <v>1752</v>
      </c>
      <c r="I217" s="15">
        <f t="shared" si="9"/>
        <v>320</v>
      </c>
      <c r="J217" s="15" t="str">
        <f t="shared" si="10"/>
        <v>03</v>
      </c>
      <c r="K217" s="15" t="str">
        <f t="shared" si="11"/>
        <v>0103</v>
      </c>
      <c r="L217" t="s">
        <v>2066</v>
      </c>
      <c r="M217">
        <v>0</v>
      </c>
      <c r="N217">
        <v>2</v>
      </c>
      <c r="O217">
        <v>7.2</v>
      </c>
      <c r="P217">
        <v>10</v>
      </c>
    </row>
    <row r="218" spans="1:16">
      <c r="A218" t="s">
        <v>1909</v>
      </c>
      <c r="B218">
        <v>0</v>
      </c>
      <c r="C218">
        <v>2</v>
      </c>
      <c r="D218">
        <v>6.7</v>
      </c>
      <c r="E218">
        <v>27.4</v>
      </c>
      <c r="F218" t="s">
        <v>54</v>
      </c>
      <c r="G218" t="s">
        <v>1263</v>
      </c>
      <c r="I218" s="15">
        <f t="shared" si="9"/>
        <v>510</v>
      </c>
      <c r="J218" s="15" t="str">
        <f t="shared" si="10"/>
        <v>05</v>
      </c>
      <c r="K218" s="15" t="str">
        <f t="shared" si="11"/>
        <v>0105</v>
      </c>
      <c r="L218" t="s">
        <v>2068</v>
      </c>
      <c r="M218">
        <v>0</v>
      </c>
      <c r="N218">
        <v>2</v>
      </c>
      <c r="O218">
        <v>6.7</v>
      </c>
      <c r="P218">
        <v>27.4</v>
      </c>
    </row>
    <row r="219" spans="1:16">
      <c r="A219" t="s">
        <v>1863</v>
      </c>
      <c r="B219">
        <v>0</v>
      </c>
      <c r="C219">
        <v>2</v>
      </c>
      <c r="D219">
        <v>6.9</v>
      </c>
      <c r="E219">
        <v>7.8</v>
      </c>
      <c r="F219" t="s">
        <v>54</v>
      </c>
      <c r="G219" t="s">
        <v>200</v>
      </c>
      <c r="I219" s="15">
        <f t="shared" si="9"/>
        <v>613</v>
      </c>
      <c r="J219" s="15" t="str">
        <f t="shared" si="10"/>
        <v>06</v>
      </c>
      <c r="K219" s="15" t="str">
        <f t="shared" si="11"/>
        <v>0106</v>
      </c>
      <c r="L219" t="s">
        <v>2069</v>
      </c>
      <c r="M219">
        <v>0</v>
      </c>
      <c r="N219">
        <v>2</v>
      </c>
      <c r="O219">
        <v>6.9</v>
      </c>
      <c r="P219">
        <v>7.8</v>
      </c>
    </row>
    <row r="220" spans="1:16">
      <c r="A220" t="s">
        <v>1910</v>
      </c>
      <c r="B220">
        <v>0</v>
      </c>
      <c r="C220">
        <v>2</v>
      </c>
      <c r="D220">
        <v>6.6</v>
      </c>
      <c r="E220">
        <v>17</v>
      </c>
      <c r="F220" t="s">
        <v>54</v>
      </c>
      <c r="G220" t="s">
        <v>671</v>
      </c>
      <c r="I220" s="15">
        <f t="shared" si="9"/>
        <v>627</v>
      </c>
      <c r="J220" s="15" t="str">
        <f t="shared" si="10"/>
        <v>06</v>
      </c>
      <c r="K220" s="15" t="str">
        <f t="shared" si="11"/>
        <v>0106</v>
      </c>
      <c r="L220" t="s">
        <v>2069</v>
      </c>
      <c r="M220">
        <v>0</v>
      </c>
      <c r="N220">
        <v>2</v>
      </c>
      <c r="O220">
        <v>6.6</v>
      </c>
      <c r="P220">
        <v>17</v>
      </c>
    </row>
    <row r="221" spans="1:16">
      <c r="A221" t="s">
        <v>1911</v>
      </c>
      <c r="B221">
        <v>0</v>
      </c>
      <c r="C221">
        <v>2</v>
      </c>
      <c r="D221">
        <v>6.9</v>
      </c>
      <c r="E221">
        <v>27</v>
      </c>
      <c r="F221" s="3" t="s">
        <v>54</v>
      </c>
      <c r="G221" t="s">
        <v>200</v>
      </c>
      <c r="I221" s="15">
        <f t="shared" si="9"/>
        <v>705</v>
      </c>
      <c r="J221" s="15" t="str">
        <f t="shared" si="10"/>
        <v>07</v>
      </c>
      <c r="K221" s="15" t="str">
        <f t="shared" si="11"/>
        <v>0107</v>
      </c>
      <c r="L221" t="s">
        <v>2070</v>
      </c>
      <c r="M221">
        <v>0</v>
      </c>
      <c r="N221">
        <v>2</v>
      </c>
      <c r="O221">
        <v>6.9</v>
      </c>
      <c r="P221">
        <v>27</v>
      </c>
    </row>
    <row r="222" spans="1:16">
      <c r="A222" t="s">
        <v>1912</v>
      </c>
      <c r="B222">
        <v>0</v>
      </c>
      <c r="C222">
        <v>2</v>
      </c>
      <c r="D222">
        <v>7</v>
      </c>
      <c r="E222">
        <v>22</v>
      </c>
      <c r="F222" t="s">
        <v>54</v>
      </c>
      <c r="G222" t="s">
        <v>200</v>
      </c>
      <c r="I222" s="15">
        <f t="shared" si="9"/>
        <v>719</v>
      </c>
      <c r="J222" s="15" t="str">
        <f t="shared" si="10"/>
        <v>07</v>
      </c>
      <c r="K222" s="15" t="str">
        <f t="shared" si="11"/>
        <v>0107</v>
      </c>
      <c r="L222" t="s">
        <v>2070</v>
      </c>
      <c r="M222">
        <v>0</v>
      </c>
      <c r="N222">
        <v>2</v>
      </c>
      <c r="O222">
        <v>7</v>
      </c>
      <c r="P222">
        <v>22</v>
      </c>
    </row>
    <row r="223" spans="1:16">
      <c r="A223" t="s">
        <v>1912</v>
      </c>
      <c r="B223">
        <v>0</v>
      </c>
      <c r="C223">
        <v>2</v>
      </c>
      <c r="D223">
        <v>6.9</v>
      </c>
      <c r="E223">
        <v>25.5</v>
      </c>
      <c r="F223" s="3" t="s">
        <v>54</v>
      </c>
      <c r="G223" t="s">
        <v>200</v>
      </c>
      <c r="I223" s="15">
        <f t="shared" si="9"/>
        <v>719</v>
      </c>
      <c r="J223" s="15" t="str">
        <f t="shared" si="10"/>
        <v>07</v>
      </c>
      <c r="K223" s="15" t="str">
        <f t="shared" si="11"/>
        <v>0107</v>
      </c>
      <c r="L223" t="s">
        <v>2070</v>
      </c>
      <c r="M223">
        <v>0</v>
      </c>
      <c r="N223">
        <v>2</v>
      </c>
      <c r="O223">
        <v>6.9</v>
      </c>
      <c r="P223">
        <v>25.5</v>
      </c>
    </row>
    <row r="224" spans="1:16">
      <c r="A224" t="s">
        <v>1913</v>
      </c>
      <c r="B224">
        <v>0</v>
      </c>
      <c r="C224">
        <v>2</v>
      </c>
      <c r="D224">
        <v>6.8</v>
      </c>
      <c r="E224">
        <v>108</v>
      </c>
      <c r="F224" t="s">
        <v>54</v>
      </c>
      <c r="G224" t="s">
        <v>200</v>
      </c>
      <c r="I224" s="15">
        <f t="shared" si="9"/>
        <v>723</v>
      </c>
      <c r="J224" s="15" t="str">
        <f t="shared" si="10"/>
        <v>07</v>
      </c>
      <c r="K224" s="15" t="str">
        <f t="shared" si="11"/>
        <v>0107</v>
      </c>
      <c r="L224" t="s">
        <v>2070</v>
      </c>
      <c r="M224">
        <v>0</v>
      </c>
      <c r="N224">
        <v>2</v>
      </c>
      <c r="O224">
        <v>6.8</v>
      </c>
      <c r="P224">
        <v>108</v>
      </c>
    </row>
    <row r="225" spans="1:16">
      <c r="A225" t="s">
        <v>1800</v>
      </c>
      <c r="B225">
        <v>0</v>
      </c>
      <c r="C225">
        <v>5</v>
      </c>
      <c r="D225">
        <v>6.9</v>
      </c>
      <c r="E225">
        <v>110</v>
      </c>
      <c r="F225" t="s">
        <v>25</v>
      </c>
      <c r="G225" t="s">
        <v>163</v>
      </c>
      <c r="I225" s="15">
        <f t="shared" si="9"/>
        <v>809</v>
      </c>
      <c r="J225" s="15" t="str">
        <f t="shared" si="10"/>
        <v>08</v>
      </c>
      <c r="K225" s="15" t="str">
        <f t="shared" si="11"/>
        <v>0108</v>
      </c>
      <c r="L225" t="s">
        <v>2075</v>
      </c>
      <c r="M225">
        <v>0</v>
      </c>
      <c r="N225">
        <v>5</v>
      </c>
      <c r="O225">
        <v>6.9</v>
      </c>
      <c r="P225">
        <v>110</v>
      </c>
    </row>
    <row r="226" spans="1:16">
      <c r="A226" t="s">
        <v>1914</v>
      </c>
      <c r="B226">
        <v>0</v>
      </c>
      <c r="C226">
        <v>2</v>
      </c>
      <c r="D226">
        <v>6.7</v>
      </c>
      <c r="E226">
        <v>12</v>
      </c>
      <c r="F226" t="s">
        <v>54</v>
      </c>
      <c r="G226" t="s">
        <v>756</v>
      </c>
      <c r="I226" s="15">
        <f t="shared" si="9"/>
        <v>825</v>
      </c>
      <c r="J226" s="15" t="str">
        <f t="shared" si="10"/>
        <v>08</v>
      </c>
      <c r="K226" s="15" t="str">
        <f t="shared" si="11"/>
        <v>0108</v>
      </c>
      <c r="L226" t="s">
        <v>2075</v>
      </c>
      <c r="M226">
        <v>0</v>
      </c>
      <c r="N226">
        <v>2</v>
      </c>
      <c r="O226">
        <v>6.7</v>
      </c>
      <c r="P226">
        <v>12</v>
      </c>
    </row>
    <row r="227" spans="1:16">
      <c r="A227" t="s">
        <v>1843</v>
      </c>
      <c r="B227">
        <v>0</v>
      </c>
      <c r="C227">
        <v>5</v>
      </c>
      <c r="D227">
        <v>7.3</v>
      </c>
      <c r="E227">
        <v>33</v>
      </c>
      <c r="F227" t="s">
        <v>25</v>
      </c>
      <c r="G227" t="s">
        <v>163</v>
      </c>
      <c r="I227" s="15">
        <f t="shared" si="9"/>
        <v>904</v>
      </c>
      <c r="J227" s="15" t="str">
        <f t="shared" si="10"/>
        <v>09</v>
      </c>
      <c r="K227" s="15" t="str">
        <f t="shared" si="11"/>
        <v>0109</v>
      </c>
      <c r="L227" t="s">
        <v>2071</v>
      </c>
      <c r="M227">
        <v>0</v>
      </c>
      <c r="N227">
        <v>5</v>
      </c>
      <c r="O227">
        <v>7.3</v>
      </c>
      <c r="P227">
        <v>33</v>
      </c>
    </row>
    <row r="228" spans="1:16">
      <c r="A228" t="s">
        <v>1915</v>
      </c>
      <c r="B228">
        <v>0</v>
      </c>
      <c r="C228">
        <v>4</v>
      </c>
      <c r="D228">
        <v>6.7</v>
      </c>
      <c r="E228">
        <v>24</v>
      </c>
      <c r="F228" t="s">
        <v>47</v>
      </c>
      <c r="G228" t="s">
        <v>48</v>
      </c>
      <c r="I228" s="15">
        <f t="shared" si="9"/>
        <v>1016</v>
      </c>
      <c r="J228" s="15" t="str">
        <f t="shared" si="10"/>
        <v>10</v>
      </c>
      <c r="K228" s="15" t="str">
        <f t="shared" si="11"/>
        <v>0110</v>
      </c>
      <c r="L228" t="s">
        <v>2072</v>
      </c>
      <c r="M228">
        <v>0</v>
      </c>
      <c r="N228">
        <v>4</v>
      </c>
      <c r="O228">
        <v>6.7</v>
      </c>
      <c r="P228">
        <v>24</v>
      </c>
    </row>
    <row r="229" spans="1:16">
      <c r="A229" t="s">
        <v>1779</v>
      </c>
      <c r="B229">
        <v>0</v>
      </c>
      <c r="C229">
        <v>2</v>
      </c>
      <c r="D229">
        <v>6.6</v>
      </c>
      <c r="E229">
        <v>96</v>
      </c>
      <c r="F229" t="s">
        <v>54</v>
      </c>
      <c r="G229" t="s">
        <v>108</v>
      </c>
      <c r="I229" s="15">
        <f t="shared" si="9"/>
        <v>1109</v>
      </c>
      <c r="J229" s="15" t="str">
        <f t="shared" si="10"/>
        <v>11</v>
      </c>
      <c r="K229" s="15" t="str">
        <f t="shared" si="11"/>
        <v>0111</v>
      </c>
      <c r="L229" t="s">
        <v>2073</v>
      </c>
      <c r="M229">
        <v>0</v>
      </c>
      <c r="N229">
        <v>2</v>
      </c>
      <c r="O229">
        <v>6.6</v>
      </c>
      <c r="P229">
        <v>96</v>
      </c>
    </row>
    <row r="230" spans="1:16">
      <c r="A230" t="s">
        <v>1779</v>
      </c>
      <c r="B230">
        <v>0</v>
      </c>
      <c r="C230">
        <v>2</v>
      </c>
      <c r="D230">
        <v>6.8</v>
      </c>
      <c r="E230">
        <v>25</v>
      </c>
      <c r="F230" t="s">
        <v>54</v>
      </c>
      <c r="G230" t="s">
        <v>200</v>
      </c>
      <c r="I230" s="15">
        <f t="shared" si="9"/>
        <v>1109</v>
      </c>
      <c r="J230" s="15" t="str">
        <f t="shared" si="10"/>
        <v>11</v>
      </c>
      <c r="K230" s="15" t="str">
        <f t="shared" si="11"/>
        <v>0111</v>
      </c>
      <c r="L230" t="s">
        <v>2073</v>
      </c>
      <c r="M230">
        <v>0</v>
      </c>
      <c r="N230">
        <v>2</v>
      </c>
      <c r="O230">
        <v>6.8</v>
      </c>
      <c r="P230">
        <v>25</v>
      </c>
    </row>
    <row r="231" spans="1:16">
      <c r="A231" t="s">
        <v>1901</v>
      </c>
      <c r="B231">
        <v>0</v>
      </c>
      <c r="C231">
        <v>2</v>
      </c>
      <c r="D231">
        <v>7.4</v>
      </c>
      <c r="E231">
        <v>30</v>
      </c>
      <c r="F231" t="s">
        <v>54</v>
      </c>
      <c r="G231" t="s">
        <v>108</v>
      </c>
      <c r="I231" s="15">
        <f t="shared" si="9"/>
        <v>1116</v>
      </c>
      <c r="J231" s="15" t="str">
        <f t="shared" si="10"/>
        <v>11</v>
      </c>
      <c r="K231" s="15" t="str">
        <f t="shared" si="11"/>
        <v>0111</v>
      </c>
      <c r="L231" t="s">
        <v>2073</v>
      </c>
      <c r="M231">
        <v>0</v>
      </c>
      <c r="N231">
        <v>2</v>
      </c>
      <c r="O231">
        <v>7.4</v>
      </c>
      <c r="P231">
        <v>30</v>
      </c>
    </row>
    <row r="232" spans="1:16">
      <c r="A232" t="s">
        <v>1916</v>
      </c>
      <c r="B232">
        <v>0</v>
      </c>
      <c r="C232">
        <v>4</v>
      </c>
      <c r="D232">
        <v>6.5</v>
      </c>
      <c r="E232">
        <v>83</v>
      </c>
      <c r="F232" t="s">
        <v>47</v>
      </c>
      <c r="G232" t="s">
        <v>48</v>
      </c>
      <c r="I232" s="15">
        <f t="shared" si="9"/>
        <v>1202</v>
      </c>
      <c r="J232" s="15" t="str">
        <f t="shared" si="10"/>
        <v>12</v>
      </c>
      <c r="K232" s="15" t="str">
        <f t="shared" si="11"/>
        <v>0112</v>
      </c>
      <c r="L232" t="s">
        <v>2074</v>
      </c>
      <c r="M232">
        <v>0</v>
      </c>
      <c r="N232">
        <v>4</v>
      </c>
      <c r="O232">
        <v>6.5</v>
      </c>
      <c r="P232">
        <v>83</v>
      </c>
    </row>
    <row r="233" spans="1:16">
      <c r="A233" t="s">
        <v>1917</v>
      </c>
      <c r="B233">
        <v>0</v>
      </c>
      <c r="C233">
        <v>2</v>
      </c>
      <c r="D233">
        <v>7.9</v>
      </c>
      <c r="E233">
        <v>19</v>
      </c>
      <c r="F233" t="s">
        <v>54</v>
      </c>
      <c r="G233" t="s">
        <v>1752</v>
      </c>
      <c r="I233" s="15">
        <f t="shared" si="9"/>
        <v>1205</v>
      </c>
      <c r="J233" s="15" t="str">
        <f t="shared" si="10"/>
        <v>12</v>
      </c>
      <c r="K233" s="15" t="str">
        <f t="shared" si="11"/>
        <v>0112</v>
      </c>
      <c r="L233" t="s">
        <v>2074</v>
      </c>
      <c r="M233">
        <v>0</v>
      </c>
      <c r="N233">
        <v>2</v>
      </c>
      <c r="O233">
        <v>7.9</v>
      </c>
      <c r="P233">
        <v>19</v>
      </c>
    </row>
    <row r="234" spans="1:16">
      <c r="A234" t="s">
        <v>1806</v>
      </c>
      <c r="B234">
        <v>0</v>
      </c>
      <c r="C234">
        <v>2</v>
      </c>
      <c r="D234">
        <v>6.6</v>
      </c>
      <c r="E234">
        <v>9</v>
      </c>
      <c r="F234" t="s">
        <v>54</v>
      </c>
      <c r="G234" t="s">
        <v>108</v>
      </c>
      <c r="I234" s="15">
        <f t="shared" si="9"/>
        <v>110</v>
      </c>
      <c r="J234" s="15" t="str">
        <f t="shared" si="10"/>
        <v>01</v>
      </c>
      <c r="K234" s="15" t="str">
        <f t="shared" si="11"/>
        <v>0101</v>
      </c>
      <c r="L234" t="s">
        <v>2064</v>
      </c>
      <c r="M234">
        <v>0</v>
      </c>
      <c r="N234">
        <v>2</v>
      </c>
      <c r="O234">
        <v>6.6</v>
      </c>
      <c r="P234">
        <v>9</v>
      </c>
    </row>
    <row r="235" spans="1:16">
      <c r="A235" t="s">
        <v>1893</v>
      </c>
      <c r="B235">
        <v>0</v>
      </c>
      <c r="C235">
        <v>2</v>
      </c>
      <c r="D235">
        <v>7</v>
      </c>
      <c r="E235">
        <v>46</v>
      </c>
      <c r="F235" t="s">
        <v>54</v>
      </c>
      <c r="G235" t="s">
        <v>108</v>
      </c>
      <c r="I235" s="15">
        <f t="shared" si="9"/>
        <v>209</v>
      </c>
      <c r="J235" s="15" t="str">
        <f t="shared" si="10"/>
        <v>02</v>
      </c>
      <c r="K235" s="15" t="str">
        <f t="shared" si="11"/>
        <v>0102</v>
      </c>
      <c r="L235" t="s">
        <v>2065</v>
      </c>
      <c r="M235">
        <v>0</v>
      </c>
      <c r="N235">
        <v>2</v>
      </c>
      <c r="O235">
        <v>7</v>
      </c>
      <c r="P235">
        <v>46</v>
      </c>
    </row>
    <row r="236" spans="1:16">
      <c r="A236" t="s">
        <v>1786</v>
      </c>
      <c r="B236">
        <v>0</v>
      </c>
      <c r="C236">
        <v>2</v>
      </c>
      <c r="D236">
        <v>7.7</v>
      </c>
      <c r="E236">
        <v>17</v>
      </c>
      <c r="F236" t="s">
        <v>54</v>
      </c>
      <c r="G236" t="s">
        <v>108</v>
      </c>
      <c r="I236" s="15">
        <f t="shared" si="9"/>
        <v>301</v>
      </c>
      <c r="J236" s="15" t="str">
        <f t="shared" si="10"/>
        <v>03</v>
      </c>
      <c r="K236" s="15" t="str">
        <f t="shared" si="11"/>
        <v>0103</v>
      </c>
      <c r="L236" t="s">
        <v>2066</v>
      </c>
      <c r="M236">
        <v>0</v>
      </c>
      <c r="N236">
        <v>2</v>
      </c>
      <c r="O236">
        <v>7.7</v>
      </c>
      <c r="P236">
        <v>17</v>
      </c>
    </row>
    <row r="237" spans="1:16">
      <c r="A237" t="s">
        <v>1786</v>
      </c>
      <c r="B237">
        <v>0</v>
      </c>
      <c r="C237">
        <v>2</v>
      </c>
      <c r="D237">
        <v>6.6</v>
      </c>
      <c r="E237">
        <v>204.8</v>
      </c>
      <c r="F237" t="s">
        <v>54</v>
      </c>
      <c r="G237" t="s">
        <v>649</v>
      </c>
      <c r="I237" s="15">
        <f t="shared" si="9"/>
        <v>301</v>
      </c>
      <c r="J237" s="15" t="str">
        <f t="shared" si="10"/>
        <v>03</v>
      </c>
      <c r="K237" s="15" t="str">
        <f t="shared" si="11"/>
        <v>0103</v>
      </c>
      <c r="L237" t="s">
        <v>2066</v>
      </c>
      <c r="M237">
        <v>0</v>
      </c>
      <c r="N237">
        <v>2</v>
      </c>
      <c r="O237">
        <v>6.6</v>
      </c>
      <c r="P237">
        <v>204.8</v>
      </c>
    </row>
    <row r="238" spans="1:16">
      <c r="A238" t="s">
        <v>1786</v>
      </c>
      <c r="B238">
        <v>0</v>
      </c>
      <c r="C238">
        <v>2</v>
      </c>
      <c r="D238">
        <v>7.4</v>
      </c>
      <c r="E238">
        <v>23</v>
      </c>
      <c r="F238" t="s">
        <v>54</v>
      </c>
      <c r="G238" t="s">
        <v>108</v>
      </c>
      <c r="I238" s="15">
        <f t="shared" si="9"/>
        <v>301</v>
      </c>
      <c r="J238" s="15" t="str">
        <f t="shared" si="10"/>
        <v>03</v>
      </c>
      <c r="K238" s="15" t="str">
        <f t="shared" si="11"/>
        <v>0103</v>
      </c>
      <c r="L238" t="s">
        <v>2066</v>
      </c>
      <c r="M238">
        <v>0</v>
      </c>
      <c r="N238">
        <v>2</v>
      </c>
      <c r="O238">
        <v>7.4</v>
      </c>
      <c r="P238">
        <v>23</v>
      </c>
    </row>
    <row r="239" spans="1:16">
      <c r="A239" t="s">
        <v>1918</v>
      </c>
      <c r="B239">
        <v>0</v>
      </c>
      <c r="C239">
        <v>4</v>
      </c>
      <c r="D239">
        <v>6.9</v>
      </c>
      <c r="E239">
        <v>10</v>
      </c>
      <c r="F239" t="s">
        <v>47</v>
      </c>
      <c r="G239" t="s">
        <v>48</v>
      </c>
      <c r="I239" s="15">
        <f t="shared" si="9"/>
        <v>308</v>
      </c>
      <c r="J239" s="15" t="str">
        <f t="shared" si="10"/>
        <v>03</v>
      </c>
      <c r="K239" s="15" t="str">
        <f t="shared" si="11"/>
        <v>0103</v>
      </c>
      <c r="L239" t="s">
        <v>2066</v>
      </c>
      <c r="M239">
        <v>0</v>
      </c>
      <c r="N239">
        <v>4</v>
      </c>
      <c r="O239">
        <v>6.9</v>
      </c>
      <c r="P239">
        <v>10</v>
      </c>
    </row>
    <row r="240" spans="1:16">
      <c r="A240" t="s">
        <v>1766</v>
      </c>
      <c r="B240">
        <v>0</v>
      </c>
      <c r="C240">
        <v>5</v>
      </c>
      <c r="D240">
        <v>7.6</v>
      </c>
      <c r="E240">
        <v>31</v>
      </c>
      <c r="F240" t="s">
        <v>25</v>
      </c>
      <c r="G240" t="s">
        <v>1022</v>
      </c>
      <c r="I240" s="15">
        <f t="shared" si="9"/>
        <v>319</v>
      </c>
      <c r="J240" s="15" t="str">
        <f t="shared" si="10"/>
        <v>03</v>
      </c>
      <c r="K240" s="15" t="str">
        <f t="shared" si="11"/>
        <v>0103</v>
      </c>
      <c r="L240" t="s">
        <v>2066</v>
      </c>
      <c r="M240">
        <v>0</v>
      </c>
      <c r="N240">
        <v>5</v>
      </c>
      <c r="O240">
        <v>7.6</v>
      </c>
      <c r="P240">
        <v>31</v>
      </c>
    </row>
    <row r="241" spans="1:16">
      <c r="A241" t="s">
        <v>1881</v>
      </c>
      <c r="B241">
        <v>0</v>
      </c>
      <c r="C241">
        <v>4</v>
      </c>
      <c r="D241">
        <v>7.3</v>
      </c>
      <c r="E241">
        <v>19</v>
      </c>
      <c r="F241" t="s">
        <v>47</v>
      </c>
      <c r="G241" t="s">
        <v>1738</v>
      </c>
      <c r="I241" s="15">
        <f t="shared" si="9"/>
        <v>528</v>
      </c>
      <c r="J241" s="15" t="str">
        <f t="shared" si="10"/>
        <v>05</v>
      </c>
      <c r="K241" s="15" t="str">
        <f t="shared" si="11"/>
        <v>0105</v>
      </c>
      <c r="L241" t="s">
        <v>2068</v>
      </c>
      <c r="M241">
        <v>0</v>
      </c>
      <c r="N241">
        <v>4</v>
      </c>
      <c r="O241">
        <v>7.3</v>
      </c>
      <c r="P241">
        <v>19</v>
      </c>
    </row>
    <row r="242" spans="1:16">
      <c r="A242" t="s">
        <v>1770</v>
      </c>
      <c r="B242">
        <v>0</v>
      </c>
      <c r="C242">
        <v>5</v>
      </c>
      <c r="D242">
        <v>6.7</v>
      </c>
      <c r="E242">
        <v>64</v>
      </c>
      <c r="F242" t="s">
        <v>25</v>
      </c>
      <c r="G242" t="s">
        <v>64</v>
      </c>
      <c r="I242" s="15">
        <f t="shared" si="9"/>
        <v>623</v>
      </c>
      <c r="J242" s="15" t="str">
        <f t="shared" si="10"/>
        <v>06</v>
      </c>
      <c r="K242" s="15" t="str">
        <f t="shared" si="11"/>
        <v>0106</v>
      </c>
      <c r="L242" t="s">
        <v>2069</v>
      </c>
      <c r="M242">
        <v>0</v>
      </c>
      <c r="N242">
        <v>5</v>
      </c>
      <c r="O242">
        <v>6.7</v>
      </c>
      <c r="P242">
        <v>64</v>
      </c>
    </row>
    <row r="243" spans="1:16">
      <c r="A243" t="s">
        <v>1919</v>
      </c>
      <c r="B243">
        <v>0</v>
      </c>
      <c r="C243">
        <v>5</v>
      </c>
      <c r="D243">
        <v>7.7</v>
      </c>
      <c r="E243">
        <v>45</v>
      </c>
      <c r="F243" t="s">
        <v>25</v>
      </c>
      <c r="G243" t="s">
        <v>163</v>
      </c>
      <c r="I243" s="15">
        <f t="shared" si="9"/>
        <v>710</v>
      </c>
      <c r="J243" s="15" t="str">
        <f t="shared" si="10"/>
        <v>07</v>
      </c>
      <c r="K243" s="15" t="str">
        <f t="shared" si="11"/>
        <v>0107</v>
      </c>
      <c r="L243" t="s">
        <v>2070</v>
      </c>
      <c r="M243">
        <v>0</v>
      </c>
      <c r="N243">
        <v>5</v>
      </c>
      <c r="O243">
        <v>7.7</v>
      </c>
      <c r="P243">
        <v>45</v>
      </c>
    </row>
    <row r="244" spans="1:16">
      <c r="A244" t="s">
        <v>1919</v>
      </c>
      <c r="B244">
        <v>0</v>
      </c>
      <c r="C244">
        <v>5</v>
      </c>
      <c r="D244">
        <v>7.8</v>
      </c>
      <c r="E244">
        <v>35</v>
      </c>
      <c r="F244" t="s">
        <v>25</v>
      </c>
      <c r="G244" t="s">
        <v>163</v>
      </c>
      <c r="I244" s="15">
        <f t="shared" si="9"/>
        <v>710</v>
      </c>
      <c r="J244" s="15" t="str">
        <f t="shared" si="10"/>
        <v>07</v>
      </c>
      <c r="K244" s="15" t="str">
        <f t="shared" si="11"/>
        <v>0107</v>
      </c>
      <c r="L244" t="s">
        <v>2070</v>
      </c>
      <c r="M244">
        <v>0</v>
      </c>
      <c r="N244">
        <v>5</v>
      </c>
      <c r="O244">
        <v>7.8</v>
      </c>
      <c r="P244">
        <v>35</v>
      </c>
    </row>
    <row r="245" spans="1:16">
      <c r="A245" t="s">
        <v>1919</v>
      </c>
      <c r="B245">
        <v>0</v>
      </c>
      <c r="C245">
        <v>5</v>
      </c>
      <c r="D245">
        <v>7.4</v>
      </c>
      <c r="E245">
        <v>31.1</v>
      </c>
      <c r="F245" t="s">
        <v>25</v>
      </c>
      <c r="G245" t="s">
        <v>163</v>
      </c>
      <c r="I245" s="15">
        <f t="shared" si="9"/>
        <v>710</v>
      </c>
      <c r="J245" s="15" t="str">
        <f t="shared" si="10"/>
        <v>07</v>
      </c>
      <c r="K245" s="15" t="str">
        <f t="shared" si="11"/>
        <v>0107</v>
      </c>
      <c r="L245" t="s">
        <v>2070</v>
      </c>
      <c r="M245">
        <v>0</v>
      </c>
      <c r="N245">
        <v>5</v>
      </c>
      <c r="O245">
        <v>7.4</v>
      </c>
      <c r="P245">
        <v>31.1</v>
      </c>
    </row>
    <row r="246" spans="1:16">
      <c r="A246" t="s">
        <v>1818</v>
      </c>
      <c r="B246">
        <v>0</v>
      </c>
      <c r="C246">
        <v>5</v>
      </c>
      <c r="D246">
        <v>7.8</v>
      </c>
      <c r="E246">
        <v>12</v>
      </c>
      <c r="F246" t="s">
        <v>25</v>
      </c>
      <c r="G246" t="s">
        <v>594</v>
      </c>
      <c r="I246" s="15">
        <f t="shared" si="9"/>
        <v>715</v>
      </c>
      <c r="J246" s="15" t="str">
        <f t="shared" si="10"/>
        <v>07</v>
      </c>
      <c r="K246" s="15" t="str">
        <f t="shared" si="11"/>
        <v>0107</v>
      </c>
      <c r="L246" t="s">
        <v>2070</v>
      </c>
      <c r="M246">
        <v>0</v>
      </c>
      <c r="N246">
        <v>5</v>
      </c>
      <c r="O246">
        <v>7.8</v>
      </c>
      <c r="P246">
        <v>12</v>
      </c>
    </row>
    <row r="247" spans="1:16">
      <c r="A247" t="s">
        <v>1819</v>
      </c>
      <c r="B247">
        <v>0</v>
      </c>
      <c r="C247">
        <v>5</v>
      </c>
      <c r="D247">
        <v>6.8</v>
      </c>
      <c r="E247">
        <v>35</v>
      </c>
      <c r="F247" t="s">
        <v>25</v>
      </c>
      <c r="G247" t="s">
        <v>163</v>
      </c>
      <c r="I247" s="15">
        <f t="shared" si="9"/>
        <v>810</v>
      </c>
      <c r="J247" s="15" t="str">
        <f t="shared" si="10"/>
        <v>08</v>
      </c>
      <c r="K247" s="15" t="str">
        <f t="shared" si="11"/>
        <v>0108</v>
      </c>
      <c r="L247" t="s">
        <v>2075</v>
      </c>
      <c r="M247">
        <v>0</v>
      </c>
      <c r="N247">
        <v>5</v>
      </c>
      <c r="O247">
        <v>6.8</v>
      </c>
      <c r="P247">
        <v>35</v>
      </c>
    </row>
    <row r="248" spans="1:16">
      <c r="A248" t="s">
        <v>1920</v>
      </c>
      <c r="B248">
        <v>0</v>
      </c>
      <c r="C248">
        <v>2</v>
      </c>
      <c r="D248">
        <v>6.6</v>
      </c>
      <c r="E248">
        <v>18</v>
      </c>
      <c r="F248" t="s">
        <v>54</v>
      </c>
      <c r="G248" t="s">
        <v>108</v>
      </c>
      <c r="I248" s="15">
        <f t="shared" si="9"/>
        <v>811</v>
      </c>
      <c r="J248" s="15" t="str">
        <f t="shared" si="10"/>
        <v>08</v>
      </c>
      <c r="K248" s="15" t="str">
        <f t="shared" si="11"/>
        <v>0108</v>
      </c>
      <c r="L248" t="s">
        <v>2075</v>
      </c>
      <c r="M248">
        <v>0</v>
      </c>
      <c r="N248">
        <v>2</v>
      </c>
      <c r="O248">
        <v>6.6</v>
      </c>
      <c r="P248">
        <v>18</v>
      </c>
    </row>
    <row r="249" spans="1:16">
      <c r="A249" t="s">
        <v>1866</v>
      </c>
      <c r="B249">
        <v>0</v>
      </c>
      <c r="C249">
        <v>2</v>
      </c>
      <c r="D249">
        <v>6.7</v>
      </c>
      <c r="E249">
        <v>20</v>
      </c>
      <c r="F249" t="s">
        <v>54</v>
      </c>
      <c r="G249" t="s">
        <v>108</v>
      </c>
      <c r="I249" s="15">
        <f t="shared" si="9"/>
        <v>816</v>
      </c>
      <c r="J249" s="15" t="str">
        <f t="shared" si="10"/>
        <v>08</v>
      </c>
      <c r="K249" s="15" t="str">
        <f t="shared" si="11"/>
        <v>0108</v>
      </c>
      <c r="L249" t="s">
        <v>2075</v>
      </c>
      <c r="M249">
        <v>0</v>
      </c>
      <c r="N249">
        <v>2</v>
      </c>
      <c r="O249">
        <v>6.7</v>
      </c>
      <c r="P249">
        <v>20</v>
      </c>
    </row>
    <row r="250" spans="1:16">
      <c r="A250" t="s">
        <v>1921</v>
      </c>
      <c r="B250">
        <v>0</v>
      </c>
      <c r="C250">
        <v>2</v>
      </c>
      <c r="D250">
        <v>7.1</v>
      </c>
      <c r="E250">
        <v>292</v>
      </c>
      <c r="F250" s="3" t="s">
        <v>54</v>
      </c>
      <c r="G250" t="s">
        <v>200</v>
      </c>
      <c r="I250" s="15">
        <f t="shared" si="9"/>
        <v>908</v>
      </c>
      <c r="J250" s="15" t="str">
        <f t="shared" si="10"/>
        <v>09</v>
      </c>
      <c r="K250" s="15" t="str">
        <f t="shared" si="11"/>
        <v>0109</v>
      </c>
      <c r="L250" t="s">
        <v>2071</v>
      </c>
      <c r="M250">
        <v>0</v>
      </c>
      <c r="N250">
        <v>2</v>
      </c>
      <c r="O250">
        <v>7.1</v>
      </c>
      <c r="P250">
        <v>292</v>
      </c>
    </row>
    <row r="251" spans="1:16">
      <c r="A251" t="s">
        <v>1922</v>
      </c>
      <c r="B251">
        <v>0</v>
      </c>
      <c r="C251">
        <v>5</v>
      </c>
      <c r="D251">
        <v>7.3</v>
      </c>
      <c r="E251">
        <v>595</v>
      </c>
      <c r="F251" t="s">
        <v>25</v>
      </c>
      <c r="G251" t="s">
        <v>31</v>
      </c>
      <c r="I251" s="15">
        <f t="shared" si="9"/>
        <v>911</v>
      </c>
      <c r="J251" s="15" t="str">
        <f t="shared" si="10"/>
        <v>09</v>
      </c>
      <c r="K251" s="15" t="str">
        <f t="shared" si="11"/>
        <v>0109</v>
      </c>
      <c r="L251" t="s">
        <v>2071</v>
      </c>
      <c r="M251">
        <v>0</v>
      </c>
      <c r="N251">
        <v>5</v>
      </c>
      <c r="O251">
        <v>7.3</v>
      </c>
      <c r="P251">
        <v>595</v>
      </c>
    </row>
    <row r="252" spans="1:16">
      <c r="A252" t="s">
        <v>1824</v>
      </c>
      <c r="B252">
        <v>0</v>
      </c>
      <c r="C252">
        <v>5</v>
      </c>
      <c r="D252">
        <v>8.1</v>
      </c>
      <c r="E252">
        <v>18</v>
      </c>
      <c r="F252" t="s">
        <v>25</v>
      </c>
      <c r="G252" t="s">
        <v>1750</v>
      </c>
      <c r="I252" s="15">
        <f t="shared" si="9"/>
        <v>929</v>
      </c>
      <c r="J252" s="15" t="str">
        <f t="shared" si="10"/>
        <v>09</v>
      </c>
      <c r="K252" s="15" t="str">
        <f t="shared" si="11"/>
        <v>0109</v>
      </c>
      <c r="L252" t="s">
        <v>2071</v>
      </c>
      <c r="M252">
        <v>0</v>
      </c>
      <c r="N252">
        <v>5</v>
      </c>
      <c r="O252">
        <v>8.1</v>
      </c>
      <c r="P252">
        <v>18</v>
      </c>
    </row>
    <row r="253" spans="1:16">
      <c r="A253" t="s">
        <v>1923</v>
      </c>
      <c r="B253">
        <v>0</v>
      </c>
      <c r="C253">
        <v>2</v>
      </c>
      <c r="D253">
        <v>7.6</v>
      </c>
      <c r="E253">
        <v>81</v>
      </c>
      <c r="F253" t="s">
        <v>54</v>
      </c>
      <c r="G253" t="s">
        <v>108</v>
      </c>
      <c r="I253" s="15">
        <f t="shared" si="9"/>
        <v>930</v>
      </c>
      <c r="J253" s="15" t="str">
        <f t="shared" si="10"/>
        <v>09</v>
      </c>
      <c r="K253" s="15" t="str">
        <f t="shared" si="11"/>
        <v>0109</v>
      </c>
      <c r="L253" t="s">
        <v>2071</v>
      </c>
      <c r="M253">
        <v>0</v>
      </c>
      <c r="N253">
        <v>2</v>
      </c>
      <c r="O253">
        <v>7.6</v>
      </c>
      <c r="P253">
        <v>81</v>
      </c>
    </row>
    <row r="254" spans="1:16">
      <c r="A254" t="s">
        <v>1924</v>
      </c>
      <c r="B254">
        <v>0</v>
      </c>
      <c r="C254">
        <v>2</v>
      </c>
      <c r="D254">
        <v>7.5</v>
      </c>
      <c r="E254">
        <v>24</v>
      </c>
      <c r="F254" t="s">
        <v>54</v>
      </c>
      <c r="G254" t="s">
        <v>671</v>
      </c>
      <c r="I254" s="15">
        <f t="shared" si="9"/>
        <v>1008</v>
      </c>
      <c r="J254" s="15" t="str">
        <f t="shared" si="10"/>
        <v>10</v>
      </c>
      <c r="K254" s="15" t="str">
        <f t="shared" si="11"/>
        <v>0110</v>
      </c>
      <c r="L254" t="s">
        <v>2072</v>
      </c>
      <c r="M254">
        <v>0</v>
      </c>
      <c r="N254">
        <v>2</v>
      </c>
      <c r="O254">
        <v>7.5</v>
      </c>
      <c r="P254">
        <v>24</v>
      </c>
    </row>
    <row r="255" spans="1:16">
      <c r="A255" t="s">
        <v>1900</v>
      </c>
      <c r="B255">
        <v>0</v>
      </c>
      <c r="C255">
        <v>2</v>
      </c>
      <c r="D255">
        <v>6.9</v>
      </c>
      <c r="E255">
        <v>130</v>
      </c>
      <c r="F255" t="s">
        <v>54</v>
      </c>
      <c r="G255" t="s">
        <v>108</v>
      </c>
      <c r="I255" s="15">
        <f t="shared" si="9"/>
        <v>1024</v>
      </c>
      <c r="J255" s="15" t="str">
        <f t="shared" si="10"/>
        <v>10</v>
      </c>
      <c r="K255" s="15" t="str">
        <f t="shared" si="11"/>
        <v>0110</v>
      </c>
      <c r="L255" t="s">
        <v>2072</v>
      </c>
      <c r="M255">
        <v>0</v>
      </c>
      <c r="N255">
        <v>2</v>
      </c>
      <c r="O255">
        <v>6.9</v>
      </c>
      <c r="P255">
        <v>130</v>
      </c>
    </row>
    <row r="256" spans="1:16">
      <c r="A256" t="s">
        <v>1925</v>
      </c>
      <c r="B256">
        <v>0</v>
      </c>
      <c r="C256">
        <v>2</v>
      </c>
      <c r="D256">
        <v>6.8</v>
      </c>
      <c r="E256">
        <v>34</v>
      </c>
      <c r="F256" t="s">
        <v>54</v>
      </c>
      <c r="G256" t="s">
        <v>200</v>
      </c>
      <c r="I256" s="15">
        <f t="shared" si="9"/>
        <v>1030</v>
      </c>
      <c r="J256" s="15" t="str">
        <f t="shared" si="10"/>
        <v>10</v>
      </c>
      <c r="K256" s="15" t="str">
        <f t="shared" si="11"/>
        <v>0110</v>
      </c>
      <c r="L256" t="s">
        <v>2072</v>
      </c>
      <c r="M256">
        <v>0</v>
      </c>
      <c r="N256">
        <v>2</v>
      </c>
      <c r="O256">
        <v>6.8</v>
      </c>
      <c r="P256">
        <v>34</v>
      </c>
    </row>
    <row r="257" spans="1:16">
      <c r="A257" t="s">
        <v>1926</v>
      </c>
      <c r="B257">
        <v>0</v>
      </c>
      <c r="C257">
        <v>2</v>
      </c>
      <c r="D257">
        <v>7.2</v>
      </c>
      <c r="E257">
        <v>20</v>
      </c>
      <c r="F257" t="s">
        <v>54</v>
      </c>
      <c r="G257" t="s">
        <v>108</v>
      </c>
      <c r="I257" s="15">
        <f t="shared" si="9"/>
        <v>1102</v>
      </c>
      <c r="J257" s="15" t="str">
        <f t="shared" si="10"/>
        <v>11</v>
      </c>
      <c r="K257" s="15" t="str">
        <f t="shared" si="11"/>
        <v>0111</v>
      </c>
      <c r="L257" t="s">
        <v>2073</v>
      </c>
      <c r="M257">
        <v>0</v>
      </c>
      <c r="N257">
        <v>2</v>
      </c>
      <c r="O257">
        <v>7.2</v>
      </c>
      <c r="P257">
        <v>20</v>
      </c>
    </row>
    <row r="258" spans="1:16">
      <c r="A258" t="s">
        <v>1927</v>
      </c>
      <c r="B258">
        <v>0</v>
      </c>
      <c r="C258">
        <v>6</v>
      </c>
      <c r="D258">
        <v>6.5</v>
      </c>
      <c r="E258">
        <v>27</v>
      </c>
      <c r="F258" t="s">
        <v>78</v>
      </c>
      <c r="G258" t="s">
        <v>245</v>
      </c>
      <c r="I258" s="15">
        <f t="shared" ref="I258:I291" si="12">TRUNC(A258,6)</f>
        <v>1113</v>
      </c>
      <c r="J258" s="15" t="str">
        <f t="shared" si="10"/>
        <v>11</v>
      </c>
      <c r="K258" s="15" t="str">
        <f t="shared" si="11"/>
        <v>0111</v>
      </c>
      <c r="L258" t="s">
        <v>2073</v>
      </c>
      <c r="M258">
        <v>0</v>
      </c>
      <c r="N258">
        <v>6</v>
      </c>
      <c r="O258">
        <v>6.5</v>
      </c>
      <c r="P258">
        <v>27</v>
      </c>
    </row>
    <row r="259" spans="1:16">
      <c r="A259" t="s">
        <v>1928</v>
      </c>
      <c r="B259">
        <v>0</v>
      </c>
      <c r="C259">
        <v>2</v>
      </c>
      <c r="D259">
        <v>6.6</v>
      </c>
      <c r="E259">
        <v>53</v>
      </c>
      <c r="F259" t="s">
        <v>54</v>
      </c>
      <c r="G259" t="s">
        <v>200</v>
      </c>
      <c r="I259" s="15">
        <f t="shared" si="12"/>
        <v>1208</v>
      </c>
      <c r="J259" s="15" t="str">
        <f t="shared" ref="J259:J322" si="13">LEFT(L259,2)</f>
        <v>12</v>
      </c>
      <c r="K259" s="15" t="str">
        <f t="shared" ref="K259:K322" si="14">TEXT(J259,"MMDD")</f>
        <v>0112</v>
      </c>
      <c r="L259" t="s">
        <v>2074</v>
      </c>
      <c r="M259">
        <v>0</v>
      </c>
      <c r="N259">
        <v>2</v>
      </c>
      <c r="O259">
        <v>6.6</v>
      </c>
      <c r="P259">
        <v>53</v>
      </c>
    </row>
    <row r="260" spans="1:16">
      <c r="A260" t="s">
        <v>1762</v>
      </c>
      <c r="B260">
        <v>0</v>
      </c>
      <c r="C260">
        <v>5</v>
      </c>
      <c r="D260">
        <v>6.6</v>
      </c>
      <c r="E260">
        <v>33</v>
      </c>
      <c r="F260" t="s">
        <v>25</v>
      </c>
      <c r="G260" t="s">
        <v>64</v>
      </c>
      <c r="I260" s="15">
        <f t="shared" si="12"/>
        <v>212</v>
      </c>
      <c r="J260" s="15" t="str">
        <f t="shared" si="13"/>
        <v>02</v>
      </c>
      <c r="K260" s="15" t="str">
        <f t="shared" si="14"/>
        <v>0102</v>
      </c>
      <c r="L260" t="s">
        <v>2065</v>
      </c>
      <c r="M260">
        <v>0</v>
      </c>
      <c r="N260">
        <v>5</v>
      </c>
      <c r="O260">
        <v>6.6</v>
      </c>
      <c r="P260">
        <v>33</v>
      </c>
    </row>
    <row r="261" spans="1:16">
      <c r="A261" t="s">
        <v>1858</v>
      </c>
      <c r="B261">
        <v>0</v>
      </c>
      <c r="C261">
        <v>2</v>
      </c>
      <c r="D261">
        <v>7</v>
      </c>
      <c r="E261">
        <v>25</v>
      </c>
      <c r="F261" t="s">
        <v>54</v>
      </c>
      <c r="G261" t="s">
        <v>200</v>
      </c>
      <c r="I261" s="15">
        <f t="shared" si="12"/>
        <v>226</v>
      </c>
      <c r="J261" s="15" t="str">
        <f t="shared" si="13"/>
        <v>02</v>
      </c>
      <c r="K261" s="15" t="str">
        <f t="shared" si="14"/>
        <v>0102</v>
      </c>
      <c r="L261" t="s">
        <v>2065</v>
      </c>
      <c r="M261">
        <v>0</v>
      </c>
      <c r="N261">
        <v>2</v>
      </c>
      <c r="O261">
        <v>7</v>
      </c>
      <c r="P261">
        <v>25</v>
      </c>
    </row>
    <row r="262" spans="1:16">
      <c r="A262" t="s">
        <v>1929</v>
      </c>
      <c r="B262">
        <v>0</v>
      </c>
      <c r="C262">
        <v>6</v>
      </c>
      <c r="D262">
        <v>8.8000000000000007</v>
      </c>
      <c r="E262">
        <v>22.9</v>
      </c>
      <c r="F262" t="s">
        <v>78</v>
      </c>
      <c r="G262" t="s">
        <v>245</v>
      </c>
      <c r="I262" s="15">
        <f t="shared" si="12"/>
        <v>227</v>
      </c>
      <c r="J262" s="15" t="str">
        <f t="shared" si="13"/>
        <v>02</v>
      </c>
      <c r="K262" s="15" t="str">
        <f t="shared" si="14"/>
        <v>0102</v>
      </c>
      <c r="L262" t="s">
        <v>2065</v>
      </c>
      <c r="M262">
        <v>0</v>
      </c>
      <c r="N262">
        <v>6</v>
      </c>
      <c r="O262">
        <v>8.8000000000000007</v>
      </c>
      <c r="P262">
        <v>22.9</v>
      </c>
    </row>
    <row r="263" spans="1:16">
      <c r="A263" t="s">
        <v>1929</v>
      </c>
      <c r="B263">
        <v>0</v>
      </c>
      <c r="C263">
        <v>6</v>
      </c>
      <c r="D263">
        <v>7.4</v>
      </c>
      <c r="E263">
        <v>35</v>
      </c>
      <c r="F263" t="s">
        <v>78</v>
      </c>
      <c r="G263" t="s">
        <v>245</v>
      </c>
      <c r="I263" s="15">
        <f t="shared" si="12"/>
        <v>227</v>
      </c>
      <c r="J263" s="15" t="str">
        <f t="shared" si="13"/>
        <v>02</v>
      </c>
      <c r="K263" s="15" t="str">
        <f t="shared" si="14"/>
        <v>0102</v>
      </c>
      <c r="L263" t="s">
        <v>2065</v>
      </c>
      <c r="M263">
        <v>0</v>
      </c>
      <c r="N263">
        <v>6</v>
      </c>
      <c r="O263">
        <v>7.4</v>
      </c>
      <c r="P263">
        <v>35</v>
      </c>
    </row>
    <row r="264" spans="1:16">
      <c r="A264" t="s">
        <v>1786</v>
      </c>
      <c r="B264">
        <v>0</v>
      </c>
      <c r="C264">
        <v>5</v>
      </c>
      <c r="D264">
        <v>6.6</v>
      </c>
      <c r="E264">
        <v>10</v>
      </c>
      <c r="F264" t="s">
        <v>25</v>
      </c>
      <c r="G264" t="s">
        <v>26</v>
      </c>
      <c r="I264" s="15">
        <f t="shared" si="12"/>
        <v>301</v>
      </c>
      <c r="J264" s="15" t="str">
        <f t="shared" si="13"/>
        <v>03</v>
      </c>
      <c r="K264" s="15" t="str">
        <f t="shared" si="14"/>
        <v>0103</v>
      </c>
      <c r="L264" t="s">
        <v>2066</v>
      </c>
      <c r="M264">
        <v>0</v>
      </c>
      <c r="N264">
        <v>5</v>
      </c>
      <c r="O264">
        <v>6.6</v>
      </c>
      <c r="P264">
        <v>10</v>
      </c>
    </row>
    <row r="265" spans="1:16">
      <c r="A265" t="s">
        <v>1786</v>
      </c>
      <c r="B265">
        <v>0</v>
      </c>
      <c r="C265">
        <v>5</v>
      </c>
      <c r="D265">
        <v>7.1</v>
      </c>
      <c r="E265">
        <v>10</v>
      </c>
      <c r="F265" t="s">
        <v>25</v>
      </c>
      <c r="G265" t="s">
        <v>26</v>
      </c>
      <c r="I265" s="15">
        <f t="shared" si="12"/>
        <v>301</v>
      </c>
      <c r="J265" s="15" t="str">
        <f t="shared" si="13"/>
        <v>03</v>
      </c>
      <c r="K265" s="15" t="str">
        <f t="shared" si="14"/>
        <v>0103</v>
      </c>
      <c r="L265" t="s">
        <v>2066</v>
      </c>
      <c r="M265">
        <v>0</v>
      </c>
      <c r="N265">
        <v>5</v>
      </c>
      <c r="O265">
        <v>7.1</v>
      </c>
      <c r="P265">
        <v>10</v>
      </c>
    </row>
    <row r="266" spans="1:16">
      <c r="A266" t="s">
        <v>1930</v>
      </c>
      <c r="B266">
        <v>0</v>
      </c>
      <c r="C266">
        <v>5</v>
      </c>
      <c r="D266">
        <v>7</v>
      </c>
      <c r="E266">
        <v>12</v>
      </c>
      <c r="F266" t="s">
        <v>25</v>
      </c>
      <c r="G266" t="s">
        <v>594</v>
      </c>
      <c r="I266" s="15">
        <f t="shared" si="12"/>
        <v>309</v>
      </c>
      <c r="J266" s="15" t="str">
        <f t="shared" si="13"/>
        <v>03</v>
      </c>
      <c r="K266" s="15" t="str">
        <f t="shared" si="14"/>
        <v>0103</v>
      </c>
      <c r="L266" t="s">
        <v>2066</v>
      </c>
      <c r="M266">
        <v>0</v>
      </c>
      <c r="N266">
        <v>5</v>
      </c>
      <c r="O266">
        <v>7</v>
      </c>
      <c r="P266">
        <v>12</v>
      </c>
    </row>
    <row r="267" spans="1:16">
      <c r="A267" t="s">
        <v>1874</v>
      </c>
      <c r="B267">
        <v>0</v>
      </c>
      <c r="C267">
        <v>2</v>
      </c>
      <c r="D267">
        <v>6.5</v>
      </c>
      <c r="E267">
        <v>32</v>
      </c>
      <c r="F267" t="s">
        <v>54</v>
      </c>
      <c r="G267" t="s">
        <v>200</v>
      </c>
      <c r="I267" s="15">
        <f t="shared" si="12"/>
        <v>314</v>
      </c>
      <c r="J267" s="15" t="str">
        <f t="shared" si="13"/>
        <v>03</v>
      </c>
      <c r="K267" s="15" t="str">
        <f t="shared" si="14"/>
        <v>0103</v>
      </c>
      <c r="L267" t="s">
        <v>2066</v>
      </c>
      <c r="M267">
        <v>0</v>
      </c>
      <c r="N267">
        <v>2</v>
      </c>
      <c r="O267">
        <v>6.5</v>
      </c>
      <c r="P267">
        <v>32</v>
      </c>
    </row>
    <row r="268" spans="1:16">
      <c r="A268" t="s">
        <v>1931</v>
      </c>
      <c r="B268">
        <v>0</v>
      </c>
      <c r="C268">
        <v>6</v>
      </c>
      <c r="D268">
        <v>6.7</v>
      </c>
      <c r="E268">
        <v>18</v>
      </c>
      <c r="F268" t="s">
        <v>78</v>
      </c>
      <c r="G268" t="s">
        <v>245</v>
      </c>
      <c r="I268" s="15">
        <f t="shared" si="12"/>
        <v>316</v>
      </c>
      <c r="J268" s="15" t="str">
        <f t="shared" si="13"/>
        <v>03</v>
      </c>
      <c r="K268" s="15" t="str">
        <f t="shared" si="14"/>
        <v>0103</v>
      </c>
      <c r="L268" t="s">
        <v>2066</v>
      </c>
      <c r="M268">
        <v>0</v>
      </c>
      <c r="N268">
        <v>6</v>
      </c>
      <c r="O268">
        <v>6.7</v>
      </c>
      <c r="P268">
        <v>18</v>
      </c>
    </row>
    <row r="269" spans="1:16">
      <c r="A269" t="s">
        <v>1932</v>
      </c>
      <c r="B269">
        <v>0</v>
      </c>
      <c r="C269">
        <v>2</v>
      </c>
      <c r="D269">
        <v>6.6</v>
      </c>
      <c r="E269">
        <v>34</v>
      </c>
      <c r="F269" t="s">
        <v>54</v>
      </c>
      <c r="G269" t="s">
        <v>671</v>
      </c>
      <c r="I269" s="15">
        <f t="shared" si="12"/>
        <v>330</v>
      </c>
      <c r="J269" s="15" t="str">
        <f t="shared" si="13"/>
        <v>03</v>
      </c>
      <c r="K269" s="15" t="str">
        <f t="shared" si="14"/>
        <v>0103</v>
      </c>
      <c r="L269" t="s">
        <v>2066</v>
      </c>
      <c r="M269">
        <v>0</v>
      </c>
      <c r="N269">
        <v>2</v>
      </c>
      <c r="O269">
        <v>6.6</v>
      </c>
      <c r="P269">
        <v>34</v>
      </c>
    </row>
    <row r="270" spans="1:16">
      <c r="A270" t="s">
        <v>1933</v>
      </c>
      <c r="B270">
        <v>0</v>
      </c>
      <c r="C270">
        <v>5</v>
      </c>
      <c r="D270">
        <v>6.5</v>
      </c>
      <c r="E270">
        <v>176</v>
      </c>
      <c r="F270" t="s">
        <v>25</v>
      </c>
      <c r="G270" t="s">
        <v>163</v>
      </c>
      <c r="I270" s="15">
        <f t="shared" si="12"/>
        <v>403</v>
      </c>
      <c r="J270" s="15" t="str">
        <f t="shared" si="13"/>
        <v>04</v>
      </c>
      <c r="K270" s="15" t="str">
        <f t="shared" si="14"/>
        <v>0104</v>
      </c>
      <c r="L270" t="s">
        <v>2067</v>
      </c>
      <c r="M270">
        <v>0</v>
      </c>
      <c r="N270">
        <v>5</v>
      </c>
      <c r="O270">
        <v>6.5</v>
      </c>
      <c r="P270">
        <v>176</v>
      </c>
    </row>
    <row r="271" spans="1:16">
      <c r="A271" t="s">
        <v>1934</v>
      </c>
      <c r="B271">
        <v>0</v>
      </c>
      <c r="C271">
        <v>4</v>
      </c>
      <c r="D271">
        <v>7.2</v>
      </c>
      <c r="E271">
        <v>9.9870000000000001</v>
      </c>
      <c r="F271" t="s">
        <v>47</v>
      </c>
      <c r="G271" t="s">
        <v>48</v>
      </c>
      <c r="I271" s="15">
        <f t="shared" si="12"/>
        <v>404</v>
      </c>
      <c r="J271" s="15" t="str">
        <f t="shared" si="13"/>
        <v>04</v>
      </c>
      <c r="K271" s="15" t="str">
        <f t="shared" si="14"/>
        <v>0104</v>
      </c>
      <c r="L271" t="s">
        <v>2067</v>
      </c>
      <c r="M271">
        <v>0</v>
      </c>
      <c r="N271">
        <v>4</v>
      </c>
      <c r="O271">
        <v>7.2</v>
      </c>
      <c r="P271">
        <v>9.9870000000000001</v>
      </c>
    </row>
    <row r="272" spans="1:16">
      <c r="A272" t="s">
        <v>1811</v>
      </c>
      <c r="B272">
        <v>0</v>
      </c>
      <c r="C272">
        <v>5</v>
      </c>
      <c r="D272">
        <v>6.5</v>
      </c>
      <c r="E272">
        <v>220</v>
      </c>
      <c r="F272" t="s">
        <v>25</v>
      </c>
      <c r="G272" t="s">
        <v>64</v>
      </c>
      <c r="I272" s="15">
        <f t="shared" si="12"/>
        <v>408</v>
      </c>
      <c r="J272" s="15" t="str">
        <f t="shared" si="13"/>
        <v>04</v>
      </c>
      <c r="K272" s="15" t="str">
        <f t="shared" si="14"/>
        <v>0104</v>
      </c>
      <c r="L272" t="s">
        <v>2067</v>
      </c>
      <c r="M272">
        <v>0</v>
      </c>
      <c r="N272">
        <v>5</v>
      </c>
      <c r="O272">
        <v>6.5</v>
      </c>
      <c r="P272">
        <v>220</v>
      </c>
    </row>
    <row r="273" spans="1:16">
      <c r="A273" t="s">
        <v>1811</v>
      </c>
      <c r="B273">
        <v>0</v>
      </c>
      <c r="C273">
        <v>5</v>
      </c>
      <c r="D273">
        <v>7</v>
      </c>
      <c r="E273">
        <v>44</v>
      </c>
      <c r="F273" t="s">
        <v>25</v>
      </c>
      <c r="G273" t="s">
        <v>64</v>
      </c>
      <c r="I273" s="15">
        <f t="shared" si="12"/>
        <v>408</v>
      </c>
      <c r="J273" s="15" t="str">
        <f t="shared" si="13"/>
        <v>04</v>
      </c>
      <c r="K273" s="15" t="str">
        <f t="shared" si="14"/>
        <v>0104</v>
      </c>
      <c r="L273" t="s">
        <v>2067</v>
      </c>
      <c r="M273">
        <v>0</v>
      </c>
      <c r="N273">
        <v>5</v>
      </c>
      <c r="O273">
        <v>7</v>
      </c>
      <c r="P273">
        <v>44</v>
      </c>
    </row>
    <row r="274" spans="1:16">
      <c r="A274" t="s">
        <v>1935</v>
      </c>
      <c r="B274">
        <v>0</v>
      </c>
      <c r="C274">
        <v>2</v>
      </c>
      <c r="D274">
        <v>6.9</v>
      </c>
      <c r="E274">
        <v>17</v>
      </c>
      <c r="F274" t="s">
        <v>54</v>
      </c>
      <c r="G274" t="s">
        <v>1752</v>
      </c>
      <c r="I274" s="15">
        <f t="shared" si="12"/>
        <v>413</v>
      </c>
      <c r="J274" s="15" t="str">
        <f t="shared" si="13"/>
        <v>04</v>
      </c>
      <c r="K274" s="15" t="str">
        <f t="shared" si="14"/>
        <v>0104</v>
      </c>
      <c r="L274" t="s">
        <v>2067</v>
      </c>
      <c r="M274">
        <v>0</v>
      </c>
      <c r="N274">
        <v>2</v>
      </c>
      <c r="O274">
        <v>6.9</v>
      </c>
      <c r="P274">
        <v>17</v>
      </c>
    </row>
    <row r="275" spans="1:16">
      <c r="A275" t="s">
        <v>1936</v>
      </c>
      <c r="B275">
        <v>0</v>
      </c>
      <c r="C275">
        <v>5</v>
      </c>
      <c r="D275">
        <v>6.8</v>
      </c>
      <c r="E275">
        <v>15.4</v>
      </c>
      <c r="F275" t="s">
        <v>25</v>
      </c>
      <c r="G275" t="s">
        <v>26</v>
      </c>
      <c r="I275" s="15">
        <f t="shared" si="12"/>
        <v>501</v>
      </c>
      <c r="J275" s="15" t="str">
        <f t="shared" si="13"/>
        <v>05</v>
      </c>
      <c r="K275" s="15" t="str">
        <f t="shared" si="14"/>
        <v>0105</v>
      </c>
      <c r="L275" t="s">
        <v>2068</v>
      </c>
      <c r="M275">
        <v>0</v>
      </c>
      <c r="N275">
        <v>5</v>
      </c>
      <c r="O275">
        <v>6.8</v>
      </c>
      <c r="P275">
        <v>15.4</v>
      </c>
    </row>
    <row r="276" spans="1:16">
      <c r="A276" t="s">
        <v>1795</v>
      </c>
      <c r="B276">
        <v>0</v>
      </c>
      <c r="C276">
        <v>6</v>
      </c>
      <c r="D276">
        <v>6.6</v>
      </c>
      <c r="E276">
        <v>18</v>
      </c>
      <c r="F276" t="s">
        <v>78</v>
      </c>
      <c r="G276" t="s">
        <v>245</v>
      </c>
      <c r="I276" s="15">
        <f t="shared" si="12"/>
        <v>503</v>
      </c>
      <c r="J276" s="15" t="str">
        <f t="shared" si="13"/>
        <v>05</v>
      </c>
      <c r="K276" s="15" t="str">
        <f t="shared" si="14"/>
        <v>0105</v>
      </c>
      <c r="L276" t="s">
        <v>2068</v>
      </c>
      <c r="M276">
        <v>0</v>
      </c>
      <c r="N276">
        <v>6</v>
      </c>
      <c r="O276">
        <v>6.6</v>
      </c>
      <c r="P276">
        <v>18</v>
      </c>
    </row>
    <row r="277" spans="1:16">
      <c r="A277" t="s">
        <v>1795</v>
      </c>
      <c r="B277">
        <v>0</v>
      </c>
      <c r="C277">
        <v>2</v>
      </c>
      <c r="D277">
        <v>6.8</v>
      </c>
      <c r="E277">
        <v>26</v>
      </c>
      <c r="F277" t="s">
        <v>54</v>
      </c>
      <c r="G277" t="s">
        <v>108</v>
      </c>
      <c r="I277" s="15">
        <f t="shared" si="12"/>
        <v>503</v>
      </c>
      <c r="J277" s="15" t="str">
        <f t="shared" si="13"/>
        <v>05</v>
      </c>
      <c r="K277" s="15" t="str">
        <f t="shared" si="14"/>
        <v>0105</v>
      </c>
      <c r="L277" t="s">
        <v>2068</v>
      </c>
      <c r="M277">
        <v>0</v>
      </c>
      <c r="N277">
        <v>2</v>
      </c>
      <c r="O277">
        <v>6.8</v>
      </c>
      <c r="P277">
        <v>26</v>
      </c>
    </row>
    <row r="278" spans="1:16">
      <c r="A278" t="s">
        <v>1937</v>
      </c>
      <c r="B278">
        <v>0</v>
      </c>
      <c r="C278">
        <v>5</v>
      </c>
      <c r="D278">
        <v>7.2</v>
      </c>
      <c r="E278">
        <v>31</v>
      </c>
      <c r="F278" t="s">
        <v>25</v>
      </c>
      <c r="G278" t="s">
        <v>163</v>
      </c>
      <c r="I278" s="15">
        <f t="shared" si="12"/>
        <v>527</v>
      </c>
      <c r="J278" s="15" t="str">
        <f t="shared" si="13"/>
        <v>05</v>
      </c>
      <c r="K278" s="15" t="str">
        <f t="shared" si="14"/>
        <v>0105</v>
      </c>
      <c r="L278" t="s">
        <v>2068</v>
      </c>
      <c r="M278">
        <v>0</v>
      </c>
      <c r="N278">
        <v>5</v>
      </c>
      <c r="O278">
        <v>7.2</v>
      </c>
      <c r="P278">
        <v>31</v>
      </c>
    </row>
    <row r="279" spans="1:16">
      <c r="A279" t="s">
        <v>1938</v>
      </c>
      <c r="B279">
        <v>0</v>
      </c>
      <c r="C279">
        <v>2</v>
      </c>
      <c r="D279">
        <v>7.8</v>
      </c>
      <c r="E279">
        <v>31</v>
      </c>
      <c r="F279" t="s">
        <v>54</v>
      </c>
      <c r="G279" t="s">
        <v>108</v>
      </c>
      <c r="I279" s="15">
        <f t="shared" si="12"/>
        <v>604</v>
      </c>
      <c r="J279" s="15" t="str">
        <f t="shared" si="13"/>
        <v>06</v>
      </c>
      <c r="K279" s="15" t="str">
        <f t="shared" si="14"/>
        <v>0106</v>
      </c>
      <c r="L279" t="s">
        <v>2069</v>
      </c>
      <c r="M279">
        <v>0</v>
      </c>
      <c r="N279">
        <v>2</v>
      </c>
      <c r="O279">
        <v>7.8</v>
      </c>
      <c r="P279">
        <v>31</v>
      </c>
    </row>
    <row r="280" spans="1:16">
      <c r="A280" t="s">
        <v>1815</v>
      </c>
      <c r="B280">
        <v>0</v>
      </c>
      <c r="C280">
        <v>2</v>
      </c>
      <c r="D280">
        <v>7</v>
      </c>
      <c r="E280">
        <v>18</v>
      </c>
      <c r="F280" t="s">
        <v>54</v>
      </c>
      <c r="G280" t="s">
        <v>108</v>
      </c>
      <c r="I280" s="15">
        <f t="shared" si="12"/>
        <v>616</v>
      </c>
      <c r="J280" s="15" t="str">
        <f t="shared" si="13"/>
        <v>06</v>
      </c>
      <c r="K280" s="15" t="str">
        <f t="shared" si="14"/>
        <v>0106</v>
      </c>
      <c r="L280" t="s">
        <v>2069</v>
      </c>
      <c r="M280">
        <v>0</v>
      </c>
      <c r="N280">
        <v>2</v>
      </c>
      <c r="O280">
        <v>7</v>
      </c>
      <c r="P280">
        <v>18</v>
      </c>
    </row>
    <row r="281" spans="1:16">
      <c r="A281" t="s">
        <v>1815</v>
      </c>
      <c r="B281">
        <v>0</v>
      </c>
      <c r="C281">
        <v>2</v>
      </c>
      <c r="D281">
        <v>6.6</v>
      </c>
      <c r="E281">
        <v>10.5</v>
      </c>
      <c r="F281" t="s">
        <v>54</v>
      </c>
      <c r="G281" t="s">
        <v>108</v>
      </c>
      <c r="I281" s="15">
        <f t="shared" si="12"/>
        <v>616</v>
      </c>
      <c r="J281" s="15" t="str">
        <f t="shared" si="13"/>
        <v>06</v>
      </c>
      <c r="K281" s="15" t="str">
        <f t="shared" si="14"/>
        <v>0106</v>
      </c>
      <c r="L281" t="s">
        <v>2069</v>
      </c>
      <c r="M281">
        <v>0</v>
      </c>
      <c r="N281">
        <v>2</v>
      </c>
      <c r="O281">
        <v>6.6</v>
      </c>
      <c r="P281">
        <v>10.5</v>
      </c>
    </row>
    <row r="282" spans="1:16">
      <c r="A282" t="s">
        <v>1771</v>
      </c>
      <c r="B282">
        <v>0</v>
      </c>
      <c r="C282">
        <v>5</v>
      </c>
      <c r="D282">
        <v>6.7</v>
      </c>
      <c r="E282">
        <v>35</v>
      </c>
      <c r="F282" t="s">
        <v>25</v>
      </c>
      <c r="G282" t="s">
        <v>26</v>
      </c>
      <c r="I282" s="15">
        <f t="shared" si="12"/>
        <v>626</v>
      </c>
      <c r="J282" s="15" t="str">
        <f t="shared" si="13"/>
        <v>06</v>
      </c>
      <c r="K282" s="15" t="str">
        <f t="shared" si="14"/>
        <v>0106</v>
      </c>
      <c r="L282" t="s">
        <v>2069</v>
      </c>
      <c r="M282">
        <v>0</v>
      </c>
      <c r="N282">
        <v>5</v>
      </c>
      <c r="O282">
        <v>6.7</v>
      </c>
      <c r="P282">
        <v>35</v>
      </c>
    </row>
    <row r="283" spans="1:16">
      <c r="A283" t="s">
        <v>1939</v>
      </c>
      <c r="B283">
        <v>0</v>
      </c>
      <c r="C283">
        <v>6</v>
      </c>
      <c r="D283">
        <v>6.6</v>
      </c>
      <c r="E283">
        <v>22</v>
      </c>
      <c r="F283" t="s">
        <v>78</v>
      </c>
      <c r="G283" t="s">
        <v>245</v>
      </c>
      <c r="I283" s="15">
        <f t="shared" si="12"/>
        <v>714</v>
      </c>
      <c r="J283" s="15" t="str">
        <f t="shared" si="13"/>
        <v>07</v>
      </c>
      <c r="K283" s="15" t="str">
        <f t="shared" si="14"/>
        <v>0107</v>
      </c>
      <c r="L283" t="s">
        <v>2070</v>
      </c>
      <c r="M283">
        <v>0</v>
      </c>
      <c r="N283">
        <v>6</v>
      </c>
      <c r="O283">
        <v>6.6</v>
      </c>
      <c r="P283">
        <v>22</v>
      </c>
    </row>
    <row r="284" spans="1:16">
      <c r="A284" t="s">
        <v>1940</v>
      </c>
      <c r="B284">
        <v>0</v>
      </c>
      <c r="C284">
        <v>5</v>
      </c>
      <c r="D284">
        <v>6.9</v>
      </c>
      <c r="E284">
        <v>28</v>
      </c>
      <c r="F284" t="s">
        <v>25</v>
      </c>
      <c r="G284" t="s">
        <v>64</v>
      </c>
      <c r="I284" s="15">
        <f t="shared" si="12"/>
        <v>718</v>
      </c>
      <c r="J284" s="15" t="str">
        <f t="shared" si="13"/>
        <v>07</v>
      </c>
      <c r="K284" s="15" t="str">
        <f t="shared" si="14"/>
        <v>0107</v>
      </c>
      <c r="L284" t="s">
        <v>2070</v>
      </c>
      <c r="M284">
        <v>0</v>
      </c>
      <c r="N284">
        <v>5</v>
      </c>
      <c r="O284">
        <v>6.9</v>
      </c>
      <c r="P284">
        <v>28</v>
      </c>
    </row>
    <row r="285" spans="1:16">
      <c r="A285" t="s">
        <v>1940</v>
      </c>
      <c r="B285">
        <v>0</v>
      </c>
      <c r="C285">
        <v>5</v>
      </c>
      <c r="D285">
        <v>7.3</v>
      </c>
      <c r="E285">
        <v>35</v>
      </c>
      <c r="F285" t="s">
        <v>25</v>
      </c>
      <c r="G285" t="s">
        <v>64</v>
      </c>
      <c r="I285" s="15">
        <f t="shared" si="12"/>
        <v>718</v>
      </c>
      <c r="J285" s="15" t="str">
        <f t="shared" si="13"/>
        <v>07</v>
      </c>
      <c r="K285" s="15" t="str">
        <f t="shared" si="14"/>
        <v>0107</v>
      </c>
      <c r="L285" t="s">
        <v>2070</v>
      </c>
      <c r="M285">
        <v>0</v>
      </c>
      <c r="N285">
        <v>5</v>
      </c>
      <c r="O285">
        <v>7.3</v>
      </c>
      <c r="P285">
        <v>35</v>
      </c>
    </row>
    <row r="286" spans="1:16">
      <c r="A286" t="s">
        <v>1913</v>
      </c>
      <c r="B286">
        <v>0</v>
      </c>
      <c r="C286">
        <v>2</v>
      </c>
      <c r="D286">
        <v>7.6</v>
      </c>
      <c r="E286">
        <v>578</v>
      </c>
      <c r="F286" t="s">
        <v>54</v>
      </c>
      <c r="G286" t="s">
        <v>75</v>
      </c>
      <c r="I286" s="15">
        <f t="shared" si="12"/>
        <v>723</v>
      </c>
      <c r="J286" s="15" t="str">
        <f t="shared" si="13"/>
        <v>07</v>
      </c>
      <c r="K286" s="15" t="str">
        <f t="shared" si="14"/>
        <v>0107</v>
      </c>
      <c r="L286" t="s">
        <v>2070</v>
      </c>
      <c r="M286">
        <v>0</v>
      </c>
      <c r="N286">
        <v>2</v>
      </c>
      <c r="O286">
        <v>7.6</v>
      </c>
      <c r="P286">
        <v>578</v>
      </c>
    </row>
    <row r="287" spans="1:16">
      <c r="A287" t="s">
        <v>1941</v>
      </c>
      <c r="B287">
        <v>0</v>
      </c>
      <c r="C287">
        <v>2</v>
      </c>
      <c r="D287">
        <v>7.2</v>
      </c>
      <c r="E287">
        <v>38</v>
      </c>
      <c r="F287" t="s">
        <v>54</v>
      </c>
      <c r="G287" t="s">
        <v>108</v>
      </c>
      <c r="I287" s="15">
        <f t="shared" si="12"/>
        <v>905</v>
      </c>
      <c r="J287" s="15" t="str">
        <f t="shared" si="13"/>
        <v>09</v>
      </c>
      <c r="K287" s="15" t="str">
        <f t="shared" si="14"/>
        <v>0109</v>
      </c>
      <c r="L287" t="s">
        <v>2071</v>
      </c>
      <c r="M287">
        <v>0</v>
      </c>
      <c r="N287">
        <v>2</v>
      </c>
      <c r="O287">
        <v>7.2</v>
      </c>
      <c r="P287">
        <v>38</v>
      </c>
    </row>
    <row r="288" spans="1:16">
      <c r="A288" t="s">
        <v>1824</v>
      </c>
      <c r="B288">
        <v>0</v>
      </c>
      <c r="C288">
        <v>2</v>
      </c>
      <c r="D288">
        <v>7</v>
      </c>
      <c r="E288">
        <v>26</v>
      </c>
      <c r="F288" t="s">
        <v>54</v>
      </c>
      <c r="G288" t="s">
        <v>108</v>
      </c>
      <c r="I288" s="15">
        <f t="shared" si="12"/>
        <v>929</v>
      </c>
      <c r="J288" s="15" t="str">
        <f t="shared" si="13"/>
        <v>09</v>
      </c>
      <c r="K288" s="15" t="str">
        <f t="shared" si="14"/>
        <v>0109</v>
      </c>
      <c r="L288" t="s">
        <v>2071</v>
      </c>
      <c r="M288">
        <v>0</v>
      </c>
      <c r="N288">
        <v>2</v>
      </c>
      <c r="O288">
        <v>7</v>
      </c>
      <c r="P288">
        <v>26</v>
      </c>
    </row>
    <row r="289" spans="1:16">
      <c r="A289" t="s">
        <v>1776</v>
      </c>
      <c r="B289">
        <v>0</v>
      </c>
      <c r="C289">
        <v>4</v>
      </c>
      <c r="D289">
        <v>6.5</v>
      </c>
      <c r="E289">
        <v>28.736999999999998</v>
      </c>
      <c r="F289" t="s">
        <v>47</v>
      </c>
      <c r="G289" t="s">
        <v>1754</v>
      </c>
      <c r="I289" s="15">
        <f t="shared" si="12"/>
        <v>1001</v>
      </c>
      <c r="J289" s="15" t="str">
        <f t="shared" si="13"/>
        <v>10</v>
      </c>
      <c r="K289" s="15" t="str">
        <f t="shared" si="14"/>
        <v>0110</v>
      </c>
      <c r="L289" t="s">
        <v>2072</v>
      </c>
      <c r="M289">
        <v>0</v>
      </c>
      <c r="N289">
        <v>4</v>
      </c>
      <c r="O289">
        <v>6.5</v>
      </c>
      <c r="P289">
        <v>28.736999999999998</v>
      </c>
    </row>
    <row r="290" spans="1:16">
      <c r="A290" t="s">
        <v>1924</v>
      </c>
      <c r="B290">
        <v>0</v>
      </c>
      <c r="C290">
        <v>5</v>
      </c>
      <c r="D290">
        <v>7.3</v>
      </c>
      <c r="E290">
        <v>25</v>
      </c>
      <c r="F290" t="s">
        <v>25</v>
      </c>
      <c r="G290" t="s">
        <v>163</v>
      </c>
      <c r="I290" s="15">
        <f t="shared" si="12"/>
        <v>1008</v>
      </c>
      <c r="J290" s="15" t="str">
        <f t="shared" si="13"/>
        <v>10</v>
      </c>
      <c r="K290" s="15" t="str">
        <f t="shared" si="14"/>
        <v>0110</v>
      </c>
      <c r="L290" t="s">
        <v>2072</v>
      </c>
      <c r="M290">
        <v>0</v>
      </c>
      <c r="N290">
        <v>5</v>
      </c>
      <c r="O290">
        <v>7.3</v>
      </c>
      <c r="P290">
        <v>25</v>
      </c>
    </row>
    <row r="291" spans="1:16">
      <c r="A291" t="s">
        <v>1942</v>
      </c>
      <c r="B291">
        <v>0</v>
      </c>
      <c r="C291">
        <v>4</v>
      </c>
      <c r="D291">
        <v>6.7</v>
      </c>
      <c r="E291">
        <v>13</v>
      </c>
      <c r="F291" t="s">
        <v>47</v>
      </c>
      <c r="G291" t="s">
        <v>48</v>
      </c>
      <c r="I291" s="15">
        <f t="shared" si="12"/>
        <v>1021</v>
      </c>
      <c r="J291" s="15" t="str">
        <f t="shared" si="13"/>
        <v>10</v>
      </c>
      <c r="K291" s="15" t="str">
        <f t="shared" si="14"/>
        <v>0110</v>
      </c>
      <c r="L291" t="s">
        <v>2072</v>
      </c>
      <c r="M291">
        <v>0</v>
      </c>
      <c r="N291">
        <v>4</v>
      </c>
      <c r="O291">
        <v>6.7</v>
      </c>
      <c r="P291">
        <v>13</v>
      </c>
    </row>
    <row r="292" spans="1:16">
      <c r="A292" t="s">
        <v>1943</v>
      </c>
      <c r="B292">
        <v>0</v>
      </c>
      <c r="C292">
        <v>2</v>
      </c>
      <c r="D292">
        <v>7.8</v>
      </c>
      <c r="E292">
        <v>20.100000000000001</v>
      </c>
      <c r="F292" t="s">
        <v>54</v>
      </c>
      <c r="G292" t="s">
        <v>108</v>
      </c>
      <c r="I292" s="8">
        <v>40476</v>
      </c>
      <c r="J292" s="15" t="str">
        <f t="shared" si="13"/>
        <v>10</v>
      </c>
      <c r="K292" s="15" t="str">
        <f t="shared" si="14"/>
        <v>0110</v>
      </c>
      <c r="L292" t="s">
        <v>2072</v>
      </c>
      <c r="M292">
        <v>0</v>
      </c>
      <c r="N292">
        <v>2</v>
      </c>
      <c r="O292">
        <v>7.8</v>
      </c>
      <c r="P292">
        <v>20.100000000000001</v>
      </c>
    </row>
    <row r="293" spans="1:16">
      <c r="A293" t="s">
        <v>1826</v>
      </c>
      <c r="B293">
        <v>0</v>
      </c>
      <c r="C293">
        <v>6</v>
      </c>
      <c r="D293">
        <v>6.9</v>
      </c>
      <c r="E293">
        <v>11</v>
      </c>
      <c r="F293" t="s">
        <v>78</v>
      </c>
      <c r="G293" t="s">
        <v>245</v>
      </c>
      <c r="I293" s="15">
        <f t="shared" ref="I293:I356" si="15">TRUNC(A293,6)</f>
        <v>1103</v>
      </c>
      <c r="J293" s="15" t="str">
        <f t="shared" si="13"/>
        <v>11</v>
      </c>
      <c r="K293" s="15" t="str">
        <f t="shared" si="14"/>
        <v>0111</v>
      </c>
      <c r="L293" t="s">
        <v>2073</v>
      </c>
      <c r="M293">
        <v>0</v>
      </c>
      <c r="N293">
        <v>6</v>
      </c>
      <c r="O293">
        <v>6.9</v>
      </c>
      <c r="P293">
        <v>11</v>
      </c>
    </row>
    <row r="294" spans="1:16">
      <c r="A294" t="s">
        <v>1826</v>
      </c>
      <c r="B294">
        <v>0</v>
      </c>
      <c r="C294">
        <v>6</v>
      </c>
      <c r="D294">
        <v>7</v>
      </c>
      <c r="E294">
        <v>18</v>
      </c>
      <c r="F294" t="s">
        <v>78</v>
      </c>
      <c r="G294" t="s">
        <v>245</v>
      </c>
      <c r="I294" s="15">
        <f t="shared" si="15"/>
        <v>1103</v>
      </c>
      <c r="J294" s="15" t="str">
        <f t="shared" si="13"/>
        <v>11</v>
      </c>
      <c r="K294" s="15" t="str">
        <f t="shared" si="14"/>
        <v>0111</v>
      </c>
      <c r="L294" t="s">
        <v>2073</v>
      </c>
      <c r="M294">
        <v>0</v>
      </c>
      <c r="N294">
        <v>6</v>
      </c>
      <c r="O294">
        <v>7</v>
      </c>
      <c r="P294">
        <v>18</v>
      </c>
    </row>
    <row r="295" spans="1:16">
      <c r="A295" t="s">
        <v>1944</v>
      </c>
      <c r="B295">
        <v>0</v>
      </c>
      <c r="C295">
        <v>5</v>
      </c>
      <c r="D295">
        <v>6.9</v>
      </c>
      <c r="E295">
        <v>21</v>
      </c>
      <c r="F295" t="s">
        <v>25</v>
      </c>
      <c r="G295" t="s">
        <v>26</v>
      </c>
      <c r="I295" s="15">
        <f t="shared" si="15"/>
        <v>1104</v>
      </c>
      <c r="J295" s="15" t="str">
        <f t="shared" si="13"/>
        <v>11</v>
      </c>
      <c r="K295" s="15" t="str">
        <f t="shared" si="14"/>
        <v>0111</v>
      </c>
      <c r="L295" t="s">
        <v>2073</v>
      </c>
      <c r="M295">
        <v>0</v>
      </c>
      <c r="N295">
        <v>5</v>
      </c>
      <c r="O295">
        <v>6.9</v>
      </c>
      <c r="P295">
        <v>21</v>
      </c>
    </row>
    <row r="296" spans="1:16">
      <c r="A296" t="s">
        <v>1945</v>
      </c>
      <c r="B296">
        <v>0</v>
      </c>
      <c r="C296">
        <v>4</v>
      </c>
      <c r="D296">
        <v>7</v>
      </c>
      <c r="E296">
        <v>13</v>
      </c>
      <c r="F296" t="s">
        <v>47</v>
      </c>
      <c r="G296" t="s">
        <v>169</v>
      </c>
      <c r="I296" s="15">
        <f t="shared" si="15"/>
        <v>1201</v>
      </c>
      <c r="J296" s="15" t="str">
        <f t="shared" si="13"/>
        <v>12</v>
      </c>
      <c r="K296" s="15" t="str">
        <f t="shared" si="14"/>
        <v>0112</v>
      </c>
      <c r="L296" t="s">
        <v>2074</v>
      </c>
      <c r="M296">
        <v>0</v>
      </c>
      <c r="N296">
        <v>4</v>
      </c>
      <c r="O296">
        <v>7</v>
      </c>
      <c r="P296">
        <v>13</v>
      </c>
    </row>
    <row r="297" spans="1:16">
      <c r="A297" t="s">
        <v>1946</v>
      </c>
      <c r="B297">
        <v>0</v>
      </c>
      <c r="C297">
        <v>2</v>
      </c>
      <c r="D297">
        <v>7.5</v>
      </c>
      <c r="E297">
        <v>35</v>
      </c>
      <c r="F297" t="s">
        <v>54</v>
      </c>
      <c r="G297" t="s">
        <v>671</v>
      </c>
      <c r="I297" s="15">
        <f t="shared" si="15"/>
        <v>1206</v>
      </c>
      <c r="J297" s="15" t="str">
        <f t="shared" si="13"/>
        <v>12</v>
      </c>
      <c r="K297" s="15" t="str">
        <f t="shared" si="14"/>
        <v>0112</v>
      </c>
      <c r="L297" t="s">
        <v>2074</v>
      </c>
      <c r="M297">
        <v>0</v>
      </c>
      <c r="N297">
        <v>2</v>
      </c>
      <c r="O297">
        <v>7.5</v>
      </c>
      <c r="P297">
        <v>35</v>
      </c>
    </row>
    <row r="298" spans="1:16">
      <c r="A298" t="s">
        <v>1928</v>
      </c>
      <c r="B298">
        <v>0</v>
      </c>
      <c r="C298">
        <v>6</v>
      </c>
      <c r="D298">
        <v>7.1</v>
      </c>
      <c r="E298">
        <v>206.7</v>
      </c>
      <c r="F298" t="s">
        <v>78</v>
      </c>
      <c r="G298" t="s">
        <v>371</v>
      </c>
      <c r="I298" s="15">
        <f t="shared" si="15"/>
        <v>1208</v>
      </c>
      <c r="J298" s="15" t="str">
        <f t="shared" si="13"/>
        <v>12</v>
      </c>
      <c r="K298" s="15" t="str">
        <f t="shared" si="14"/>
        <v>0112</v>
      </c>
      <c r="L298" t="s">
        <v>2074</v>
      </c>
      <c r="M298">
        <v>0</v>
      </c>
      <c r="N298">
        <v>6</v>
      </c>
      <c r="O298">
        <v>7.1</v>
      </c>
      <c r="P298">
        <v>206.7</v>
      </c>
    </row>
    <row r="299" spans="1:16">
      <c r="A299" t="s">
        <v>1906</v>
      </c>
      <c r="B299">
        <v>0</v>
      </c>
      <c r="C299">
        <v>2</v>
      </c>
      <c r="D299">
        <v>6.7</v>
      </c>
      <c r="E299">
        <v>12</v>
      </c>
      <c r="F299" t="s">
        <v>54</v>
      </c>
      <c r="G299" t="s">
        <v>498</v>
      </c>
      <c r="I299" s="15">
        <f t="shared" si="15"/>
        <v>1220</v>
      </c>
      <c r="J299" s="15" t="str">
        <f t="shared" si="13"/>
        <v>12</v>
      </c>
      <c r="K299" s="15" t="str">
        <f t="shared" si="14"/>
        <v>0112</v>
      </c>
      <c r="L299" t="s">
        <v>2074</v>
      </c>
      <c r="M299">
        <v>0</v>
      </c>
      <c r="N299">
        <v>2</v>
      </c>
      <c r="O299">
        <v>6.7</v>
      </c>
      <c r="P299">
        <v>12</v>
      </c>
    </row>
    <row r="300" spans="1:16">
      <c r="A300" t="s">
        <v>1830</v>
      </c>
      <c r="B300">
        <v>0</v>
      </c>
      <c r="C300">
        <v>5</v>
      </c>
      <c r="D300">
        <v>7.3</v>
      </c>
      <c r="E300">
        <v>16</v>
      </c>
      <c r="F300" t="s">
        <v>25</v>
      </c>
      <c r="G300" t="s">
        <v>163</v>
      </c>
      <c r="I300" s="15">
        <f t="shared" si="15"/>
        <v>1225</v>
      </c>
      <c r="J300" s="15" t="str">
        <f t="shared" si="13"/>
        <v>12</v>
      </c>
      <c r="K300" s="15" t="str">
        <f t="shared" si="14"/>
        <v>0112</v>
      </c>
      <c r="L300" t="s">
        <v>2074</v>
      </c>
      <c r="M300">
        <v>0</v>
      </c>
      <c r="N300">
        <v>5</v>
      </c>
      <c r="O300">
        <v>7.3</v>
      </c>
      <c r="P300">
        <v>16</v>
      </c>
    </row>
    <row r="301" spans="1:16">
      <c r="A301" t="s">
        <v>1759</v>
      </c>
      <c r="B301">
        <v>0</v>
      </c>
      <c r="C301">
        <v>5</v>
      </c>
      <c r="D301">
        <v>7</v>
      </c>
      <c r="E301">
        <v>9</v>
      </c>
      <c r="F301" t="s">
        <v>25</v>
      </c>
      <c r="G301" t="s">
        <v>1744</v>
      </c>
      <c r="I301" s="15">
        <f t="shared" si="15"/>
        <v>113</v>
      </c>
      <c r="J301" s="15" t="str">
        <f t="shared" si="13"/>
        <v>01</v>
      </c>
      <c r="K301" s="15" t="str">
        <f t="shared" si="14"/>
        <v>0101</v>
      </c>
      <c r="L301" t="s">
        <v>2064</v>
      </c>
      <c r="M301">
        <v>0</v>
      </c>
      <c r="N301">
        <v>5</v>
      </c>
      <c r="O301">
        <v>7</v>
      </c>
      <c r="P301">
        <v>9</v>
      </c>
    </row>
    <row r="302" spans="1:16">
      <c r="A302" t="s">
        <v>1947</v>
      </c>
      <c r="B302">
        <v>0</v>
      </c>
      <c r="C302">
        <v>2</v>
      </c>
      <c r="D302">
        <v>7.2</v>
      </c>
      <c r="E302">
        <v>68</v>
      </c>
      <c r="F302" t="s">
        <v>54</v>
      </c>
      <c r="G302" t="s">
        <v>907</v>
      </c>
      <c r="I302" s="15">
        <f t="shared" si="15"/>
        <v>118</v>
      </c>
      <c r="J302" s="15" t="str">
        <f t="shared" si="13"/>
        <v>01</v>
      </c>
      <c r="K302" s="15" t="str">
        <f t="shared" si="14"/>
        <v>0101</v>
      </c>
      <c r="L302" t="s">
        <v>2064</v>
      </c>
      <c r="M302">
        <v>0</v>
      </c>
      <c r="N302">
        <v>2</v>
      </c>
      <c r="O302">
        <v>7.2</v>
      </c>
      <c r="P302">
        <v>68</v>
      </c>
    </row>
    <row r="303" spans="1:16">
      <c r="A303" t="s">
        <v>1784</v>
      </c>
      <c r="B303">
        <v>0</v>
      </c>
      <c r="C303">
        <v>6</v>
      </c>
      <c r="D303">
        <v>7.2</v>
      </c>
      <c r="E303">
        <v>24</v>
      </c>
      <c r="F303" t="s">
        <v>78</v>
      </c>
      <c r="G303" t="s">
        <v>245</v>
      </c>
      <c r="I303" s="15">
        <f t="shared" si="15"/>
        <v>201</v>
      </c>
      <c r="J303" s="15" t="str">
        <f t="shared" si="13"/>
        <v>02</v>
      </c>
      <c r="K303" s="15" t="str">
        <f t="shared" si="14"/>
        <v>0102</v>
      </c>
      <c r="L303" t="s">
        <v>2065</v>
      </c>
      <c r="M303">
        <v>0</v>
      </c>
      <c r="N303">
        <v>6</v>
      </c>
      <c r="O303">
        <v>7.2</v>
      </c>
      <c r="P303">
        <v>24</v>
      </c>
    </row>
    <row r="304" spans="1:16">
      <c r="A304" t="s">
        <v>1907</v>
      </c>
      <c r="B304">
        <v>0</v>
      </c>
      <c r="C304">
        <v>6</v>
      </c>
      <c r="D304">
        <v>6.7</v>
      </c>
      <c r="E304">
        <v>21</v>
      </c>
      <c r="F304" t="s">
        <v>78</v>
      </c>
      <c r="G304" t="s">
        <v>245</v>
      </c>
      <c r="I304" s="15">
        <f t="shared" si="15"/>
        <v>214</v>
      </c>
      <c r="J304" s="15" t="str">
        <f t="shared" si="13"/>
        <v>02</v>
      </c>
      <c r="K304" s="15" t="str">
        <f t="shared" si="14"/>
        <v>0102</v>
      </c>
      <c r="L304" t="s">
        <v>2065</v>
      </c>
      <c r="M304">
        <v>0</v>
      </c>
      <c r="N304">
        <v>6</v>
      </c>
      <c r="O304">
        <v>6.7</v>
      </c>
      <c r="P304">
        <v>21</v>
      </c>
    </row>
    <row r="305" spans="1:16">
      <c r="A305" t="s">
        <v>1930</v>
      </c>
      <c r="B305">
        <v>0</v>
      </c>
      <c r="C305">
        <v>5</v>
      </c>
      <c r="D305">
        <v>7</v>
      </c>
      <c r="E305">
        <v>185.1</v>
      </c>
      <c r="F305" t="s">
        <v>25</v>
      </c>
      <c r="G305" t="s">
        <v>163</v>
      </c>
      <c r="I305" s="15">
        <f t="shared" si="15"/>
        <v>309</v>
      </c>
      <c r="J305" s="15" t="str">
        <f t="shared" si="13"/>
        <v>03</v>
      </c>
      <c r="K305" s="15" t="str">
        <f t="shared" si="14"/>
        <v>0103</v>
      </c>
      <c r="L305" t="s">
        <v>2066</v>
      </c>
      <c r="M305">
        <v>0</v>
      </c>
      <c r="N305">
        <v>5</v>
      </c>
      <c r="O305">
        <v>7</v>
      </c>
      <c r="P305">
        <v>185.1</v>
      </c>
    </row>
    <row r="306" spans="1:16">
      <c r="A306" t="s">
        <v>1767</v>
      </c>
      <c r="B306">
        <v>0</v>
      </c>
      <c r="C306">
        <v>2</v>
      </c>
      <c r="D306">
        <v>6.9</v>
      </c>
      <c r="E306">
        <v>8</v>
      </c>
      <c r="F306" t="s">
        <v>54</v>
      </c>
      <c r="G306" t="s">
        <v>620</v>
      </c>
      <c r="I306" s="15">
        <f t="shared" si="15"/>
        <v>324</v>
      </c>
      <c r="J306" s="15" t="str">
        <f t="shared" si="13"/>
        <v>03</v>
      </c>
      <c r="K306" s="15" t="str">
        <f t="shared" si="14"/>
        <v>0103</v>
      </c>
      <c r="L306" t="s">
        <v>2066</v>
      </c>
      <c r="M306">
        <v>0</v>
      </c>
      <c r="N306">
        <v>2</v>
      </c>
      <c r="O306">
        <v>6.9</v>
      </c>
      <c r="P306">
        <v>8</v>
      </c>
    </row>
    <row r="307" spans="1:16">
      <c r="A307" t="s">
        <v>1835</v>
      </c>
      <c r="B307">
        <v>0</v>
      </c>
      <c r="C307">
        <v>5</v>
      </c>
      <c r="D307">
        <v>6.8</v>
      </c>
      <c r="E307">
        <v>79</v>
      </c>
      <c r="F307" t="s">
        <v>25</v>
      </c>
      <c r="G307" t="s">
        <v>26</v>
      </c>
      <c r="I307" s="15">
        <f t="shared" si="15"/>
        <v>423</v>
      </c>
      <c r="J307" s="15" t="str">
        <f t="shared" si="13"/>
        <v>04</v>
      </c>
      <c r="K307" s="15" t="str">
        <f t="shared" si="14"/>
        <v>0104</v>
      </c>
      <c r="L307" t="s">
        <v>2067</v>
      </c>
      <c r="M307">
        <v>0</v>
      </c>
      <c r="N307">
        <v>5</v>
      </c>
      <c r="O307">
        <v>6.8</v>
      </c>
      <c r="P307">
        <v>79</v>
      </c>
    </row>
    <row r="308" spans="1:16">
      <c r="A308" t="s">
        <v>1837</v>
      </c>
      <c r="B308">
        <v>0</v>
      </c>
      <c r="C308">
        <v>2</v>
      </c>
      <c r="D308">
        <v>6.7</v>
      </c>
      <c r="E308">
        <v>91</v>
      </c>
      <c r="F308" t="s">
        <v>54</v>
      </c>
      <c r="G308" t="s">
        <v>108</v>
      </c>
      <c r="I308" s="15">
        <f t="shared" si="15"/>
        <v>509</v>
      </c>
      <c r="J308" s="15" t="str">
        <f t="shared" si="13"/>
        <v>05</v>
      </c>
      <c r="K308" s="15" t="str">
        <f t="shared" si="14"/>
        <v>0105</v>
      </c>
      <c r="L308" t="s">
        <v>2068</v>
      </c>
      <c r="M308">
        <v>0</v>
      </c>
      <c r="N308">
        <v>2</v>
      </c>
      <c r="O308">
        <v>6.7</v>
      </c>
      <c r="P308">
        <v>91</v>
      </c>
    </row>
    <row r="309" spans="1:16">
      <c r="A309" t="s">
        <v>1948</v>
      </c>
      <c r="B309">
        <v>0</v>
      </c>
      <c r="C309">
        <v>5</v>
      </c>
      <c r="D309">
        <v>7.6</v>
      </c>
      <c r="E309">
        <v>17</v>
      </c>
      <c r="F309" t="s">
        <v>25</v>
      </c>
      <c r="G309" t="s">
        <v>594</v>
      </c>
      <c r="I309" s="15">
        <f t="shared" si="15"/>
        <v>607</v>
      </c>
      <c r="J309" s="15" t="str">
        <f t="shared" si="13"/>
        <v>06</v>
      </c>
      <c r="K309" s="15" t="str">
        <f t="shared" si="14"/>
        <v>0106</v>
      </c>
      <c r="L309" t="s">
        <v>2069</v>
      </c>
      <c r="M309">
        <v>0</v>
      </c>
      <c r="N309">
        <v>5</v>
      </c>
      <c r="O309">
        <v>7.6</v>
      </c>
      <c r="P309">
        <v>17</v>
      </c>
    </row>
    <row r="310" spans="1:16">
      <c r="A310" t="s">
        <v>1798</v>
      </c>
      <c r="B310">
        <v>0</v>
      </c>
      <c r="C310">
        <v>2</v>
      </c>
      <c r="D310">
        <v>6.7</v>
      </c>
      <c r="E310">
        <v>33</v>
      </c>
      <c r="F310" t="s">
        <v>54</v>
      </c>
      <c r="G310" t="s">
        <v>200</v>
      </c>
      <c r="I310" s="15">
        <f t="shared" si="15"/>
        <v>622</v>
      </c>
      <c r="J310" s="15" t="str">
        <f t="shared" si="13"/>
        <v>06</v>
      </c>
      <c r="K310" s="15" t="str">
        <f t="shared" si="14"/>
        <v>0106</v>
      </c>
      <c r="L310" t="s">
        <v>2069</v>
      </c>
      <c r="M310">
        <v>0</v>
      </c>
      <c r="N310">
        <v>2</v>
      </c>
      <c r="O310">
        <v>6.7</v>
      </c>
      <c r="P310">
        <v>33</v>
      </c>
    </row>
    <row r="311" spans="1:16">
      <c r="A311" t="s">
        <v>1882</v>
      </c>
      <c r="B311">
        <v>0</v>
      </c>
      <c r="C311">
        <v>4</v>
      </c>
      <c r="D311">
        <v>6.6</v>
      </c>
      <c r="E311">
        <v>166.2</v>
      </c>
      <c r="F311" t="s">
        <v>47</v>
      </c>
      <c r="G311" t="s">
        <v>48</v>
      </c>
      <c r="I311" s="15">
        <f t="shared" si="15"/>
        <v>704</v>
      </c>
      <c r="J311" s="15" t="str">
        <f t="shared" si="13"/>
        <v>07</v>
      </c>
      <c r="K311" s="15" t="str">
        <f t="shared" si="14"/>
        <v>0107</v>
      </c>
      <c r="L311" t="s">
        <v>2070</v>
      </c>
      <c r="M311">
        <v>0</v>
      </c>
      <c r="N311">
        <v>4</v>
      </c>
      <c r="O311">
        <v>6.6</v>
      </c>
      <c r="P311">
        <v>166.2</v>
      </c>
    </row>
    <row r="312" spans="1:16">
      <c r="A312" t="s">
        <v>1882</v>
      </c>
      <c r="B312">
        <v>0</v>
      </c>
      <c r="C312">
        <v>2</v>
      </c>
      <c r="D312">
        <v>7.1</v>
      </c>
      <c r="E312">
        <v>42</v>
      </c>
      <c r="F312" t="s">
        <v>54</v>
      </c>
      <c r="G312" t="s">
        <v>200</v>
      </c>
      <c r="I312" s="15">
        <f t="shared" si="15"/>
        <v>704</v>
      </c>
      <c r="J312" s="15" t="str">
        <f t="shared" si="13"/>
        <v>07</v>
      </c>
      <c r="K312" s="15" t="str">
        <f t="shared" si="14"/>
        <v>0107</v>
      </c>
      <c r="L312" t="s">
        <v>2070</v>
      </c>
      <c r="M312">
        <v>0</v>
      </c>
      <c r="N312">
        <v>2</v>
      </c>
      <c r="O312">
        <v>7.1</v>
      </c>
      <c r="P312">
        <v>42</v>
      </c>
    </row>
    <row r="313" spans="1:16">
      <c r="A313" t="s">
        <v>1799</v>
      </c>
      <c r="B313">
        <v>0</v>
      </c>
      <c r="C313">
        <v>5</v>
      </c>
      <c r="D313">
        <v>6.6</v>
      </c>
      <c r="E313">
        <v>10</v>
      </c>
      <c r="F313" t="s">
        <v>25</v>
      </c>
      <c r="G313" t="s">
        <v>64</v>
      </c>
      <c r="I313" s="15">
        <f t="shared" si="15"/>
        <v>731</v>
      </c>
      <c r="J313" s="15" t="str">
        <f t="shared" si="13"/>
        <v>07</v>
      </c>
      <c r="K313" s="15" t="str">
        <f t="shared" si="14"/>
        <v>0107</v>
      </c>
      <c r="L313" t="s">
        <v>2070</v>
      </c>
      <c r="M313">
        <v>0</v>
      </c>
      <c r="N313">
        <v>5</v>
      </c>
      <c r="O313">
        <v>6.6</v>
      </c>
      <c r="P313">
        <v>10</v>
      </c>
    </row>
    <row r="314" spans="1:16">
      <c r="A314" t="s">
        <v>1949</v>
      </c>
      <c r="B314">
        <v>0</v>
      </c>
      <c r="C314">
        <v>5</v>
      </c>
      <c r="D314">
        <v>7.2</v>
      </c>
      <c r="E314">
        <v>32</v>
      </c>
      <c r="F314" t="s">
        <v>25</v>
      </c>
      <c r="G314" t="s">
        <v>163</v>
      </c>
      <c r="I314" s="15">
        <f t="shared" si="15"/>
        <v>820</v>
      </c>
      <c r="J314" s="15" t="str">
        <f t="shared" si="13"/>
        <v>08</v>
      </c>
      <c r="K314" s="15" t="str">
        <f t="shared" si="14"/>
        <v>0108</v>
      </c>
      <c r="L314" t="s">
        <v>2075</v>
      </c>
      <c r="M314">
        <v>0</v>
      </c>
      <c r="N314">
        <v>5</v>
      </c>
      <c r="O314">
        <v>7.2</v>
      </c>
      <c r="P314">
        <v>32</v>
      </c>
    </row>
    <row r="315" spans="1:16">
      <c r="A315" t="s">
        <v>1949</v>
      </c>
      <c r="B315">
        <v>0</v>
      </c>
      <c r="C315">
        <v>5</v>
      </c>
      <c r="D315">
        <v>6.5</v>
      </c>
      <c r="E315">
        <v>35</v>
      </c>
      <c r="F315" t="s">
        <v>25</v>
      </c>
      <c r="G315" t="s">
        <v>163</v>
      </c>
      <c r="I315" s="15">
        <f t="shared" si="15"/>
        <v>820</v>
      </c>
      <c r="J315" s="15" t="str">
        <f t="shared" si="13"/>
        <v>08</v>
      </c>
      <c r="K315" s="15" t="str">
        <f t="shared" si="14"/>
        <v>0108</v>
      </c>
      <c r="L315" t="s">
        <v>2075</v>
      </c>
      <c r="M315">
        <v>0</v>
      </c>
      <c r="N315">
        <v>5</v>
      </c>
      <c r="O315">
        <v>6.5</v>
      </c>
      <c r="P315">
        <v>35</v>
      </c>
    </row>
    <row r="316" spans="1:16">
      <c r="A316" t="s">
        <v>1949</v>
      </c>
      <c r="B316">
        <v>0</v>
      </c>
      <c r="C316">
        <v>5</v>
      </c>
      <c r="D316">
        <v>7.1</v>
      </c>
      <c r="E316">
        <v>28</v>
      </c>
      <c r="F316" t="s">
        <v>25</v>
      </c>
      <c r="G316" t="s">
        <v>163</v>
      </c>
      <c r="I316" s="15">
        <f t="shared" si="15"/>
        <v>820</v>
      </c>
      <c r="J316" s="15" t="str">
        <f t="shared" si="13"/>
        <v>08</v>
      </c>
      <c r="K316" s="15" t="str">
        <f t="shared" si="14"/>
        <v>0108</v>
      </c>
      <c r="L316" t="s">
        <v>2075</v>
      </c>
      <c r="M316">
        <v>0</v>
      </c>
      <c r="N316">
        <v>5</v>
      </c>
      <c r="O316">
        <v>7.1</v>
      </c>
      <c r="P316">
        <v>28</v>
      </c>
    </row>
    <row r="317" spans="1:16">
      <c r="A317" t="s">
        <v>1887</v>
      </c>
      <c r="B317">
        <v>0</v>
      </c>
      <c r="C317">
        <v>6</v>
      </c>
      <c r="D317">
        <v>7</v>
      </c>
      <c r="E317">
        <v>147</v>
      </c>
      <c r="F317" t="s">
        <v>78</v>
      </c>
      <c r="G317" t="s">
        <v>83</v>
      </c>
      <c r="I317" s="15">
        <f t="shared" si="15"/>
        <v>824</v>
      </c>
      <c r="J317" s="15" t="str">
        <f t="shared" si="13"/>
        <v>08</v>
      </c>
      <c r="K317" s="15" t="str">
        <f t="shared" si="14"/>
        <v>0108</v>
      </c>
      <c r="L317" t="s">
        <v>2075</v>
      </c>
      <c r="M317">
        <v>0</v>
      </c>
      <c r="N317">
        <v>6</v>
      </c>
      <c r="O317">
        <v>7</v>
      </c>
      <c r="P317">
        <v>147</v>
      </c>
    </row>
    <row r="318" spans="1:16">
      <c r="A318" t="s">
        <v>1950</v>
      </c>
      <c r="B318">
        <v>0</v>
      </c>
      <c r="C318">
        <v>2</v>
      </c>
      <c r="D318">
        <v>7.3</v>
      </c>
      <c r="E318">
        <v>32</v>
      </c>
      <c r="F318" s="3" t="s">
        <v>54</v>
      </c>
      <c r="G318" t="s">
        <v>200</v>
      </c>
      <c r="I318" s="15">
        <f t="shared" si="15"/>
        <v>903</v>
      </c>
      <c r="J318" s="15" t="str">
        <f t="shared" si="13"/>
        <v>09</v>
      </c>
      <c r="K318" s="15" t="str">
        <f t="shared" si="14"/>
        <v>0109</v>
      </c>
      <c r="L318" t="s">
        <v>2071</v>
      </c>
      <c r="M318">
        <v>0</v>
      </c>
      <c r="N318">
        <v>2</v>
      </c>
      <c r="O318">
        <v>7.3</v>
      </c>
      <c r="P318">
        <v>32</v>
      </c>
    </row>
    <row r="319" spans="1:16">
      <c r="A319" t="s">
        <v>1951</v>
      </c>
      <c r="B319">
        <v>0</v>
      </c>
      <c r="C319">
        <v>2</v>
      </c>
      <c r="D319">
        <v>6.7</v>
      </c>
      <c r="E319">
        <v>30</v>
      </c>
      <c r="F319" t="s">
        <v>54</v>
      </c>
      <c r="G319" t="s">
        <v>200</v>
      </c>
      <c r="I319" s="15">
        <f t="shared" si="15"/>
        <v>916</v>
      </c>
      <c r="J319" s="15" t="str">
        <f t="shared" si="13"/>
        <v>09</v>
      </c>
      <c r="K319" s="15" t="str">
        <f t="shared" si="14"/>
        <v>0109</v>
      </c>
      <c r="L319" t="s">
        <v>2071</v>
      </c>
      <c r="M319">
        <v>0</v>
      </c>
      <c r="N319">
        <v>2</v>
      </c>
      <c r="O319">
        <v>6.7</v>
      </c>
      <c r="P319">
        <v>30</v>
      </c>
    </row>
    <row r="320" spans="1:16">
      <c r="A320" t="s">
        <v>1952</v>
      </c>
      <c r="B320">
        <v>0</v>
      </c>
      <c r="C320">
        <v>2</v>
      </c>
      <c r="D320">
        <v>6.9</v>
      </c>
      <c r="E320">
        <v>50</v>
      </c>
      <c r="F320" t="s">
        <v>54</v>
      </c>
      <c r="G320" t="s">
        <v>671</v>
      </c>
      <c r="I320" s="15">
        <f t="shared" si="15"/>
        <v>918</v>
      </c>
      <c r="J320" s="15" t="str">
        <f t="shared" si="13"/>
        <v>09</v>
      </c>
      <c r="K320" s="15" t="str">
        <f t="shared" si="14"/>
        <v>0109</v>
      </c>
      <c r="L320" t="s">
        <v>2071</v>
      </c>
      <c r="M320">
        <v>0</v>
      </c>
      <c r="N320">
        <v>2</v>
      </c>
      <c r="O320">
        <v>6.9</v>
      </c>
      <c r="P320">
        <v>50</v>
      </c>
    </row>
    <row r="321" spans="1:16">
      <c r="A321" t="s">
        <v>1953</v>
      </c>
      <c r="B321">
        <v>0</v>
      </c>
      <c r="C321">
        <v>5</v>
      </c>
      <c r="D321">
        <v>6.8</v>
      </c>
      <c r="E321">
        <v>11</v>
      </c>
      <c r="F321" t="s">
        <v>25</v>
      </c>
      <c r="G321" t="s">
        <v>1750</v>
      </c>
      <c r="I321" s="15">
        <f t="shared" si="15"/>
        <v>1005</v>
      </c>
      <c r="J321" s="15" t="str">
        <f t="shared" si="13"/>
        <v>10</v>
      </c>
      <c r="K321" s="15" t="str">
        <f t="shared" si="14"/>
        <v>0110</v>
      </c>
      <c r="L321" t="s">
        <v>2072</v>
      </c>
      <c r="M321">
        <v>0</v>
      </c>
      <c r="N321">
        <v>5</v>
      </c>
      <c r="O321">
        <v>6.8</v>
      </c>
      <c r="P321">
        <v>11</v>
      </c>
    </row>
    <row r="322" spans="1:16">
      <c r="A322" t="s">
        <v>1954</v>
      </c>
      <c r="B322">
        <v>0</v>
      </c>
      <c r="C322">
        <v>5</v>
      </c>
      <c r="D322">
        <v>6.5</v>
      </c>
      <c r="E322">
        <v>37</v>
      </c>
      <c r="F322" t="s">
        <v>25</v>
      </c>
      <c r="G322" t="s">
        <v>64</v>
      </c>
      <c r="I322" s="15">
        <f t="shared" si="15"/>
        <v>1014</v>
      </c>
      <c r="J322" s="15" t="str">
        <f t="shared" si="13"/>
        <v>10</v>
      </c>
      <c r="K322" s="15" t="str">
        <f t="shared" si="14"/>
        <v>0110</v>
      </c>
      <c r="L322" t="s">
        <v>2072</v>
      </c>
      <c r="M322">
        <v>0</v>
      </c>
      <c r="N322">
        <v>5</v>
      </c>
      <c r="O322">
        <v>6.5</v>
      </c>
      <c r="P322">
        <v>37</v>
      </c>
    </row>
    <row r="323" spans="1:16">
      <c r="A323" t="s">
        <v>1804</v>
      </c>
      <c r="B323">
        <v>0</v>
      </c>
      <c r="C323">
        <v>2</v>
      </c>
      <c r="D323">
        <v>7.1</v>
      </c>
      <c r="E323">
        <v>18</v>
      </c>
      <c r="F323" t="s">
        <v>54</v>
      </c>
      <c r="G323" t="s">
        <v>302</v>
      </c>
      <c r="I323" s="15">
        <f t="shared" si="15"/>
        <v>1023</v>
      </c>
      <c r="J323" s="15" t="str">
        <f t="shared" ref="J323:J386" si="16">LEFT(L323,2)</f>
        <v>10</v>
      </c>
      <c r="K323" s="15" t="str">
        <f t="shared" ref="K323:K386" si="17">TEXT(J323,"MMDD")</f>
        <v>0110</v>
      </c>
      <c r="L323" t="s">
        <v>2072</v>
      </c>
      <c r="M323">
        <v>0</v>
      </c>
      <c r="N323">
        <v>2</v>
      </c>
      <c r="O323">
        <v>7.1</v>
      </c>
      <c r="P323">
        <v>18</v>
      </c>
    </row>
    <row r="324" spans="1:16">
      <c r="A324" t="s">
        <v>1955</v>
      </c>
      <c r="B324">
        <v>0</v>
      </c>
      <c r="C324">
        <v>6</v>
      </c>
      <c r="D324">
        <v>6.9</v>
      </c>
      <c r="E324">
        <v>24</v>
      </c>
      <c r="F324" t="s">
        <v>78</v>
      </c>
      <c r="G324" t="s">
        <v>83</v>
      </c>
      <c r="I324" s="15">
        <f t="shared" si="15"/>
        <v>1028</v>
      </c>
      <c r="J324" s="15" t="str">
        <f t="shared" si="16"/>
        <v>10</v>
      </c>
      <c r="K324" s="15" t="str">
        <f t="shared" si="17"/>
        <v>0110</v>
      </c>
      <c r="L324" t="s">
        <v>2072</v>
      </c>
      <c r="M324">
        <v>0</v>
      </c>
      <c r="N324">
        <v>6</v>
      </c>
      <c r="O324">
        <v>6.9</v>
      </c>
      <c r="P324">
        <v>24</v>
      </c>
    </row>
    <row r="325" spans="1:16">
      <c r="A325" t="s">
        <v>1926</v>
      </c>
      <c r="B325">
        <v>0</v>
      </c>
      <c r="C325">
        <v>6</v>
      </c>
      <c r="D325">
        <v>6.9</v>
      </c>
      <c r="E325">
        <v>26</v>
      </c>
      <c r="F325" t="s">
        <v>78</v>
      </c>
      <c r="G325" t="s">
        <v>245</v>
      </c>
      <c r="I325" s="15">
        <f t="shared" si="15"/>
        <v>1102</v>
      </c>
      <c r="J325" s="15" t="str">
        <f t="shared" si="16"/>
        <v>11</v>
      </c>
      <c r="K325" s="15" t="str">
        <f t="shared" si="17"/>
        <v>0111</v>
      </c>
      <c r="L325" t="s">
        <v>2073</v>
      </c>
      <c r="M325">
        <v>0</v>
      </c>
      <c r="N325">
        <v>6</v>
      </c>
      <c r="O325">
        <v>6.9</v>
      </c>
      <c r="P325">
        <v>26</v>
      </c>
    </row>
    <row r="326" spans="1:16">
      <c r="A326" t="s">
        <v>1826</v>
      </c>
      <c r="B326">
        <v>0</v>
      </c>
      <c r="C326">
        <v>2</v>
      </c>
      <c r="D326">
        <v>9.1</v>
      </c>
      <c r="E326">
        <v>29</v>
      </c>
      <c r="F326" t="s">
        <v>54</v>
      </c>
      <c r="G326" t="s">
        <v>200</v>
      </c>
      <c r="I326" s="15">
        <f t="shared" si="15"/>
        <v>1103</v>
      </c>
      <c r="J326" s="15" t="str">
        <f t="shared" si="16"/>
        <v>11</v>
      </c>
      <c r="K326" s="15" t="str">
        <f t="shared" si="17"/>
        <v>0111</v>
      </c>
      <c r="L326" t="s">
        <v>2073</v>
      </c>
      <c r="M326">
        <v>0</v>
      </c>
      <c r="N326">
        <v>2</v>
      </c>
      <c r="O326">
        <v>9.1</v>
      </c>
      <c r="P326">
        <v>29</v>
      </c>
    </row>
    <row r="327" spans="1:16">
      <c r="A327" t="s">
        <v>1826</v>
      </c>
      <c r="B327">
        <v>0</v>
      </c>
      <c r="C327">
        <v>2</v>
      </c>
      <c r="D327">
        <v>7.9</v>
      </c>
      <c r="E327">
        <v>42.6</v>
      </c>
      <c r="F327" t="s">
        <v>54</v>
      </c>
      <c r="G327" t="s">
        <v>200</v>
      </c>
      <c r="I327" s="15">
        <f t="shared" si="15"/>
        <v>1103</v>
      </c>
      <c r="J327" s="15" t="str">
        <f t="shared" si="16"/>
        <v>11</v>
      </c>
      <c r="K327" s="15" t="str">
        <f t="shared" si="17"/>
        <v>0111</v>
      </c>
      <c r="L327" t="s">
        <v>2073</v>
      </c>
      <c r="M327">
        <v>0</v>
      </c>
      <c r="N327">
        <v>2</v>
      </c>
      <c r="O327">
        <v>7.9</v>
      </c>
      <c r="P327">
        <v>42.6</v>
      </c>
    </row>
    <row r="328" spans="1:16">
      <c r="A328" t="s">
        <v>1826</v>
      </c>
      <c r="B328">
        <v>0</v>
      </c>
      <c r="C328">
        <v>2</v>
      </c>
      <c r="D328">
        <v>7.7</v>
      </c>
      <c r="E328">
        <v>18.600000000000001</v>
      </c>
      <c r="F328" t="s">
        <v>54</v>
      </c>
      <c r="G328" t="s">
        <v>200</v>
      </c>
      <c r="I328" s="15">
        <f t="shared" si="15"/>
        <v>1103</v>
      </c>
      <c r="J328" s="15" t="str">
        <f t="shared" si="16"/>
        <v>11</v>
      </c>
      <c r="K328" s="15" t="str">
        <f t="shared" si="17"/>
        <v>0111</v>
      </c>
      <c r="L328" t="s">
        <v>2073</v>
      </c>
      <c r="M328">
        <v>0</v>
      </c>
      <c r="N328">
        <v>2</v>
      </c>
      <c r="O328">
        <v>7.7</v>
      </c>
      <c r="P328">
        <v>18.600000000000001</v>
      </c>
    </row>
    <row r="329" spans="1:16">
      <c r="A329" t="s">
        <v>1826</v>
      </c>
      <c r="B329">
        <v>0</v>
      </c>
      <c r="C329">
        <v>2</v>
      </c>
      <c r="D329">
        <v>6.5</v>
      </c>
      <c r="E329">
        <v>6.8</v>
      </c>
      <c r="F329" t="s">
        <v>54</v>
      </c>
      <c r="G329" t="s">
        <v>200</v>
      </c>
      <c r="I329" s="15">
        <f t="shared" si="15"/>
        <v>1103</v>
      </c>
      <c r="J329" s="15" t="str">
        <f t="shared" si="16"/>
        <v>11</v>
      </c>
      <c r="K329" s="15" t="str">
        <f t="shared" si="17"/>
        <v>0111</v>
      </c>
      <c r="L329" t="s">
        <v>2073</v>
      </c>
      <c r="M329">
        <v>0</v>
      </c>
      <c r="N329">
        <v>2</v>
      </c>
      <c r="O329">
        <v>6.5</v>
      </c>
      <c r="P329">
        <v>6.8</v>
      </c>
    </row>
    <row r="330" spans="1:16">
      <c r="A330" t="s">
        <v>1826</v>
      </c>
      <c r="B330">
        <v>0</v>
      </c>
      <c r="C330">
        <v>2</v>
      </c>
      <c r="D330">
        <v>6.6</v>
      </c>
      <c r="E330">
        <v>25.7</v>
      </c>
      <c r="F330" t="s">
        <v>54</v>
      </c>
      <c r="G330" t="s">
        <v>200</v>
      </c>
      <c r="I330" s="15">
        <f t="shared" si="15"/>
        <v>1103</v>
      </c>
      <c r="J330" s="15" t="str">
        <f t="shared" si="16"/>
        <v>11</v>
      </c>
      <c r="K330" s="15" t="str">
        <f t="shared" si="17"/>
        <v>0111</v>
      </c>
      <c r="L330" t="s">
        <v>2073</v>
      </c>
      <c r="M330">
        <v>0</v>
      </c>
      <c r="N330">
        <v>2</v>
      </c>
      <c r="O330">
        <v>6.6</v>
      </c>
      <c r="P330">
        <v>25.7</v>
      </c>
    </row>
    <row r="331" spans="1:16">
      <c r="A331" t="s">
        <v>1944</v>
      </c>
      <c r="B331">
        <v>0</v>
      </c>
      <c r="C331">
        <v>2</v>
      </c>
      <c r="D331">
        <v>6.6</v>
      </c>
      <c r="E331">
        <v>11</v>
      </c>
      <c r="F331" t="s">
        <v>54</v>
      </c>
      <c r="G331" t="s">
        <v>200</v>
      </c>
      <c r="I331" s="15">
        <f t="shared" si="15"/>
        <v>1104</v>
      </c>
      <c r="J331" s="15" t="str">
        <f t="shared" si="16"/>
        <v>11</v>
      </c>
      <c r="K331" s="15" t="str">
        <f t="shared" si="17"/>
        <v>0111</v>
      </c>
      <c r="L331" t="s">
        <v>2073</v>
      </c>
      <c r="M331">
        <v>0</v>
      </c>
      <c r="N331">
        <v>2</v>
      </c>
      <c r="O331">
        <v>6.6</v>
      </c>
      <c r="P331">
        <v>11</v>
      </c>
    </row>
    <row r="332" spans="1:16">
      <c r="A332" t="s">
        <v>1956</v>
      </c>
      <c r="B332">
        <v>0</v>
      </c>
      <c r="C332">
        <v>4</v>
      </c>
      <c r="D332">
        <v>6.5</v>
      </c>
      <c r="E332">
        <v>59</v>
      </c>
      <c r="F332" t="s">
        <v>47</v>
      </c>
      <c r="G332" t="s">
        <v>48</v>
      </c>
      <c r="I332" s="15">
        <f t="shared" si="15"/>
        <v>1112</v>
      </c>
      <c r="J332" s="15" t="str">
        <f t="shared" si="16"/>
        <v>11</v>
      </c>
      <c r="K332" s="15" t="str">
        <f t="shared" si="17"/>
        <v>0111</v>
      </c>
      <c r="L332" t="s">
        <v>2073</v>
      </c>
      <c r="M332">
        <v>0</v>
      </c>
      <c r="N332">
        <v>4</v>
      </c>
      <c r="O332">
        <v>6.5</v>
      </c>
      <c r="P332">
        <v>59</v>
      </c>
    </row>
    <row r="333" spans="1:16">
      <c r="A333" t="s">
        <v>1852</v>
      </c>
      <c r="B333">
        <v>0</v>
      </c>
      <c r="C333">
        <v>5</v>
      </c>
      <c r="D333">
        <v>7.1</v>
      </c>
      <c r="E333">
        <v>135</v>
      </c>
      <c r="F333" t="s">
        <v>25</v>
      </c>
      <c r="G333" t="s">
        <v>64</v>
      </c>
      <c r="I333" s="15">
        <f t="shared" si="15"/>
        <v>1214</v>
      </c>
      <c r="J333" s="15" t="str">
        <f t="shared" si="16"/>
        <v>12</v>
      </c>
      <c r="K333" s="15" t="str">
        <f t="shared" si="17"/>
        <v>0112</v>
      </c>
      <c r="L333" t="s">
        <v>2074</v>
      </c>
      <c r="M333">
        <v>0</v>
      </c>
      <c r="N333">
        <v>5</v>
      </c>
      <c r="O333">
        <v>7.1</v>
      </c>
      <c r="P333">
        <v>135</v>
      </c>
    </row>
    <row r="334" spans="1:16">
      <c r="A334" t="s">
        <v>1832</v>
      </c>
      <c r="B334">
        <v>0</v>
      </c>
      <c r="C334">
        <v>2</v>
      </c>
      <c r="D334">
        <v>6.6</v>
      </c>
      <c r="E334">
        <v>15</v>
      </c>
      <c r="F334" t="s">
        <v>54</v>
      </c>
      <c r="G334" t="s">
        <v>295</v>
      </c>
      <c r="I334" s="15">
        <f t="shared" si="15"/>
        <v>1227</v>
      </c>
      <c r="J334" s="15" t="str">
        <f t="shared" si="16"/>
        <v>12</v>
      </c>
      <c r="K334" s="15" t="str">
        <f t="shared" si="17"/>
        <v>0112</v>
      </c>
      <c r="L334" t="s">
        <v>2074</v>
      </c>
      <c r="M334">
        <v>0</v>
      </c>
      <c r="N334">
        <v>2</v>
      </c>
      <c r="O334">
        <v>6.6</v>
      </c>
      <c r="P334">
        <v>15</v>
      </c>
    </row>
    <row r="335" spans="1:16">
      <c r="A335" t="s">
        <v>1957</v>
      </c>
      <c r="B335">
        <v>0</v>
      </c>
      <c r="C335">
        <v>5</v>
      </c>
      <c r="D335">
        <v>7.1</v>
      </c>
      <c r="E335">
        <v>23</v>
      </c>
      <c r="F335" t="s">
        <v>25</v>
      </c>
      <c r="G335" t="s">
        <v>163</v>
      </c>
      <c r="I335" s="15">
        <f t="shared" si="15"/>
        <v>202</v>
      </c>
      <c r="J335" s="15" t="str">
        <f t="shared" si="16"/>
        <v>02</v>
      </c>
      <c r="K335" s="15" t="str">
        <f t="shared" si="17"/>
        <v>0102</v>
      </c>
      <c r="L335" t="s">
        <v>2065</v>
      </c>
      <c r="M335">
        <v>0</v>
      </c>
      <c r="N335">
        <v>5</v>
      </c>
      <c r="O335">
        <v>7.1</v>
      </c>
      <c r="P335">
        <v>23</v>
      </c>
    </row>
    <row r="336" spans="1:16">
      <c r="A336" t="s">
        <v>1858</v>
      </c>
      <c r="B336">
        <v>0</v>
      </c>
      <c r="C336">
        <v>2</v>
      </c>
      <c r="D336">
        <v>6.7</v>
      </c>
      <c r="E336">
        <v>12</v>
      </c>
      <c r="F336" t="s">
        <v>54</v>
      </c>
      <c r="G336" t="s">
        <v>295</v>
      </c>
      <c r="I336" s="15">
        <f t="shared" si="15"/>
        <v>226</v>
      </c>
      <c r="J336" s="15" t="str">
        <f t="shared" si="16"/>
        <v>02</v>
      </c>
      <c r="K336" s="15" t="str">
        <f t="shared" si="17"/>
        <v>0102</v>
      </c>
      <c r="L336" t="s">
        <v>2065</v>
      </c>
      <c r="M336">
        <v>0</v>
      </c>
      <c r="N336">
        <v>2</v>
      </c>
      <c r="O336">
        <v>6.7</v>
      </c>
      <c r="P336">
        <v>12</v>
      </c>
    </row>
    <row r="337" spans="1:16">
      <c r="A337" t="s">
        <v>1859</v>
      </c>
      <c r="B337">
        <v>0</v>
      </c>
      <c r="C337">
        <v>4</v>
      </c>
      <c r="D337">
        <v>7.4</v>
      </c>
      <c r="E337">
        <v>20</v>
      </c>
      <c r="F337" t="s">
        <v>47</v>
      </c>
      <c r="G337" t="s">
        <v>48</v>
      </c>
      <c r="I337" s="15">
        <f t="shared" si="15"/>
        <v>320</v>
      </c>
      <c r="J337" s="15" t="str">
        <f t="shared" si="16"/>
        <v>03</v>
      </c>
      <c r="K337" s="15" t="str">
        <f t="shared" si="17"/>
        <v>0103</v>
      </c>
      <c r="L337" t="s">
        <v>2066</v>
      </c>
      <c r="M337">
        <v>0</v>
      </c>
      <c r="N337">
        <v>4</v>
      </c>
      <c r="O337">
        <v>7.4</v>
      </c>
      <c r="P337">
        <v>20</v>
      </c>
    </row>
    <row r="338" spans="1:16">
      <c r="A338" t="s">
        <v>1958</v>
      </c>
      <c r="B338">
        <v>0</v>
      </c>
      <c r="C338">
        <v>5</v>
      </c>
      <c r="D338">
        <v>6.6</v>
      </c>
      <c r="E338">
        <v>118</v>
      </c>
      <c r="F338" t="s">
        <v>25</v>
      </c>
      <c r="G338" t="s">
        <v>64</v>
      </c>
      <c r="I338" s="15">
        <f t="shared" si="15"/>
        <v>321</v>
      </c>
      <c r="J338" s="15" t="str">
        <f t="shared" si="16"/>
        <v>03</v>
      </c>
      <c r="K338" s="15" t="str">
        <f t="shared" si="17"/>
        <v>0103</v>
      </c>
      <c r="L338" t="s">
        <v>2066</v>
      </c>
      <c r="M338">
        <v>0</v>
      </c>
      <c r="N338">
        <v>5</v>
      </c>
      <c r="O338">
        <v>6.6</v>
      </c>
      <c r="P338">
        <v>118</v>
      </c>
    </row>
    <row r="339" spans="1:16">
      <c r="A339" t="s">
        <v>1810</v>
      </c>
      <c r="B339">
        <v>0</v>
      </c>
      <c r="C339">
        <v>6</v>
      </c>
      <c r="D339">
        <v>7.1</v>
      </c>
      <c r="E339">
        <v>40.700000000000003</v>
      </c>
      <c r="F339" t="s">
        <v>78</v>
      </c>
      <c r="G339" t="s">
        <v>245</v>
      </c>
      <c r="I339" s="15">
        <f t="shared" si="15"/>
        <v>325</v>
      </c>
      <c r="J339" s="15" t="str">
        <f t="shared" si="16"/>
        <v>03</v>
      </c>
      <c r="K339" s="15" t="str">
        <f t="shared" si="17"/>
        <v>0103</v>
      </c>
      <c r="L339" t="s">
        <v>2066</v>
      </c>
      <c r="M339">
        <v>0</v>
      </c>
      <c r="N339">
        <v>6</v>
      </c>
      <c r="O339">
        <v>7.1</v>
      </c>
      <c r="P339">
        <v>40.700000000000003</v>
      </c>
    </row>
    <row r="340" spans="1:16">
      <c r="A340" t="s">
        <v>1959</v>
      </c>
      <c r="B340">
        <v>0</v>
      </c>
      <c r="C340">
        <v>6</v>
      </c>
      <c r="D340">
        <v>6.7</v>
      </c>
      <c r="E340">
        <v>29</v>
      </c>
      <c r="F340" t="s">
        <v>78</v>
      </c>
      <c r="G340" t="s">
        <v>245</v>
      </c>
      <c r="I340" s="15">
        <f t="shared" si="15"/>
        <v>417</v>
      </c>
      <c r="J340" s="15" t="str">
        <f t="shared" si="16"/>
        <v>04</v>
      </c>
      <c r="K340" s="15" t="str">
        <f t="shared" si="17"/>
        <v>0104</v>
      </c>
      <c r="L340" t="s">
        <v>2067</v>
      </c>
      <c r="M340">
        <v>0</v>
      </c>
      <c r="N340">
        <v>6</v>
      </c>
      <c r="O340">
        <v>6.7</v>
      </c>
      <c r="P340">
        <v>29</v>
      </c>
    </row>
    <row r="341" spans="1:16">
      <c r="A341" t="s">
        <v>1959</v>
      </c>
      <c r="B341">
        <v>0</v>
      </c>
      <c r="C341">
        <v>5</v>
      </c>
      <c r="D341">
        <v>6.8</v>
      </c>
      <c r="E341">
        <v>198</v>
      </c>
      <c r="F341" t="s">
        <v>25</v>
      </c>
      <c r="G341" t="s">
        <v>64</v>
      </c>
      <c r="I341" s="15">
        <f t="shared" si="15"/>
        <v>417</v>
      </c>
      <c r="J341" s="15" t="str">
        <f t="shared" si="16"/>
        <v>04</v>
      </c>
      <c r="K341" s="15" t="str">
        <f t="shared" si="17"/>
        <v>0104</v>
      </c>
      <c r="L341" t="s">
        <v>2067</v>
      </c>
      <c r="M341">
        <v>0</v>
      </c>
      <c r="N341">
        <v>5</v>
      </c>
      <c r="O341">
        <v>6.8</v>
      </c>
      <c r="P341">
        <v>198</v>
      </c>
    </row>
    <row r="342" spans="1:16">
      <c r="A342" t="s">
        <v>1960</v>
      </c>
      <c r="B342">
        <v>0</v>
      </c>
      <c r="C342">
        <v>2</v>
      </c>
      <c r="D342">
        <v>6.7</v>
      </c>
      <c r="E342">
        <v>16</v>
      </c>
      <c r="F342" t="s">
        <v>54</v>
      </c>
      <c r="G342" t="s">
        <v>108</v>
      </c>
      <c r="I342" s="15">
        <f t="shared" si="15"/>
        <v>421</v>
      </c>
      <c r="J342" s="15" t="str">
        <f t="shared" si="16"/>
        <v>04</v>
      </c>
      <c r="K342" s="15" t="str">
        <f t="shared" si="17"/>
        <v>0104</v>
      </c>
      <c r="L342" t="s">
        <v>2067</v>
      </c>
      <c r="M342">
        <v>0</v>
      </c>
      <c r="N342">
        <v>2</v>
      </c>
      <c r="O342">
        <v>6.7</v>
      </c>
      <c r="P342">
        <v>16</v>
      </c>
    </row>
    <row r="343" spans="1:16">
      <c r="A343" t="s">
        <v>1961</v>
      </c>
      <c r="B343">
        <v>0</v>
      </c>
      <c r="C343">
        <v>5</v>
      </c>
      <c r="D343">
        <v>6.6</v>
      </c>
      <c r="E343">
        <v>134.69999999999999</v>
      </c>
      <c r="F343" t="s">
        <v>25</v>
      </c>
      <c r="G343" t="s">
        <v>1022</v>
      </c>
      <c r="I343" s="15">
        <f t="shared" si="15"/>
        <v>428</v>
      </c>
      <c r="J343" s="15" t="str">
        <f t="shared" si="16"/>
        <v>04</v>
      </c>
      <c r="K343" s="15" t="str">
        <f t="shared" si="17"/>
        <v>0104</v>
      </c>
      <c r="L343" t="s">
        <v>2067</v>
      </c>
      <c r="M343">
        <v>0</v>
      </c>
      <c r="N343">
        <v>5</v>
      </c>
      <c r="O343">
        <v>6.6</v>
      </c>
      <c r="P343">
        <v>134.69999999999999</v>
      </c>
    </row>
    <row r="344" spans="1:16">
      <c r="A344" t="s">
        <v>1837</v>
      </c>
      <c r="B344">
        <v>0</v>
      </c>
      <c r="C344">
        <v>4</v>
      </c>
      <c r="D344">
        <v>7.6</v>
      </c>
      <c r="E344">
        <v>35</v>
      </c>
      <c r="F344" t="s">
        <v>47</v>
      </c>
      <c r="G344" t="s">
        <v>495</v>
      </c>
      <c r="I344" s="15">
        <f t="shared" si="15"/>
        <v>509</v>
      </c>
      <c r="J344" s="15" t="str">
        <f t="shared" si="16"/>
        <v>05</v>
      </c>
      <c r="K344" s="15" t="str">
        <f t="shared" si="17"/>
        <v>0105</v>
      </c>
      <c r="L344" t="s">
        <v>2068</v>
      </c>
      <c r="M344">
        <v>0</v>
      </c>
      <c r="N344">
        <v>4</v>
      </c>
      <c r="O344">
        <v>7.6</v>
      </c>
      <c r="P344">
        <v>35</v>
      </c>
    </row>
    <row r="345" spans="1:16">
      <c r="A345" t="s">
        <v>1962</v>
      </c>
      <c r="B345">
        <v>0</v>
      </c>
      <c r="C345">
        <v>2</v>
      </c>
      <c r="D345">
        <v>6.7</v>
      </c>
      <c r="E345">
        <v>11</v>
      </c>
      <c r="F345" t="s">
        <v>54</v>
      </c>
      <c r="G345" t="s">
        <v>75</v>
      </c>
      <c r="I345" s="15">
        <f t="shared" si="15"/>
        <v>602</v>
      </c>
      <c r="J345" s="15" t="str">
        <f t="shared" si="16"/>
        <v>06</v>
      </c>
      <c r="K345" s="15" t="str">
        <f t="shared" si="17"/>
        <v>0106</v>
      </c>
      <c r="L345" t="s">
        <v>2069</v>
      </c>
      <c r="M345">
        <v>0</v>
      </c>
      <c r="N345">
        <v>2</v>
      </c>
      <c r="O345">
        <v>6.7</v>
      </c>
      <c r="P345">
        <v>11</v>
      </c>
    </row>
    <row r="346" spans="1:16">
      <c r="A346" t="s">
        <v>1884</v>
      </c>
      <c r="B346">
        <v>0</v>
      </c>
      <c r="C346">
        <v>4</v>
      </c>
      <c r="D346">
        <v>7.4</v>
      </c>
      <c r="E346">
        <v>24</v>
      </c>
      <c r="F346" t="s">
        <v>47</v>
      </c>
      <c r="G346" t="s">
        <v>534</v>
      </c>
      <c r="I346" s="15">
        <f t="shared" si="15"/>
        <v>711</v>
      </c>
      <c r="J346" s="15" t="str">
        <f t="shared" si="16"/>
        <v>07</v>
      </c>
      <c r="K346" s="15" t="str">
        <f t="shared" si="17"/>
        <v>0107</v>
      </c>
      <c r="L346" t="s">
        <v>2070</v>
      </c>
      <c r="M346">
        <v>0</v>
      </c>
      <c r="N346">
        <v>4</v>
      </c>
      <c r="O346">
        <v>7.4</v>
      </c>
      <c r="P346">
        <v>24</v>
      </c>
    </row>
    <row r="347" spans="1:16">
      <c r="A347" t="s">
        <v>1963</v>
      </c>
      <c r="B347">
        <v>0</v>
      </c>
      <c r="C347">
        <v>2</v>
      </c>
      <c r="D347">
        <v>7.3</v>
      </c>
      <c r="E347">
        <v>31</v>
      </c>
      <c r="F347" t="s">
        <v>54</v>
      </c>
      <c r="G347" t="s">
        <v>200</v>
      </c>
      <c r="I347" s="15">
        <f t="shared" si="15"/>
        <v>712</v>
      </c>
      <c r="J347" s="15" t="str">
        <f t="shared" si="16"/>
        <v>07</v>
      </c>
      <c r="K347" s="15" t="str">
        <f t="shared" si="17"/>
        <v>0107</v>
      </c>
      <c r="L347" t="s">
        <v>2070</v>
      </c>
      <c r="M347">
        <v>0</v>
      </c>
      <c r="N347">
        <v>2</v>
      </c>
      <c r="O347">
        <v>7.3</v>
      </c>
      <c r="P347">
        <v>31</v>
      </c>
    </row>
    <row r="348" spans="1:16">
      <c r="A348" t="s">
        <v>1774</v>
      </c>
      <c r="B348">
        <v>0</v>
      </c>
      <c r="C348">
        <v>5</v>
      </c>
      <c r="D348">
        <v>6.5</v>
      </c>
      <c r="E348">
        <v>41</v>
      </c>
      <c r="F348" t="s">
        <v>25</v>
      </c>
      <c r="G348" t="s">
        <v>64</v>
      </c>
      <c r="I348" s="15">
        <f t="shared" si="15"/>
        <v>728</v>
      </c>
      <c r="J348" s="15" t="str">
        <f t="shared" si="16"/>
        <v>07</v>
      </c>
      <c r="K348" s="15" t="str">
        <f t="shared" si="17"/>
        <v>0107</v>
      </c>
      <c r="L348" t="s">
        <v>2070</v>
      </c>
      <c r="M348">
        <v>0</v>
      </c>
      <c r="N348">
        <v>5</v>
      </c>
      <c r="O348">
        <v>6.5</v>
      </c>
      <c r="P348">
        <v>41</v>
      </c>
    </row>
    <row r="349" spans="1:16">
      <c r="A349" t="s">
        <v>1801</v>
      </c>
      <c r="B349">
        <v>0</v>
      </c>
      <c r="C349">
        <v>2</v>
      </c>
      <c r="D349">
        <v>7.7</v>
      </c>
      <c r="E349">
        <v>583.20000000000005</v>
      </c>
      <c r="F349" t="s">
        <v>54</v>
      </c>
      <c r="G349" t="s">
        <v>295</v>
      </c>
      <c r="I349" s="15">
        <f t="shared" si="15"/>
        <v>814</v>
      </c>
      <c r="J349" s="15" t="str">
        <f t="shared" si="16"/>
        <v>08</v>
      </c>
      <c r="K349" s="15" t="str">
        <f t="shared" si="17"/>
        <v>0108</v>
      </c>
      <c r="L349" t="s">
        <v>2075</v>
      </c>
      <c r="M349">
        <v>0</v>
      </c>
      <c r="N349">
        <v>2</v>
      </c>
      <c r="O349">
        <v>7.7</v>
      </c>
      <c r="P349">
        <v>583.20000000000005</v>
      </c>
    </row>
    <row r="350" spans="1:16">
      <c r="A350" t="s">
        <v>1964</v>
      </c>
      <c r="B350">
        <v>0</v>
      </c>
      <c r="C350">
        <v>2</v>
      </c>
      <c r="D350">
        <v>6.6</v>
      </c>
      <c r="E350">
        <v>91.1</v>
      </c>
      <c r="F350" t="s">
        <v>54</v>
      </c>
      <c r="G350" t="s">
        <v>108</v>
      </c>
      <c r="I350" s="15">
        <f t="shared" si="15"/>
        <v>826</v>
      </c>
      <c r="J350" s="15" t="str">
        <f t="shared" si="16"/>
        <v>08</v>
      </c>
      <c r="K350" s="15" t="str">
        <f t="shared" si="17"/>
        <v>0108</v>
      </c>
      <c r="L350" t="s">
        <v>2075</v>
      </c>
      <c r="M350">
        <v>0</v>
      </c>
      <c r="N350">
        <v>2</v>
      </c>
      <c r="O350">
        <v>6.6</v>
      </c>
      <c r="P350">
        <v>91.1</v>
      </c>
    </row>
    <row r="351" spans="1:16">
      <c r="A351" t="s">
        <v>1965</v>
      </c>
      <c r="B351">
        <v>0</v>
      </c>
      <c r="C351">
        <v>4</v>
      </c>
      <c r="D351">
        <v>7.3</v>
      </c>
      <c r="E351">
        <v>28</v>
      </c>
      <c r="F351" t="s">
        <v>47</v>
      </c>
      <c r="G351" t="s">
        <v>1723</v>
      </c>
      <c r="I351" s="15">
        <f t="shared" si="15"/>
        <v>827</v>
      </c>
      <c r="J351" s="15" t="str">
        <f t="shared" si="16"/>
        <v>08</v>
      </c>
      <c r="K351" s="15" t="str">
        <f t="shared" si="17"/>
        <v>0108</v>
      </c>
      <c r="L351" t="s">
        <v>2075</v>
      </c>
      <c r="M351">
        <v>0</v>
      </c>
      <c r="N351">
        <v>4</v>
      </c>
      <c r="O351">
        <v>7.3</v>
      </c>
      <c r="P351">
        <v>28</v>
      </c>
    </row>
    <row r="352" spans="1:16">
      <c r="A352" t="s">
        <v>1966</v>
      </c>
      <c r="B352">
        <v>0</v>
      </c>
      <c r="C352">
        <v>2</v>
      </c>
      <c r="D352">
        <v>7.6</v>
      </c>
      <c r="E352">
        <v>28</v>
      </c>
      <c r="F352" t="s">
        <v>54</v>
      </c>
      <c r="G352" t="s">
        <v>1740</v>
      </c>
      <c r="I352" s="15">
        <f t="shared" si="15"/>
        <v>831</v>
      </c>
      <c r="J352" s="15" t="str">
        <f t="shared" si="16"/>
        <v>08</v>
      </c>
      <c r="K352" s="15" t="str">
        <f t="shared" si="17"/>
        <v>0108</v>
      </c>
      <c r="L352" t="s">
        <v>2075</v>
      </c>
      <c r="M352">
        <v>0</v>
      </c>
      <c r="N352">
        <v>2</v>
      </c>
      <c r="O352">
        <v>7.6</v>
      </c>
      <c r="P352">
        <v>28</v>
      </c>
    </row>
    <row r="353" spans="1:16">
      <c r="A353" t="s">
        <v>1923</v>
      </c>
      <c r="B353">
        <v>0</v>
      </c>
      <c r="C353">
        <v>6</v>
      </c>
      <c r="D353">
        <v>7.3</v>
      </c>
      <c r="E353">
        <v>170</v>
      </c>
      <c r="F353" t="s">
        <v>78</v>
      </c>
      <c r="G353" t="s">
        <v>973</v>
      </c>
      <c r="I353" s="15">
        <f t="shared" si="15"/>
        <v>930</v>
      </c>
      <c r="J353" s="15" t="str">
        <f t="shared" si="16"/>
        <v>09</v>
      </c>
      <c r="K353" s="15" t="str">
        <f t="shared" si="17"/>
        <v>0109</v>
      </c>
      <c r="L353" t="s">
        <v>2071</v>
      </c>
      <c r="M353">
        <v>0</v>
      </c>
      <c r="N353">
        <v>6</v>
      </c>
      <c r="O353">
        <v>7.3</v>
      </c>
      <c r="P353">
        <v>170</v>
      </c>
    </row>
    <row r="354" spans="1:16">
      <c r="A354" t="s">
        <v>1776</v>
      </c>
      <c r="B354">
        <v>0</v>
      </c>
      <c r="C354">
        <v>8</v>
      </c>
      <c r="D354">
        <v>7.2</v>
      </c>
      <c r="E354">
        <v>19</v>
      </c>
      <c r="F354" t="s">
        <v>1749</v>
      </c>
      <c r="G354" t="s">
        <v>1750</v>
      </c>
      <c r="I354" s="15">
        <f t="shared" si="15"/>
        <v>1001</v>
      </c>
      <c r="J354" s="15" t="str">
        <f t="shared" si="16"/>
        <v>10</v>
      </c>
      <c r="K354" s="15" t="str">
        <f t="shared" si="17"/>
        <v>0110</v>
      </c>
      <c r="L354" t="s">
        <v>2072</v>
      </c>
      <c r="M354">
        <v>0</v>
      </c>
      <c r="N354">
        <v>8</v>
      </c>
      <c r="O354">
        <v>7.2</v>
      </c>
      <c r="P354">
        <v>19</v>
      </c>
    </row>
    <row r="355" spans="1:16">
      <c r="A355" t="s">
        <v>1825</v>
      </c>
      <c r="B355">
        <v>0</v>
      </c>
      <c r="C355">
        <v>2</v>
      </c>
      <c r="D355">
        <v>7.1</v>
      </c>
      <c r="E355">
        <v>155</v>
      </c>
      <c r="F355" t="s">
        <v>54</v>
      </c>
      <c r="G355" t="s">
        <v>108</v>
      </c>
      <c r="I355" s="15">
        <f t="shared" si="15"/>
        <v>1012</v>
      </c>
      <c r="J355" s="15" t="str">
        <f t="shared" si="16"/>
        <v>10</v>
      </c>
      <c r="K355" s="15" t="str">
        <f t="shared" si="17"/>
        <v>0110</v>
      </c>
      <c r="L355" t="s">
        <v>2072</v>
      </c>
      <c r="M355">
        <v>0</v>
      </c>
      <c r="N355">
        <v>2</v>
      </c>
      <c r="O355">
        <v>7.1</v>
      </c>
      <c r="P355">
        <v>155</v>
      </c>
    </row>
    <row r="356" spans="1:16">
      <c r="A356" t="s">
        <v>1900</v>
      </c>
      <c r="B356">
        <v>0</v>
      </c>
      <c r="C356">
        <v>4</v>
      </c>
      <c r="D356">
        <v>6.5</v>
      </c>
      <c r="E356">
        <v>17</v>
      </c>
      <c r="F356" t="s">
        <v>47</v>
      </c>
      <c r="G356" t="s">
        <v>495</v>
      </c>
      <c r="I356" s="15">
        <f t="shared" si="15"/>
        <v>1024</v>
      </c>
      <c r="J356" s="15" t="str">
        <f t="shared" si="16"/>
        <v>10</v>
      </c>
      <c r="K356" s="15" t="str">
        <f t="shared" si="17"/>
        <v>0110</v>
      </c>
      <c r="L356" t="s">
        <v>2072</v>
      </c>
      <c r="M356">
        <v>0</v>
      </c>
      <c r="N356">
        <v>4</v>
      </c>
      <c r="O356">
        <v>6.5</v>
      </c>
      <c r="P356">
        <v>17</v>
      </c>
    </row>
    <row r="357" spans="1:16">
      <c r="A357" t="s">
        <v>1955</v>
      </c>
      <c r="B357">
        <v>0</v>
      </c>
      <c r="C357">
        <v>4</v>
      </c>
      <c r="D357">
        <v>7.8</v>
      </c>
      <c r="E357">
        <v>14</v>
      </c>
      <c r="F357" t="s">
        <v>47</v>
      </c>
      <c r="G357" t="s">
        <v>998</v>
      </c>
      <c r="I357" s="15">
        <f t="shared" ref="I357:I420" si="18">TRUNC(A357,6)</f>
        <v>1028</v>
      </c>
      <c r="J357" s="15" t="str">
        <f t="shared" si="16"/>
        <v>10</v>
      </c>
      <c r="K357" s="15" t="str">
        <f t="shared" si="17"/>
        <v>0110</v>
      </c>
      <c r="L357" t="s">
        <v>2072</v>
      </c>
      <c r="M357">
        <v>0</v>
      </c>
      <c r="N357">
        <v>4</v>
      </c>
      <c r="O357">
        <v>7.8</v>
      </c>
      <c r="P357">
        <v>14</v>
      </c>
    </row>
    <row r="358" spans="1:16">
      <c r="A358" t="s">
        <v>1944</v>
      </c>
      <c r="B358">
        <v>0</v>
      </c>
      <c r="C358">
        <v>8</v>
      </c>
      <c r="D358">
        <v>8.6</v>
      </c>
      <c r="E358">
        <v>20</v>
      </c>
      <c r="F358" t="s">
        <v>1749</v>
      </c>
      <c r="G358" t="s">
        <v>1750</v>
      </c>
      <c r="I358" s="15">
        <f t="shared" si="18"/>
        <v>1104</v>
      </c>
      <c r="J358" s="15" t="str">
        <f t="shared" si="16"/>
        <v>11</v>
      </c>
      <c r="K358" s="15" t="str">
        <f t="shared" si="17"/>
        <v>0111</v>
      </c>
      <c r="L358" t="s">
        <v>2073</v>
      </c>
      <c r="M358">
        <v>0</v>
      </c>
      <c r="N358">
        <v>8</v>
      </c>
      <c r="O358">
        <v>8.6</v>
      </c>
      <c r="P358">
        <v>20</v>
      </c>
    </row>
    <row r="359" spans="1:16">
      <c r="A359" t="s">
        <v>1944</v>
      </c>
      <c r="B359">
        <v>0</v>
      </c>
      <c r="C359">
        <v>8</v>
      </c>
      <c r="D359">
        <v>8.1999999999999993</v>
      </c>
      <c r="E359">
        <v>25.1</v>
      </c>
      <c r="F359" t="s">
        <v>1749</v>
      </c>
      <c r="G359" t="s">
        <v>1750</v>
      </c>
      <c r="I359" s="15">
        <f t="shared" si="18"/>
        <v>1104</v>
      </c>
      <c r="J359" s="15" t="str">
        <f t="shared" si="16"/>
        <v>11</v>
      </c>
      <c r="K359" s="15" t="str">
        <f t="shared" si="17"/>
        <v>0111</v>
      </c>
      <c r="L359" t="s">
        <v>2073</v>
      </c>
      <c r="M359">
        <v>0</v>
      </c>
      <c r="N359">
        <v>8</v>
      </c>
      <c r="O359">
        <v>8.1999999999999993</v>
      </c>
      <c r="P359">
        <v>25.1</v>
      </c>
    </row>
    <row r="360" spans="1:16">
      <c r="A360" t="s">
        <v>1944</v>
      </c>
      <c r="B360">
        <v>0</v>
      </c>
      <c r="C360">
        <v>4</v>
      </c>
      <c r="D360">
        <v>6.5</v>
      </c>
      <c r="E360">
        <v>20</v>
      </c>
      <c r="F360" t="s">
        <v>47</v>
      </c>
      <c r="G360" t="s">
        <v>48</v>
      </c>
      <c r="I360" s="15">
        <f t="shared" si="18"/>
        <v>1104</v>
      </c>
      <c r="J360" s="15" t="str">
        <f t="shared" si="16"/>
        <v>11</v>
      </c>
      <c r="K360" s="15" t="str">
        <f t="shared" si="17"/>
        <v>0111</v>
      </c>
      <c r="L360" t="s">
        <v>2073</v>
      </c>
      <c r="M360">
        <v>0</v>
      </c>
      <c r="N360">
        <v>4</v>
      </c>
      <c r="O360">
        <v>6.5</v>
      </c>
      <c r="P360">
        <v>20</v>
      </c>
    </row>
    <row r="361" spans="1:16">
      <c r="A361" t="s">
        <v>1847</v>
      </c>
      <c r="B361">
        <v>0</v>
      </c>
      <c r="C361">
        <v>2</v>
      </c>
      <c r="D361">
        <v>6.8</v>
      </c>
      <c r="E361">
        <v>13.7</v>
      </c>
      <c r="F361" t="s">
        <v>54</v>
      </c>
      <c r="G361" t="s">
        <v>620</v>
      </c>
      <c r="I361" s="15">
        <f t="shared" si="18"/>
        <v>1111</v>
      </c>
      <c r="J361" s="15" t="str">
        <f t="shared" si="16"/>
        <v>11</v>
      </c>
      <c r="K361" s="15" t="str">
        <f t="shared" si="17"/>
        <v>0111</v>
      </c>
      <c r="L361" t="s">
        <v>2073</v>
      </c>
      <c r="M361">
        <v>0</v>
      </c>
      <c r="N361">
        <v>2</v>
      </c>
      <c r="O361">
        <v>6.8</v>
      </c>
      <c r="P361">
        <v>13.7</v>
      </c>
    </row>
    <row r="362" spans="1:16">
      <c r="A362" t="s">
        <v>1847</v>
      </c>
      <c r="B362">
        <v>0</v>
      </c>
      <c r="C362">
        <v>4</v>
      </c>
      <c r="D362">
        <v>6.5</v>
      </c>
      <c r="E362">
        <v>20</v>
      </c>
      <c r="F362" t="s">
        <v>47</v>
      </c>
      <c r="G362" t="s">
        <v>534</v>
      </c>
      <c r="I362" s="15">
        <f t="shared" si="18"/>
        <v>1111</v>
      </c>
      <c r="J362" s="15" t="str">
        <f t="shared" si="16"/>
        <v>11</v>
      </c>
      <c r="K362" s="15" t="str">
        <f t="shared" si="17"/>
        <v>0111</v>
      </c>
      <c r="L362" t="s">
        <v>2073</v>
      </c>
      <c r="M362">
        <v>0</v>
      </c>
      <c r="N362">
        <v>4</v>
      </c>
      <c r="O362">
        <v>6.5</v>
      </c>
      <c r="P362">
        <v>20</v>
      </c>
    </row>
    <row r="363" spans="1:16">
      <c r="A363" t="s">
        <v>1967</v>
      </c>
      <c r="B363">
        <v>0</v>
      </c>
      <c r="C363">
        <v>4</v>
      </c>
      <c r="D363">
        <v>7</v>
      </c>
      <c r="E363">
        <v>13</v>
      </c>
      <c r="F363" t="s">
        <v>47</v>
      </c>
      <c r="G363" t="s">
        <v>48</v>
      </c>
      <c r="I363" s="15">
        <f t="shared" si="18"/>
        <v>1204</v>
      </c>
      <c r="J363" s="15" t="str">
        <f t="shared" si="16"/>
        <v>12</v>
      </c>
      <c r="K363" s="15" t="str">
        <f t="shared" si="17"/>
        <v>0112</v>
      </c>
      <c r="L363" t="s">
        <v>2074</v>
      </c>
      <c r="M363">
        <v>0</v>
      </c>
      <c r="N363">
        <v>4</v>
      </c>
      <c r="O363">
        <v>7</v>
      </c>
      <c r="P363">
        <v>13</v>
      </c>
    </row>
    <row r="364" spans="1:16">
      <c r="A364" t="s">
        <v>1781</v>
      </c>
      <c r="B364">
        <v>0</v>
      </c>
      <c r="C364">
        <v>2</v>
      </c>
      <c r="D364">
        <v>6.6</v>
      </c>
      <c r="E364">
        <v>13</v>
      </c>
      <c r="F364" t="s">
        <v>54</v>
      </c>
      <c r="G364" t="s">
        <v>108</v>
      </c>
      <c r="I364" s="15">
        <f t="shared" si="18"/>
        <v>1210</v>
      </c>
      <c r="J364" s="15" t="str">
        <f t="shared" si="16"/>
        <v>12</v>
      </c>
      <c r="K364" s="15" t="str">
        <f t="shared" si="17"/>
        <v>0112</v>
      </c>
      <c r="L364" t="s">
        <v>2074</v>
      </c>
      <c r="M364">
        <v>0</v>
      </c>
      <c r="N364">
        <v>2</v>
      </c>
      <c r="O364">
        <v>6.6</v>
      </c>
      <c r="P364">
        <v>13</v>
      </c>
    </row>
    <row r="365" spans="1:16">
      <c r="A365" t="s">
        <v>1968</v>
      </c>
      <c r="B365">
        <v>0</v>
      </c>
      <c r="C365">
        <v>5</v>
      </c>
      <c r="D365">
        <v>6.7</v>
      </c>
      <c r="E365">
        <v>200.7</v>
      </c>
      <c r="F365" t="s">
        <v>25</v>
      </c>
      <c r="G365" t="s">
        <v>163</v>
      </c>
      <c r="I365" s="15">
        <f t="shared" si="18"/>
        <v>1221</v>
      </c>
      <c r="J365" s="15" t="str">
        <f t="shared" si="16"/>
        <v>12</v>
      </c>
      <c r="K365" s="15" t="str">
        <f t="shared" si="17"/>
        <v>0112</v>
      </c>
      <c r="L365" t="s">
        <v>2074</v>
      </c>
      <c r="M365">
        <v>0</v>
      </c>
      <c r="N365">
        <v>5</v>
      </c>
      <c r="O365">
        <v>6.7</v>
      </c>
      <c r="P365">
        <v>200.7</v>
      </c>
    </row>
    <row r="366" spans="1:16">
      <c r="A366" t="s">
        <v>1969</v>
      </c>
      <c r="B366">
        <v>0</v>
      </c>
      <c r="C366">
        <v>2</v>
      </c>
      <c r="D366">
        <v>6.5</v>
      </c>
      <c r="E366">
        <v>29</v>
      </c>
      <c r="F366" t="s">
        <v>54</v>
      </c>
      <c r="G366" t="s">
        <v>295</v>
      </c>
      <c r="I366" s="15">
        <f t="shared" si="18"/>
        <v>103</v>
      </c>
      <c r="J366" s="15" t="str">
        <f t="shared" si="16"/>
        <v>01</v>
      </c>
      <c r="K366" s="15" t="str">
        <f t="shared" si="17"/>
        <v>0101</v>
      </c>
      <c r="L366" t="s">
        <v>2064</v>
      </c>
      <c r="M366">
        <v>0</v>
      </c>
      <c r="N366">
        <v>2</v>
      </c>
      <c r="O366">
        <v>6.5</v>
      </c>
      <c r="P366">
        <v>29</v>
      </c>
    </row>
    <row r="367" spans="1:16">
      <c r="A367" t="s">
        <v>1872</v>
      </c>
      <c r="B367">
        <v>0</v>
      </c>
      <c r="C367">
        <v>2</v>
      </c>
      <c r="D367">
        <v>6.5</v>
      </c>
      <c r="E367">
        <v>112</v>
      </c>
      <c r="F367" t="s">
        <v>54</v>
      </c>
      <c r="G367" t="s">
        <v>108</v>
      </c>
      <c r="I367" s="15">
        <f t="shared" si="18"/>
        <v>109</v>
      </c>
      <c r="J367" s="15" t="str">
        <f t="shared" si="16"/>
        <v>01</v>
      </c>
      <c r="K367" s="15" t="str">
        <f t="shared" si="17"/>
        <v>0101</v>
      </c>
      <c r="L367" t="s">
        <v>2064</v>
      </c>
      <c r="M367">
        <v>0</v>
      </c>
      <c r="N367">
        <v>2</v>
      </c>
      <c r="O367">
        <v>6.5</v>
      </c>
      <c r="P367">
        <v>112</v>
      </c>
    </row>
    <row r="368" spans="1:16">
      <c r="A368" t="s">
        <v>1806</v>
      </c>
      <c r="B368">
        <v>0</v>
      </c>
      <c r="C368">
        <v>2</v>
      </c>
      <c r="D368">
        <v>6.7</v>
      </c>
      <c r="E368">
        <v>573</v>
      </c>
      <c r="F368" t="s">
        <v>54</v>
      </c>
      <c r="G368" t="s">
        <v>1750</v>
      </c>
      <c r="I368" s="15">
        <f t="shared" si="18"/>
        <v>110</v>
      </c>
      <c r="J368" s="15" t="str">
        <f t="shared" si="16"/>
        <v>01</v>
      </c>
      <c r="K368" s="15" t="str">
        <f t="shared" si="17"/>
        <v>0101</v>
      </c>
      <c r="L368" t="s">
        <v>2064</v>
      </c>
      <c r="M368">
        <v>0</v>
      </c>
      <c r="N368">
        <v>2</v>
      </c>
      <c r="O368">
        <v>6.7</v>
      </c>
      <c r="P368">
        <v>573</v>
      </c>
    </row>
    <row r="369" spans="1:16">
      <c r="A369" t="s">
        <v>1970</v>
      </c>
      <c r="B369">
        <v>0</v>
      </c>
      <c r="C369">
        <v>6</v>
      </c>
      <c r="D369">
        <v>6.8</v>
      </c>
      <c r="E369">
        <v>45</v>
      </c>
      <c r="F369" t="s">
        <v>78</v>
      </c>
      <c r="G369" t="s">
        <v>245</v>
      </c>
      <c r="I369" s="15">
        <f t="shared" si="18"/>
        <v>130</v>
      </c>
      <c r="J369" s="15" t="str">
        <f t="shared" si="16"/>
        <v>01</v>
      </c>
      <c r="K369" s="15" t="str">
        <f t="shared" si="17"/>
        <v>0101</v>
      </c>
      <c r="L369" t="s">
        <v>2064</v>
      </c>
      <c r="M369">
        <v>0</v>
      </c>
      <c r="N369">
        <v>6</v>
      </c>
      <c r="O369">
        <v>6.8</v>
      </c>
      <c r="P369">
        <v>45</v>
      </c>
    </row>
    <row r="370" spans="1:16">
      <c r="A370" t="s">
        <v>1957</v>
      </c>
      <c r="B370">
        <v>0</v>
      </c>
      <c r="C370">
        <v>2</v>
      </c>
      <c r="D370">
        <v>6.9</v>
      </c>
      <c r="E370">
        <v>107</v>
      </c>
      <c r="F370" t="s">
        <v>54</v>
      </c>
      <c r="G370" t="s">
        <v>200</v>
      </c>
      <c r="I370" s="15">
        <f t="shared" si="18"/>
        <v>202</v>
      </c>
      <c r="J370" s="15" t="str">
        <f t="shared" si="16"/>
        <v>02</v>
      </c>
      <c r="K370" s="15" t="str">
        <f t="shared" si="17"/>
        <v>0102</v>
      </c>
      <c r="L370" t="s">
        <v>2065</v>
      </c>
      <c r="M370">
        <v>0</v>
      </c>
      <c r="N370">
        <v>2</v>
      </c>
      <c r="O370">
        <v>6.9</v>
      </c>
      <c r="P370">
        <v>107</v>
      </c>
    </row>
    <row r="371" spans="1:16">
      <c r="A371" t="s">
        <v>1907</v>
      </c>
      <c r="B371">
        <v>1</v>
      </c>
      <c r="C371">
        <v>2</v>
      </c>
      <c r="D371">
        <v>6.6</v>
      </c>
      <c r="E371">
        <v>11</v>
      </c>
      <c r="F371" t="s">
        <v>54</v>
      </c>
      <c r="G371" t="s">
        <v>295</v>
      </c>
      <c r="I371" s="15">
        <f t="shared" si="18"/>
        <v>214</v>
      </c>
      <c r="J371" s="15" t="str">
        <f t="shared" si="16"/>
        <v>02</v>
      </c>
      <c r="K371" s="15" t="str">
        <f t="shared" si="17"/>
        <v>0102</v>
      </c>
      <c r="L371" t="s">
        <v>2065</v>
      </c>
      <c r="M371">
        <v>1</v>
      </c>
      <c r="N371">
        <v>2</v>
      </c>
      <c r="O371">
        <v>6.6</v>
      </c>
      <c r="P371">
        <v>11</v>
      </c>
    </row>
    <row r="372" spans="1:16">
      <c r="A372" t="s">
        <v>1765</v>
      </c>
      <c r="B372">
        <v>1</v>
      </c>
      <c r="C372">
        <v>2</v>
      </c>
      <c r="D372">
        <v>6.9</v>
      </c>
      <c r="E372">
        <v>41</v>
      </c>
      <c r="F372" t="s">
        <v>54</v>
      </c>
      <c r="G372" t="s">
        <v>295</v>
      </c>
      <c r="I372" s="15">
        <f t="shared" si="18"/>
        <v>228</v>
      </c>
      <c r="J372" s="15" t="str">
        <f t="shared" si="16"/>
        <v>02</v>
      </c>
      <c r="K372" s="15" t="str">
        <f t="shared" si="17"/>
        <v>0102</v>
      </c>
      <c r="L372" t="s">
        <v>2065</v>
      </c>
      <c r="M372">
        <v>1</v>
      </c>
      <c r="N372">
        <v>2</v>
      </c>
      <c r="O372">
        <v>6.9</v>
      </c>
      <c r="P372">
        <v>41</v>
      </c>
    </row>
    <row r="373" spans="1:16">
      <c r="A373" t="s">
        <v>1971</v>
      </c>
      <c r="B373">
        <v>0</v>
      </c>
      <c r="C373">
        <v>2</v>
      </c>
      <c r="D373">
        <v>6.5</v>
      </c>
      <c r="E373">
        <v>402</v>
      </c>
      <c r="F373" t="s">
        <v>54</v>
      </c>
      <c r="G373" t="s">
        <v>200</v>
      </c>
      <c r="I373" s="15">
        <f t="shared" si="18"/>
        <v>409</v>
      </c>
      <c r="J373" s="15" t="str">
        <f t="shared" si="16"/>
        <v>04</v>
      </c>
      <c r="K373" s="15" t="str">
        <f t="shared" si="17"/>
        <v>0104</v>
      </c>
      <c r="L373" t="s">
        <v>2067</v>
      </c>
      <c r="M373">
        <v>0</v>
      </c>
      <c r="N373">
        <v>2</v>
      </c>
      <c r="O373">
        <v>6.5</v>
      </c>
      <c r="P373">
        <v>402</v>
      </c>
    </row>
    <row r="374" spans="1:16">
      <c r="A374" t="s">
        <v>1971</v>
      </c>
      <c r="B374">
        <v>1</v>
      </c>
      <c r="C374">
        <v>4</v>
      </c>
      <c r="D374">
        <v>6.5</v>
      </c>
      <c r="E374">
        <v>20</v>
      </c>
      <c r="F374" t="s">
        <v>47</v>
      </c>
      <c r="G374" t="s">
        <v>1754</v>
      </c>
      <c r="I374" s="15">
        <f t="shared" si="18"/>
        <v>409</v>
      </c>
      <c r="J374" s="15" t="str">
        <f t="shared" si="16"/>
        <v>04</v>
      </c>
      <c r="K374" s="15" t="str">
        <f t="shared" si="17"/>
        <v>0104</v>
      </c>
      <c r="L374" t="s">
        <v>2067</v>
      </c>
      <c r="M374">
        <v>1</v>
      </c>
      <c r="N374">
        <v>4</v>
      </c>
      <c r="O374">
        <v>6.5</v>
      </c>
      <c r="P374">
        <v>20</v>
      </c>
    </row>
    <row r="375" spans="1:16">
      <c r="A375" t="s">
        <v>1972</v>
      </c>
      <c r="B375">
        <v>1</v>
      </c>
      <c r="C375">
        <v>5</v>
      </c>
      <c r="D375">
        <v>6.6</v>
      </c>
      <c r="E375">
        <v>31</v>
      </c>
      <c r="F375" t="s">
        <v>25</v>
      </c>
      <c r="G375" t="s">
        <v>64</v>
      </c>
      <c r="I375" s="15">
        <f t="shared" si="18"/>
        <v>414</v>
      </c>
      <c r="J375" s="15" t="str">
        <f t="shared" si="16"/>
        <v>04</v>
      </c>
      <c r="K375" s="15" t="str">
        <f t="shared" si="17"/>
        <v>0104</v>
      </c>
      <c r="L375" t="s">
        <v>2067</v>
      </c>
      <c r="M375">
        <v>1</v>
      </c>
      <c r="N375">
        <v>5</v>
      </c>
      <c r="O375">
        <v>6.6</v>
      </c>
      <c r="P375">
        <v>31</v>
      </c>
    </row>
    <row r="376" spans="1:16">
      <c r="A376" t="s">
        <v>1973</v>
      </c>
      <c r="B376">
        <v>1</v>
      </c>
      <c r="C376">
        <v>5</v>
      </c>
      <c r="D376">
        <v>6.6</v>
      </c>
      <c r="E376">
        <v>13</v>
      </c>
      <c r="F376" t="s">
        <v>25</v>
      </c>
      <c r="G376" t="s">
        <v>64</v>
      </c>
      <c r="I376" s="15">
        <f t="shared" si="18"/>
        <v>416</v>
      </c>
      <c r="J376" s="15" t="str">
        <f t="shared" si="16"/>
        <v>04</v>
      </c>
      <c r="K376" s="15" t="str">
        <f t="shared" si="17"/>
        <v>0104</v>
      </c>
      <c r="L376" t="s">
        <v>2067</v>
      </c>
      <c r="M376">
        <v>1</v>
      </c>
      <c r="N376">
        <v>5</v>
      </c>
      <c r="O376">
        <v>6.6</v>
      </c>
      <c r="P376">
        <v>13</v>
      </c>
    </row>
    <row r="377" spans="1:16">
      <c r="A377" t="s">
        <v>1973</v>
      </c>
      <c r="B377">
        <v>0</v>
      </c>
      <c r="C377">
        <v>2</v>
      </c>
      <c r="D377">
        <v>7.7</v>
      </c>
      <c r="E377">
        <v>80</v>
      </c>
      <c r="F377" t="s">
        <v>54</v>
      </c>
      <c r="G377" t="s">
        <v>498</v>
      </c>
      <c r="I377" s="15">
        <f t="shared" si="18"/>
        <v>416</v>
      </c>
      <c r="J377" s="15" t="str">
        <f t="shared" si="16"/>
        <v>04</v>
      </c>
      <c r="K377" s="15" t="str">
        <f t="shared" si="17"/>
        <v>0104</v>
      </c>
      <c r="L377" t="s">
        <v>2067</v>
      </c>
      <c r="M377">
        <v>0</v>
      </c>
      <c r="N377">
        <v>2</v>
      </c>
      <c r="O377">
        <v>7.7</v>
      </c>
      <c r="P377">
        <v>80</v>
      </c>
    </row>
    <row r="378" spans="1:16">
      <c r="A378" t="s">
        <v>1768</v>
      </c>
      <c r="B378">
        <v>1</v>
      </c>
      <c r="C378">
        <v>2</v>
      </c>
      <c r="D378">
        <v>7.2</v>
      </c>
      <c r="E378">
        <v>110</v>
      </c>
      <c r="F378" t="s">
        <v>54</v>
      </c>
      <c r="G378" t="s">
        <v>295</v>
      </c>
      <c r="I378" s="15">
        <f t="shared" si="18"/>
        <v>419</v>
      </c>
      <c r="J378" s="15" t="str">
        <f t="shared" si="16"/>
        <v>04</v>
      </c>
      <c r="K378" s="15" t="str">
        <f t="shared" si="17"/>
        <v>0104</v>
      </c>
      <c r="L378" t="s">
        <v>2067</v>
      </c>
      <c r="M378">
        <v>1</v>
      </c>
      <c r="N378">
        <v>2</v>
      </c>
      <c r="O378">
        <v>7.2</v>
      </c>
      <c r="P378">
        <v>110</v>
      </c>
    </row>
    <row r="379" spans="1:16">
      <c r="A379" t="s">
        <v>1876</v>
      </c>
      <c r="B379">
        <v>0</v>
      </c>
      <c r="C379">
        <v>2</v>
      </c>
      <c r="D379">
        <v>6.6</v>
      </c>
      <c r="E379">
        <v>14</v>
      </c>
      <c r="F379" t="s">
        <v>54</v>
      </c>
      <c r="G379" t="s">
        <v>1752</v>
      </c>
      <c r="I379" s="15">
        <f t="shared" si="18"/>
        <v>420</v>
      </c>
      <c r="J379" s="15" t="str">
        <f t="shared" si="16"/>
        <v>04</v>
      </c>
      <c r="K379" s="15" t="str">
        <f t="shared" si="17"/>
        <v>0104</v>
      </c>
      <c r="L379" t="s">
        <v>2067</v>
      </c>
      <c r="M379">
        <v>0</v>
      </c>
      <c r="N379">
        <v>2</v>
      </c>
      <c r="O379">
        <v>6.6</v>
      </c>
      <c r="P379">
        <v>14</v>
      </c>
    </row>
    <row r="380" spans="1:16">
      <c r="A380" t="s">
        <v>1835</v>
      </c>
      <c r="B380">
        <v>1</v>
      </c>
      <c r="C380">
        <v>5</v>
      </c>
      <c r="D380">
        <v>6.5</v>
      </c>
      <c r="E380">
        <v>10</v>
      </c>
      <c r="F380" t="s">
        <v>25</v>
      </c>
      <c r="G380" t="s">
        <v>64</v>
      </c>
      <c r="I380" s="15">
        <f t="shared" si="18"/>
        <v>423</v>
      </c>
      <c r="J380" s="15" t="str">
        <f t="shared" si="16"/>
        <v>04</v>
      </c>
      <c r="K380" s="15" t="str">
        <f t="shared" si="17"/>
        <v>0104</v>
      </c>
      <c r="L380" t="s">
        <v>2067</v>
      </c>
      <c r="M380">
        <v>1</v>
      </c>
      <c r="N380">
        <v>5</v>
      </c>
      <c r="O380">
        <v>6.5</v>
      </c>
      <c r="P380">
        <v>10</v>
      </c>
    </row>
    <row r="381" spans="1:16">
      <c r="A381" t="s">
        <v>1936</v>
      </c>
      <c r="B381">
        <v>0</v>
      </c>
      <c r="C381">
        <v>4</v>
      </c>
      <c r="D381">
        <v>7.5</v>
      </c>
      <c r="E381">
        <v>8.6999999999999993</v>
      </c>
      <c r="F381" t="s">
        <v>47</v>
      </c>
      <c r="G381" t="s">
        <v>1754</v>
      </c>
      <c r="I381" s="15">
        <f t="shared" si="18"/>
        <v>501</v>
      </c>
      <c r="J381" s="15" t="str">
        <f t="shared" si="16"/>
        <v>05</v>
      </c>
      <c r="K381" s="15" t="str">
        <f t="shared" si="17"/>
        <v>0105</v>
      </c>
      <c r="L381" t="s">
        <v>2068</v>
      </c>
      <c r="M381">
        <v>0</v>
      </c>
      <c r="N381">
        <v>4</v>
      </c>
      <c r="O381">
        <v>7.5</v>
      </c>
      <c r="P381">
        <v>8.6999999999999993</v>
      </c>
    </row>
    <row r="382" spans="1:16">
      <c r="A382" t="s">
        <v>1861</v>
      </c>
      <c r="B382">
        <v>0</v>
      </c>
      <c r="C382">
        <v>5</v>
      </c>
      <c r="D382">
        <v>6.8</v>
      </c>
      <c r="E382">
        <v>602.20000000000005</v>
      </c>
      <c r="F382" t="s">
        <v>25</v>
      </c>
      <c r="G382" t="s">
        <v>1750</v>
      </c>
      <c r="I382" s="15">
        <f t="shared" si="18"/>
        <v>514</v>
      </c>
      <c r="J382" s="15" t="str">
        <f t="shared" si="16"/>
        <v>05</v>
      </c>
      <c r="K382" s="15" t="str">
        <f t="shared" si="17"/>
        <v>0105</v>
      </c>
      <c r="L382" t="s">
        <v>2068</v>
      </c>
      <c r="M382">
        <v>0</v>
      </c>
      <c r="N382">
        <v>5</v>
      </c>
      <c r="O382">
        <v>6.8</v>
      </c>
      <c r="P382">
        <v>602.20000000000005</v>
      </c>
    </row>
    <row r="383" spans="1:16">
      <c r="A383" t="s">
        <v>1974</v>
      </c>
      <c r="B383">
        <v>1</v>
      </c>
      <c r="C383">
        <v>5</v>
      </c>
      <c r="D383">
        <v>7.4</v>
      </c>
      <c r="E383">
        <v>173.7</v>
      </c>
      <c r="F383" t="s">
        <v>25</v>
      </c>
      <c r="G383" t="s">
        <v>1022</v>
      </c>
      <c r="I383" s="15">
        <f t="shared" si="18"/>
        <v>523</v>
      </c>
      <c r="J383" s="15" t="str">
        <f t="shared" si="16"/>
        <v>05</v>
      </c>
      <c r="K383" s="15" t="str">
        <f t="shared" si="17"/>
        <v>0105</v>
      </c>
      <c r="L383" t="s">
        <v>2068</v>
      </c>
      <c r="M383">
        <v>1</v>
      </c>
      <c r="N383">
        <v>5</v>
      </c>
      <c r="O383">
        <v>7.4</v>
      </c>
      <c r="P383">
        <v>173.7</v>
      </c>
    </row>
    <row r="384" spans="1:16">
      <c r="A384" t="s">
        <v>1975</v>
      </c>
      <c r="B384">
        <v>1</v>
      </c>
      <c r="C384">
        <v>2</v>
      </c>
      <c r="D384">
        <v>8.3000000000000007</v>
      </c>
      <c r="E384">
        <v>598.1</v>
      </c>
      <c r="F384" t="s">
        <v>54</v>
      </c>
      <c r="G384" t="s">
        <v>1750</v>
      </c>
      <c r="I384" s="15">
        <f t="shared" si="18"/>
        <v>524</v>
      </c>
      <c r="J384" s="15" t="str">
        <f t="shared" si="16"/>
        <v>05</v>
      </c>
      <c r="K384" s="15" t="str">
        <f t="shared" si="17"/>
        <v>0105</v>
      </c>
      <c r="L384" t="s">
        <v>2068</v>
      </c>
      <c r="M384">
        <v>1</v>
      </c>
      <c r="N384">
        <v>2</v>
      </c>
      <c r="O384">
        <v>8.3000000000000007</v>
      </c>
      <c r="P384">
        <v>598.1</v>
      </c>
    </row>
    <row r="385" spans="1:16">
      <c r="A385" t="s">
        <v>1975</v>
      </c>
      <c r="B385">
        <v>1</v>
      </c>
      <c r="C385">
        <v>2</v>
      </c>
      <c r="D385">
        <v>6.7</v>
      </c>
      <c r="E385">
        <v>624</v>
      </c>
      <c r="F385" t="s">
        <v>54</v>
      </c>
      <c r="G385" t="s">
        <v>1750</v>
      </c>
      <c r="I385" s="15">
        <f t="shared" si="18"/>
        <v>524</v>
      </c>
      <c r="J385" s="15" t="str">
        <f t="shared" si="16"/>
        <v>05</v>
      </c>
      <c r="K385" s="15" t="str">
        <f t="shared" si="17"/>
        <v>0105</v>
      </c>
      <c r="L385" t="s">
        <v>2068</v>
      </c>
      <c r="M385">
        <v>1</v>
      </c>
      <c r="N385">
        <v>2</v>
      </c>
      <c r="O385">
        <v>6.7</v>
      </c>
      <c r="P385">
        <v>624</v>
      </c>
    </row>
    <row r="386" spans="1:16">
      <c r="A386" t="s">
        <v>1962</v>
      </c>
      <c r="B386">
        <v>1</v>
      </c>
      <c r="C386">
        <v>5</v>
      </c>
      <c r="D386">
        <v>8</v>
      </c>
      <c r="E386">
        <v>24</v>
      </c>
      <c r="F386" t="s">
        <v>25</v>
      </c>
      <c r="G386" t="s">
        <v>26</v>
      </c>
      <c r="I386" s="15">
        <f t="shared" si="18"/>
        <v>602</v>
      </c>
      <c r="J386" s="15" t="str">
        <f t="shared" si="16"/>
        <v>06</v>
      </c>
      <c r="K386" s="15" t="str">
        <f t="shared" si="17"/>
        <v>0106</v>
      </c>
      <c r="L386" t="s">
        <v>2069</v>
      </c>
      <c r="M386">
        <v>1</v>
      </c>
      <c r="N386">
        <v>5</v>
      </c>
      <c r="O386">
        <v>8</v>
      </c>
      <c r="P386">
        <v>24</v>
      </c>
    </row>
    <row r="387" spans="1:16">
      <c r="A387" t="s">
        <v>1962</v>
      </c>
      <c r="B387">
        <v>0</v>
      </c>
      <c r="C387">
        <v>5</v>
      </c>
      <c r="D387">
        <v>7.1</v>
      </c>
      <c r="E387">
        <v>10</v>
      </c>
      <c r="F387" t="s">
        <v>25</v>
      </c>
      <c r="G387" t="s">
        <v>26</v>
      </c>
      <c r="I387" s="15">
        <f t="shared" si="18"/>
        <v>602</v>
      </c>
      <c r="J387" s="15" t="str">
        <f t="shared" ref="J387:J450" si="19">LEFT(L387,2)</f>
        <v>06</v>
      </c>
      <c r="K387" s="15" t="str">
        <f t="shared" ref="K387:K450" si="20">TEXT(J387,"MMDD")</f>
        <v>0106</v>
      </c>
      <c r="L387" t="s">
        <v>2069</v>
      </c>
      <c r="M387">
        <v>0</v>
      </c>
      <c r="N387">
        <v>5</v>
      </c>
      <c r="O387">
        <v>7.1</v>
      </c>
      <c r="P387">
        <v>10</v>
      </c>
    </row>
    <row r="388" spans="1:16">
      <c r="A388" t="s">
        <v>1962</v>
      </c>
      <c r="B388">
        <v>0</v>
      </c>
      <c r="C388">
        <v>5</v>
      </c>
      <c r="D388">
        <v>7</v>
      </c>
      <c r="E388">
        <v>8.8000000000000007</v>
      </c>
      <c r="F388" t="s">
        <v>25</v>
      </c>
      <c r="G388" t="s">
        <v>26</v>
      </c>
      <c r="I388" s="15">
        <f t="shared" si="18"/>
        <v>602</v>
      </c>
      <c r="J388" s="15" t="str">
        <f t="shared" si="19"/>
        <v>06</v>
      </c>
      <c r="K388" s="15" t="str">
        <f t="shared" si="20"/>
        <v>0106</v>
      </c>
      <c r="L388" t="s">
        <v>2069</v>
      </c>
      <c r="M388">
        <v>0</v>
      </c>
      <c r="N388">
        <v>5</v>
      </c>
      <c r="O388">
        <v>7</v>
      </c>
      <c r="P388">
        <v>8.8000000000000007</v>
      </c>
    </row>
    <row r="389" spans="1:16">
      <c r="A389" t="s">
        <v>1938</v>
      </c>
      <c r="B389">
        <v>1</v>
      </c>
      <c r="C389">
        <v>2</v>
      </c>
      <c r="D389">
        <v>7</v>
      </c>
      <c r="E389">
        <v>66</v>
      </c>
      <c r="F389" t="s">
        <v>54</v>
      </c>
      <c r="G389" t="s">
        <v>108</v>
      </c>
      <c r="I389" s="15">
        <f t="shared" si="18"/>
        <v>604</v>
      </c>
      <c r="J389" s="15" t="str">
        <f t="shared" si="19"/>
        <v>06</v>
      </c>
      <c r="K389" s="15" t="str">
        <f t="shared" si="20"/>
        <v>0106</v>
      </c>
      <c r="L389" t="s">
        <v>2069</v>
      </c>
      <c r="M389">
        <v>1</v>
      </c>
      <c r="N389">
        <v>2</v>
      </c>
      <c r="O389">
        <v>7</v>
      </c>
      <c r="P389">
        <v>66</v>
      </c>
    </row>
    <row r="390" spans="1:16">
      <c r="A390" t="s">
        <v>1863</v>
      </c>
      <c r="B390">
        <v>0</v>
      </c>
      <c r="C390">
        <v>2</v>
      </c>
      <c r="D390">
        <v>6.7</v>
      </c>
      <c r="E390">
        <v>9</v>
      </c>
      <c r="F390" t="s">
        <v>54</v>
      </c>
      <c r="G390" t="s">
        <v>108</v>
      </c>
      <c r="I390" s="15">
        <f t="shared" si="18"/>
        <v>613</v>
      </c>
      <c r="J390" s="15" t="str">
        <f t="shared" si="19"/>
        <v>06</v>
      </c>
      <c r="K390" s="15" t="str">
        <f t="shared" si="20"/>
        <v>0106</v>
      </c>
      <c r="L390" t="s">
        <v>2069</v>
      </c>
      <c r="M390">
        <v>0</v>
      </c>
      <c r="N390">
        <v>2</v>
      </c>
      <c r="O390">
        <v>6.7</v>
      </c>
      <c r="P390">
        <v>9</v>
      </c>
    </row>
    <row r="391" spans="1:16">
      <c r="A391" t="s">
        <v>1864</v>
      </c>
      <c r="B391">
        <v>1</v>
      </c>
      <c r="C391">
        <v>4</v>
      </c>
      <c r="D391">
        <v>6.5</v>
      </c>
      <c r="E391">
        <v>30</v>
      </c>
      <c r="F391" t="s">
        <v>47</v>
      </c>
      <c r="G391" t="s">
        <v>856</v>
      </c>
      <c r="I391" s="15">
        <f t="shared" si="18"/>
        <v>615</v>
      </c>
      <c r="J391" s="15" t="str">
        <f t="shared" si="19"/>
        <v>06</v>
      </c>
      <c r="K391" s="15" t="str">
        <f t="shared" si="20"/>
        <v>0106</v>
      </c>
      <c r="L391" t="s">
        <v>2069</v>
      </c>
      <c r="M391">
        <v>1</v>
      </c>
      <c r="N391">
        <v>4</v>
      </c>
      <c r="O391">
        <v>6.5</v>
      </c>
      <c r="P391">
        <v>30</v>
      </c>
    </row>
    <row r="392" spans="1:16">
      <c r="A392" t="s">
        <v>1976</v>
      </c>
      <c r="B392">
        <v>1</v>
      </c>
      <c r="C392">
        <v>8</v>
      </c>
      <c r="D392">
        <v>6.6</v>
      </c>
      <c r="E392">
        <v>10</v>
      </c>
      <c r="F392" t="s">
        <v>1749</v>
      </c>
      <c r="G392" t="s">
        <v>1750</v>
      </c>
      <c r="I392" s="15">
        <f t="shared" si="18"/>
        <v>624</v>
      </c>
      <c r="J392" s="15" t="str">
        <f t="shared" si="19"/>
        <v>06</v>
      </c>
      <c r="K392" s="15" t="str">
        <f t="shared" si="20"/>
        <v>0106</v>
      </c>
      <c r="L392" t="s">
        <v>2069</v>
      </c>
      <c r="M392">
        <v>1</v>
      </c>
      <c r="N392">
        <v>8</v>
      </c>
      <c r="O392">
        <v>6.6</v>
      </c>
      <c r="P392">
        <v>10</v>
      </c>
    </row>
    <row r="393" spans="1:16">
      <c r="A393" t="s">
        <v>1840</v>
      </c>
      <c r="B393">
        <v>1</v>
      </c>
      <c r="C393">
        <v>5</v>
      </c>
      <c r="D393">
        <v>6.7</v>
      </c>
      <c r="E393">
        <v>11</v>
      </c>
      <c r="F393" t="s">
        <v>25</v>
      </c>
      <c r="G393" t="s">
        <v>26</v>
      </c>
      <c r="I393" s="15">
        <f t="shared" si="18"/>
        <v>702</v>
      </c>
      <c r="J393" s="15" t="str">
        <f t="shared" si="19"/>
        <v>07</v>
      </c>
      <c r="K393" s="15" t="str">
        <f t="shared" si="20"/>
        <v>0107</v>
      </c>
      <c r="L393" t="s">
        <v>2070</v>
      </c>
      <c r="M393">
        <v>1</v>
      </c>
      <c r="N393">
        <v>5</v>
      </c>
      <c r="O393">
        <v>6.7</v>
      </c>
      <c r="P393">
        <v>11</v>
      </c>
    </row>
    <row r="394" spans="1:16">
      <c r="A394" t="s">
        <v>1772</v>
      </c>
      <c r="B394">
        <v>1</v>
      </c>
      <c r="C394">
        <v>5</v>
      </c>
      <c r="D394">
        <v>7.3</v>
      </c>
      <c r="E394">
        <v>385.5</v>
      </c>
      <c r="F394" t="s">
        <v>25</v>
      </c>
      <c r="G394" t="s">
        <v>64</v>
      </c>
      <c r="I394" s="15">
        <f t="shared" si="18"/>
        <v>707</v>
      </c>
      <c r="J394" s="15" t="str">
        <f t="shared" si="19"/>
        <v>07</v>
      </c>
      <c r="K394" s="15" t="str">
        <f t="shared" si="20"/>
        <v>0107</v>
      </c>
      <c r="L394" t="s">
        <v>2070</v>
      </c>
      <c r="M394">
        <v>1</v>
      </c>
      <c r="N394">
        <v>5</v>
      </c>
      <c r="O394">
        <v>7.3</v>
      </c>
      <c r="P394">
        <v>385.5</v>
      </c>
    </row>
    <row r="395" spans="1:16">
      <c r="A395" t="s">
        <v>1772</v>
      </c>
      <c r="B395">
        <v>0</v>
      </c>
      <c r="C395">
        <v>5</v>
      </c>
      <c r="D395">
        <v>6.6</v>
      </c>
      <c r="E395">
        <v>56</v>
      </c>
      <c r="F395" t="s">
        <v>25</v>
      </c>
      <c r="G395" t="s">
        <v>64</v>
      </c>
      <c r="I395" s="15">
        <f t="shared" si="18"/>
        <v>707</v>
      </c>
      <c r="J395" s="15" t="str">
        <f t="shared" si="19"/>
        <v>07</v>
      </c>
      <c r="K395" s="15" t="str">
        <f t="shared" si="20"/>
        <v>0107</v>
      </c>
      <c r="L395" t="s">
        <v>2070</v>
      </c>
      <c r="M395">
        <v>0</v>
      </c>
      <c r="N395">
        <v>5</v>
      </c>
      <c r="O395">
        <v>6.6</v>
      </c>
      <c r="P395">
        <v>56</v>
      </c>
    </row>
    <row r="396" spans="1:16">
      <c r="A396" t="s">
        <v>1818</v>
      </c>
      <c r="B396">
        <v>1</v>
      </c>
      <c r="C396">
        <v>3</v>
      </c>
      <c r="D396">
        <v>7.3</v>
      </c>
      <c r="E396">
        <v>11</v>
      </c>
      <c r="F396" t="s">
        <v>234</v>
      </c>
      <c r="G396" t="s">
        <v>1753</v>
      </c>
      <c r="I396" s="15">
        <f t="shared" si="18"/>
        <v>715</v>
      </c>
      <c r="J396" s="15" t="str">
        <f t="shared" si="19"/>
        <v>07</v>
      </c>
      <c r="K396" s="15" t="str">
        <f t="shared" si="20"/>
        <v>0107</v>
      </c>
      <c r="L396" t="s">
        <v>2070</v>
      </c>
      <c r="M396">
        <v>1</v>
      </c>
      <c r="N396">
        <v>3</v>
      </c>
      <c r="O396">
        <v>7.3</v>
      </c>
      <c r="P396">
        <v>11</v>
      </c>
    </row>
    <row r="397" spans="1:16">
      <c r="A397" t="s">
        <v>1977</v>
      </c>
      <c r="B397">
        <v>1</v>
      </c>
      <c r="C397">
        <v>5</v>
      </c>
      <c r="D397">
        <v>6.5</v>
      </c>
      <c r="E397">
        <v>17</v>
      </c>
      <c r="F397" t="s">
        <v>25</v>
      </c>
      <c r="G397" t="s">
        <v>594</v>
      </c>
      <c r="I397" s="15">
        <f t="shared" si="18"/>
        <v>721</v>
      </c>
      <c r="J397" s="15" t="str">
        <f t="shared" si="19"/>
        <v>07</v>
      </c>
      <c r="K397" s="15" t="str">
        <f t="shared" si="20"/>
        <v>0107</v>
      </c>
      <c r="L397" t="s">
        <v>2070</v>
      </c>
      <c r="M397">
        <v>1</v>
      </c>
      <c r="N397">
        <v>5</v>
      </c>
      <c r="O397">
        <v>6.5</v>
      </c>
      <c r="P397">
        <v>17</v>
      </c>
    </row>
    <row r="398" spans="1:16">
      <c r="A398" t="s">
        <v>1841</v>
      </c>
      <c r="B398">
        <v>1</v>
      </c>
      <c r="C398">
        <v>5</v>
      </c>
      <c r="D398">
        <v>6.8</v>
      </c>
      <c r="E398">
        <v>12</v>
      </c>
      <c r="F398" t="s">
        <v>25</v>
      </c>
      <c r="G398" t="s">
        <v>26</v>
      </c>
      <c r="I398" s="15">
        <f t="shared" si="18"/>
        <v>802</v>
      </c>
      <c r="J398" s="15" t="str">
        <f t="shared" si="19"/>
        <v>08</v>
      </c>
      <c r="K398" s="15" t="str">
        <f t="shared" si="20"/>
        <v>0108</v>
      </c>
      <c r="L398" t="s">
        <v>2075</v>
      </c>
      <c r="M398">
        <v>1</v>
      </c>
      <c r="N398">
        <v>5</v>
      </c>
      <c r="O398">
        <v>6.8</v>
      </c>
      <c r="P398">
        <v>12</v>
      </c>
    </row>
    <row r="399" spans="1:16">
      <c r="A399" t="s">
        <v>1841</v>
      </c>
      <c r="B399">
        <v>1</v>
      </c>
      <c r="C399">
        <v>5</v>
      </c>
      <c r="D399">
        <v>7.1</v>
      </c>
      <c r="E399">
        <v>21</v>
      </c>
      <c r="F399" t="s">
        <v>25</v>
      </c>
      <c r="G399" t="s">
        <v>26</v>
      </c>
      <c r="I399" s="15">
        <f t="shared" si="18"/>
        <v>802</v>
      </c>
      <c r="J399" s="15" t="str">
        <f t="shared" si="19"/>
        <v>08</v>
      </c>
      <c r="K399" s="15" t="str">
        <f t="shared" si="20"/>
        <v>0108</v>
      </c>
      <c r="L399" t="s">
        <v>2075</v>
      </c>
      <c r="M399">
        <v>1</v>
      </c>
      <c r="N399">
        <v>5</v>
      </c>
      <c r="O399">
        <v>7.1</v>
      </c>
      <c r="P399">
        <v>21</v>
      </c>
    </row>
    <row r="400" spans="1:16">
      <c r="A400" t="s">
        <v>1978</v>
      </c>
      <c r="B400">
        <v>1</v>
      </c>
      <c r="C400">
        <v>6</v>
      </c>
      <c r="D400">
        <v>6.7</v>
      </c>
      <c r="E400">
        <v>12</v>
      </c>
      <c r="F400" t="s">
        <v>78</v>
      </c>
      <c r="G400" t="s">
        <v>973</v>
      </c>
      <c r="I400" s="15">
        <f t="shared" si="18"/>
        <v>813</v>
      </c>
      <c r="J400" s="15" t="str">
        <f t="shared" si="19"/>
        <v>08</v>
      </c>
      <c r="K400" s="15" t="str">
        <f t="shared" si="20"/>
        <v>0108</v>
      </c>
      <c r="L400" t="s">
        <v>2075</v>
      </c>
      <c r="M400">
        <v>1</v>
      </c>
      <c r="N400">
        <v>6</v>
      </c>
      <c r="O400">
        <v>6.7</v>
      </c>
      <c r="P400">
        <v>12</v>
      </c>
    </row>
    <row r="401" spans="1:16">
      <c r="A401" t="s">
        <v>1866</v>
      </c>
      <c r="B401">
        <v>1</v>
      </c>
      <c r="C401">
        <v>5</v>
      </c>
      <c r="D401">
        <v>6.5</v>
      </c>
      <c r="E401">
        <v>8.1999999999999993</v>
      </c>
      <c r="F401" t="s">
        <v>25</v>
      </c>
      <c r="G401" t="s">
        <v>594</v>
      </c>
      <c r="I401" s="15">
        <f t="shared" si="18"/>
        <v>816</v>
      </c>
      <c r="J401" s="15" t="str">
        <f t="shared" si="19"/>
        <v>08</v>
      </c>
      <c r="K401" s="15" t="str">
        <f t="shared" si="20"/>
        <v>0108</v>
      </c>
      <c r="L401" t="s">
        <v>2075</v>
      </c>
      <c r="M401">
        <v>1</v>
      </c>
      <c r="N401">
        <v>5</v>
      </c>
      <c r="O401">
        <v>6.5</v>
      </c>
      <c r="P401">
        <v>8.1999999999999993</v>
      </c>
    </row>
    <row r="402" spans="1:16">
      <c r="A402" t="s">
        <v>1979</v>
      </c>
      <c r="B402">
        <v>0</v>
      </c>
      <c r="C402">
        <v>4</v>
      </c>
      <c r="D402">
        <v>7</v>
      </c>
      <c r="E402">
        <v>29</v>
      </c>
      <c r="F402" t="s">
        <v>47</v>
      </c>
      <c r="G402" t="s">
        <v>1754</v>
      </c>
      <c r="I402" s="15">
        <f t="shared" si="18"/>
        <v>830</v>
      </c>
      <c r="J402" s="15" t="str">
        <f t="shared" si="19"/>
        <v>08</v>
      </c>
      <c r="K402" s="15" t="str">
        <f t="shared" si="20"/>
        <v>0108</v>
      </c>
      <c r="L402" t="s">
        <v>2075</v>
      </c>
      <c r="M402">
        <v>0</v>
      </c>
      <c r="N402">
        <v>4</v>
      </c>
      <c r="O402">
        <v>7</v>
      </c>
      <c r="P402">
        <v>29</v>
      </c>
    </row>
    <row r="403" spans="1:16">
      <c r="A403" t="s">
        <v>1980</v>
      </c>
      <c r="B403">
        <v>1</v>
      </c>
      <c r="C403">
        <v>6</v>
      </c>
      <c r="D403">
        <v>6.9</v>
      </c>
      <c r="E403">
        <v>145</v>
      </c>
      <c r="F403" t="s">
        <v>78</v>
      </c>
      <c r="G403" t="s">
        <v>973</v>
      </c>
      <c r="I403" s="15">
        <f t="shared" si="18"/>
        <v>902</v>
      </c>
      <c r="J403" s="15" t="str">
        <f t="shared" si="19"/>
        <v>09</v>
      </c>
      <c r="K403" s="15" t="str">
        <f t="shared" si="20"/>
        <v>0109</v>
      </c>
      <c r="L403" t="s">
        <v>2071</v>
      </c>
      <c r="M403">
        <v>1</v>
      </c>
      <c r="N403">
        <v>6</v>
      </c>
      <c r="O403">
        <v>6.9</v>
      </c>
      <c r="P403">
        <v>145</v>
      </c>
    </row>
    <row r="404" spans="1:16">
      <c r="A404" t="s">
        <v>1980</v>
      </c>
      <c r="B404">
        <v>1</v>
      </c>
      <c r="C404">
        <v>5</v>
      </c>
      <c r="D404">
        <v>6.6</v>
      </c>
      <c r="E404">
        <v>18</v>
      </c>
      <c r="F404" t="s">
        <v>25</v>
      </c>
      <c r="G404" t="s">
        <v>26</v>
      </c>
      <c r="I404" s="15">
        <f t="shared" si="18"/>
        <v>902</v>
      </c>
      <c r="J404" s="15" t="str">
        <f t="shared" si="19"/>
        <v>09</v>
      </c>
      <c r="K404" s="15" t="str">
        <f t="shared" si="20"/>
        <v>0109</v>
      </c>
      <c r="L404" t="s">
        <v>2071</v>
      </c>
      <c r="M404">
        <v>1</v>
      </c>
      <c r="N404">
        <v>5</v>
      </c>
      <c r="O404">
        <v>6.6</v>
      </c>
      <c r="P404">
        <v>18</v>
      </c>
    </row>
    <row r="405" spans="1:16">
      <c r="A405" t="s">
        <v>1981</v>
      </c>
      <c r="B405">
        <v>0</v>
      </c>
      <c r="C405">
        <v>2</v>
      </c>
      <c r="D405">
        <v>7.7</v>
      </c>
      <c r="E405">
        <v>15</v>
      </c>
      <c r="F405" t="s">
        <v>54</v>
      </c>
      <c r="G405" t="s">
        <v>907</v>
      </c>
      <c r="I405" s="15">
        <f t="shared" si="18"/>
        <v>924</v>
      </c>
      <c r="J405" s="15" t="str">
        <f t="shared" si="19"/>
        <v>09</v>
      </c>
      <c r="K405" s="15" t="str">
        <f t="shared" si="20"/>
        <v>0109</v>
      </c>
      <c r="L405" t="s">
        <v>2071</v>
      </c>
      <c r="M405">
        <v>0</v>
      </c>
      <c r="N405">
        <v>2</v>
      </c>
      <c r="O405">
        <v>7.7</v>
      </c>
      <c r="P405">
        <v>15</v>
      </c>
    </row>
    <row r="406" spans="1:16">
      <c r="A406" t="s">
        <v>1822</v>
      </c>
      <c r="B406">
        <v>1</v>
      </c>
      <c r="C406">
        <v>6</v>
      </c>
      <c r="D406">
        <v>7.1</v>
      </c>
      <c r="E406">
        <v>40</v>
      </c>
      <c r="F406" t="s">
        <v>78</v>
      </c>
      <c r="G406" t="s">
        <v>83</v>
      </c>
      <c r="I406" s="15">
        <f t="shared" si="18"/>
        <v>925</v>
      </c>
      <c r="J406" s="15" t="str">
        <f t="shared" si="19"/>
        <v>09</v>
      </c>
      <c r="K406" s="15" t="str">
        <f t="shared" si="20"/>
        <v>0109</v>
      </c>
      <c r="L406" t="s">
        <v>2071</v>
      </c>
      <c r="M406">
        <v>1</v>
      </c>
      <c r="N406">
        <v>6</v>
      </c>
      <c r="O406">
        <v>7.1</v>
      </c>
      <c r="P406">
        <v>40</v>
      </c>
    </row>
    <row r="407" spans="1:16">
      <c r="A407" t="s">
        <v>1888</v>
      </c>
      <c r="B407">
        <v>0</v>
      </c>
      <c r="C407">
        <v>2</v>
      </c>
      <c r="D407">
        <v>6.8</v>
      </c>
      <c r="E407">
        <v>12</v>
      </c>
      <c r="F407" t="s">
        <v>54</v>
      </c>
      <c r="G407" t="s">
        <v>907</v>
      </c>
      <c r="I407" s="15">
        <f t="shared" si="18"/>
        <v>928</v>
      </c>
      <c r="J407" s="15" t="str">
        <f t="shared" si="19"/>
        <v>09</v>
      </c>
      <c r="K407" s="15" t="str">
        <f t="shared" si="20"/>
        <v>0109</v>
      </c>
      <c r="L407" t="s">
        <v>2071</v>
      </c>
      <c r="M407">
        <v>0</v>
      </c>
      <c r="N407">
        <v>2</v>
      </c>
      <c r="O407">
        <v>6.8</v>
      </c>
      <c r="P407">
        <v>12</v>
      </c>
    </row>
    <row r="408" spans="1:16">
      <c r="A408" t="s">
        <v>1923</v>
      </c>
      <c r="B408">
        <v>1</v>
      </c>
      <c r="C408">
        <v>5</v>
      </c>
      <c r="D408">
        <v>6.5</v>
      </c>
      <c r="E408">
        <v>41.54</v>
      </c>
      <c r="F408" t="s">
        <v>25</v>
      </c>
      <c r="G408" t="s">
        <v>594</v>
      </c>
      <c r="I408" s="15">
        <f t="shared" si="18"/>
        <v>930</v>
      </c>
      <c r="J408" s="15" t="str">
        <f t="shared" si="19"/>
        <v>09</v>
      </c>
      <c r="K408" s="15" t="str">
        <f t="shared" si="20"/>
        <v>0109</v>
      </c>
      <c r="L408" t="s">
        <v>2071</v>
      </c>
      <c r="M408">
        <v>1</v>
      </c>
      <c r="N408">
        <v>5</v>
      </c>
      <c r="O408">
        <v>6.5</v>
      </c>
      <c r="P408">
        <v>41.54</v>
      </c>
    </row>
    <row r="409" spans="1:16">
      <c r="A409" t="s">
        <v>1982</v>
      </c>
      <c r="B409">
        <v>1</v>
      </c>
      <c r="C409">
        <v>5</v>
      </c>
      <c r="D409">
        <v>6.5</v>
      </c>
      <c r="E409">
        <v>28</v>
      </c>
      <c r="F409" t="s">
        <v>25</v>
      </c>
      <c r="G409" t="s">
        <v>64</v>
      </c>
      <c r="I409" s="15">
        <f t="shared" si="18"/>
        <v>1003</v>
      </c>
      <c r="J409" s="15" t="str">
        <f t="shared" si="19"/>
        <v>10</v>
      </c>
      <c r="K409" s="15" t="str">
        <f t="shared" si="20"/>
        <v>0110</v>
      </c>
      <c r="L409" t="s">
        <v>2072</v>
      </c>
      <c r="M409">
        <v>1</v>
      </c>
      <c r="N409">
        <v>5</v>
      </c>
      <c r="O409">
        <v>6.5</v>
      </c>
      <c r="P409">
        <v>28</v>
      </c>
    </row>
    <row r="410" spans="1:16">
      <c r="A410" t="s">
        <v>1846</v>
      </c>
      <c r="B410">
        <v>1</v>
      </c>
      <c r="C410">
        <v>2</v>
      </c>
      <c r="D410">
        <v>7.1</v>
      </c>
      <c r="E410">
        <v>19.04</v>
      </c>
      <c r="F410" t="s">
        <v>54</v>
      </c>
      <c r="G410" t="s">
        <v>75</v>
      </c>
      <c r="I410" s="15">
        <f t="shared" si="18"/>
        <v>1015</v>
      </c>
      <c r="J410" s="15" t="str">
        <f t="shared" si="19"/>
        <v>10</v>
      </c>
      <c r="K410" s="15" t="str">
        <f t="shared" si="20"/>
        <v>0110</v>
      </c>
      <c r="L410" t="s">
        <v>2072</v>
      </c>
      <c r="M410">
        <v>1</v>
      </c>
      <c r="N410">
        <v>2</v>
      </c>
      <c r="O410">
        <v>7.1</v>
      </c>
      <c r="P410">
        <v>19.04</v>
      </c>
    </row>
    <row r="411" spans="1:16">
      <c r="A411" t="s">
        <v>1915</v>
      </c>
      <c r="B411">
        <v>1</v>
      </c>
      <c r="C411">
        <v>5</v>
      </c>
      <c r="D411">
        <v>6.8</v>
      </c>
      <c r="E411">
        <v>35</v>
      </c>
      <c r="F411" t="s">
        <v>25</v>
      </c>
      <c r="G411" t="s">
        <v>64</v>
      </c>
      <c r="I411" s="15">
        <f t="shared" si="18"/>
        <v>1016</v>
      </c>
      <c r="J411" s="15" t="str">
        <f t="shared" si="19"/>
        <v>10</v>
      </c>
      <c r="K411" s="15" t="str">
        <f t="shared" si="20"/>
        <v>0110</v>
      </c>
      <c r="L411" t="s">
        <v>2072</v>
      </c>
      <c r="M411">
        <v>1</v>
      </c>
      <c r="N411">
        <v>5</v>
      </c>
      <c r="O411">
        <v>6.8</v>
      </c>
      <c r="P411">
        <v>35</v>
      </c>
    </row>
    <row r="412" spans="1:16">
      <c r="A412" t="s">
        <v>1777</v>
      </c>
      <c r="B412">
        <v>1</v>
      </c>
      <c r="C412">
        <v>4</v>
      </c>
      <c r="D412">
        <v>6.6</v>
      </c>
      <c r="E412">
        <v>9.4499999999999993</v>
      </c>
      <c r="F412" t="s">
        <v>47</v>
      </c>
      <c r="G412" t="s">
        <v>48</v>
      </c>
      <c r="I412" s="15">
        <f t="shared" si="18"/>
        <v>1019</v>
      </c>
      <c r="J412" s="15" t="str">
        <f t="shared" si="19"/>
        <v>10</v>
      </c>
      <c r="K412" s="15" t="str">
        <f t="shared" si="20"/>
        <v>0110</v>
      </c>
      <c r="L412" t="s">
        <v>2072</v>
      </c>
      <c r="M412">
        <v>1</v>
      </c>
      <c r="N412">
        <v>4</v>
      </c>
      <c r="O412">
        <v>6.6</v>
      </c>
      <c r="P412">
        <v>9.4499999999999993</v>
      </c>
    </row>
    <row r="413" spans="1:16">
      <c r="A413" t="s">
        <v>1943</v>
      </c>
      <c r="B413">
        <v>1</v>
      </c>
      <c r="C413">
        <v>2</v>
      </c>
      <c r="D413">
        <v>7.1</v>
      </c>
      <c r="E413">
        <v>35</v>
      </c>
      <c r="F413" t="s">
        <v>54</v>
      </c>
      <c r="G413" t="s">
        <v>200</v>
      </c>
      <c r="I413" s="15">
        <f t="shared" si="18"/>
        <v>1025</v>
      </c>
      <c r="J413" s="15" t="str">
        <f t="shared" si="19"/>
        <v>10</v>
      </c>
      <c r="K413" s="15" t="str">
        <f t="shared" si="20"/>
        <v>0110</v>
      </c>
      <c r="L413" t="s">
        <v>2072</v>
      </c>
      <c r="M413">
        <v>1</v>
      </c>
      <c r="N413">
        <v>2</v>
      </c>
      <c r="O413">
        <v>7.1</v>
      </c>
      <c r="P413">
        <v>35</v>
      </c>
    </row>
    <row r="414" spans="1:16">
      <c r="A414" t="s">
        <v>1778</v>
      </c>
      <c r="B414">
        <v>1</v>
      </c>
      <c r="C414">
        <v>6</v>
      </c>
      <c r="D414">
        <v>6.6</v>
      </c>
      <c r="E414">
        <v>27</v>
      </c>
      <c r="F414" t="s">
        <v>78</v>
      </c>
      <c r="G414" t="s">
        <v>245</v>
      </c>
      <c r="I414" s="15">
        <f t="shared" si="18"/>
        <v>1031</v>
      </c>
      <c r="J414" s="15" t="str">
        <f t="shared" si="19"/>
        <v>10</v>
      </c>
      <c r="K414" s="15" t="str">
        <f t="shared" si="20"/>
        <v>0110</v>
      </c>
      <c r="L414" t="s">
        <v>2072</v>
      </c>
      <c r="M414">
        <v>1</v>
      </c>
      <c r="N414">
        <v>6</v>
      </c>
      <c r="O414">
        <v>6.6</v>
      </c>
      <c r="P414">
        <v>27</v>
      </c>
    </row>
    <row r="415" spans="1:16">
      <c r="A415" t="s">
        <v>1901</v>
      </c>
      <c r="B415">
        <v>1</v>
      </c>
      <c r="C415">
        <v>3</v>
      </c>
      <c r="D415">
        <v>6.9</v>
      </c>
      <c r="E415">
        <v>9.9700000000000006</v>
      </c>
      <c r="F415" t="s">
        <v>234</v>
      </c>
      <c r="G415" t="s">
        <v>1753</v>
      </c>
      <c r="I415" s="15">
        <f t="shared" si="18"/>
        <v>1116</v>
      </c>
      <c r="J415" s="15" t="str">
        <f t="shared" si="19"/>
        <v>11</v>
      </c>
      <c r="K415" s="15" t="str">
        <f t="shared" si="20"/>
        <v>0111</v>
      </c>
      <c r="L415" t="s">
        <v>2073</v>
      </c>
      <c r="M415">
        <v>1</v>
      </c>
      <c r="N415">
        <v>3</v>
      </c>
      <c r="O415">
        <v>6.9</v>
      </c>
      <c r="P415">
        <v>9.9700000000000006</v>
      </c>
    </row>
    <row r="416" spans="1:16">
      <c r="A416" t="s">
        <v>1870</v>
      </c>
      <c r="B416">
        <v>1</v>
      </c>
      <c r="C416">
        <v>3</v>
      </c>
      <c r="D416">
        <v>7.7</v>
      </c>
      <c r="E416">
        <v>10</v>
      </c>
      <c r="F416" t="s">
        <v>234</v>
      </c>
      <c r="G416" t="s">
        <v>1753</v>
      </c>
      <c r="I416" s="15">
        <f t="shared" si="18"/>
        <v>1117</v>
      </c>
      <c r="J416" s="15" t="str">
        <f t="shared" si="19"/>
        <v>11</v>
      </c>
      <c r="K416" s="15" t="str">
        <f t="shared" si="20"/>
        <v>0111</v>
      </c>
      <c r="L416" t="s">
        <v>2073</v>
      </c>
      <c r="M416">
        <v>1</v>
      </c>
      <c r="N416">
        <v>3</v>
      </c>
      <c r="O416">
        <v>7.7</v>
      </c>
      <c r="P416">
        <v>10</v>
      </c>
    </row>
    <row r="417" spans="1:16">
      <c r="A417" t="s">
        <v>1983</v>
      </c>
      <c r="B417">
        <v>0</v>
      </c>
      <c r="C417">
        <v>5</v>
      </c>
      <c r="D417">
        <v>6.5</v>
      </c>
      <c r="E417">
        <v>371</v>
      </c>
      <c r="F417" t="s">
        <v>25</v>
      </c>
      <c r="G417" t="s">
        <v>31</v>
      </c>
      <c r="I417" s="15">
        <f t="shared" si="18"/>
        <v>1123</v>
      </c>
      <c r="J417" s="15" t="str">
        <f t="shared" si="19"/>
        <v>11</v>
      </c>
      <c r="K417" s="15" t="str">
        <f t="shared" si="20"/>
        <v>0111</v>
      </c>
      <c r="L417" t="s">
        <v>2073</v>
      </c>
      <c r="M417">
        <v>0</v>
      </c>
      <c r="N417">
        <v>5</v>
      </c>
      <c r="O417">
        <v>6.5</v>
      </c>
      <c r="P417">
        <v>371</v>
      </c>
    </row>
    <row r="418" spans="1:16">
      <c r="A418" t="s">
        <v>1781</v>
      </c>
      <c r="B418">
        <v>0</v>
      </c>
      <c r="C418">
        <v>3</v>
      </c>
      <c r="D418">
        <v>6.6</v>
      </c>
      <c r="E418">
        <v>40</v>
      </c>
      <c r="F418" t="s">
        <v>234</v>
      </c>
      <c r="G418" t="s">
        <v>235</v>
      </c>
      <c r="I418" s="15">
        <f t="shared" si="18"/>
        <v>1210</v>
      </c>
      <c r="J418" s="15" t="str">
        <f t="shared" si="19"/>
        <v>12</v>
      </c>
      <c r="K418" s="15" t="str">
        <f t="shared" si="20"/>
        <v>0112</v>
      </c>
      <c r="L418" t="s">
        <v>2074</v>
      </c>
      <c r="M418">
        <v>0</v>
      </c>
      <c r="N418">
        <v>3</v>
      </c>
      <c r="O418">
        <v>6.6</v>
      </c>
      <c r="P418">
        <v>40</v>
      </c>
    </row>
    <row r="419" spans="1:16">
      <c r="A419" t="s">
        <v>1758</v>
      </c>
      <c r="B419">
        <v>1</v>
      </c>
      <c r="C419">
        <v>5</v>
      </c>
      <c r="D419">
        <v>6.5</v>
      </c>
      <c r="E419">
        <v>187</v>
      </c>
      <c r="F419" t="s">
        <v>25</v>
      </c>
      <c r="G419" t="s">
        <v>163</v>
      </c>
      <c r="I419" s="15">
        <f t="shared" si="18"/>
        <v>101</v>
      </c>
      <c r="J419" s="15" t="str">
        <f t="shared" si="19"/>
        <v>01</v>
      </c>
      <c r="K419" s="15" t="str">
        <f t="shared" si="20"/>
        <v>0101</v>
      </c>
      <c r="L419" t="s">
        <v>2064</v>
      </c>
      <c r="M419">
        <v>1</v>
      </c>
      <c r="N419">
        <v>5</v>
      </c>
      <c r="O419">
        <v>6.5</v>
      </c>
      <c r="P419">
        <v>187</v>
      </c>
    </row>
    <row r="420" spans="1:16">
      <c r="A420" t="s">
        <v>1891</v>
      </c>
      <c r="B420">
        <v>1</v>
      </c>
      <c r="C420">
        <v>6</v>
      </c>
      <c r="D420">
        <v>8.1999999999999993</v>
      </c>
      <c r="E420">
        <v>25</v>
      </c>
      <c r="F420" t="s">
        <v>78</v>
      </c>
      <c r="G420" t="s">
        <v>245</v>
      </c>
      <c r="I420" s="15">
        <f t="shared" si="18"/>
        <v>104</v>
      </c>
      <c r="J420" s="15" t="str">
        <f t="shared" si="19"/>
        <v>01</v>
      </c>
      <c r="K420" s="15" t="str">
        <f t="shared" si="20"/>
        <v>0101</v>
      </c>
      <c r="L420" t="s">
        <v>2064</v>
      </c>
      <c r="M420">
        <v>1</v>
      </c>
      <c r="N420">
        <v>6</v>
      </c>
      <c r="O420">
        <v>8.1999999999999993</v>
      </c>
      <c r="P420">
        <v>25</v>
      </c>
    </row>
    <row r="421" spans="1:16">
      <c r="A421" t="s">
        <v>1891</v>
      </c>
      <c r="B421">
        <v>0</v>
      </c>
      <c r="C421">
        <v>6</v>
      </c>
      <c r="D421">
        <v>6.9</v>
      </c>
      <c r="E421">
        <v>28.42</v>
      </c>
      <c r="F421" t="s">
        <v>78</v>
      </c>
      <c r="G421" t="s">
        <v>245</v>
      </c>
      <c r="I421" s="15">
        <f t="shared" ref="I421:I484" si="21">TRUNC(A421,6)</f>
        <v>104</v>
      </c>
      <c r="J421" s="15" t="str">
        <f t="shared" si="19"/>
        <v>01</v>
      </c>
      <c r="K421" s="15" t="str">
        <f t="shared" si="20"/>
        <v>0101</v>
      </c>
      <c r="L421" t="s">
        <v>2064</v>
      </c>
      <c r="M421">
        <v>0</v>
      </c>
      <c r="N421">
        <v>6</v>
      </c>
      <c r="O421">
        <v>6.9</v>
      </c>
      <c r="P421">
        <v>28.42</v>
      </c>
    </row>
    <row r="422" spans="1:16">
      <c r="A422" t="s">
        <v>1984</v>
      </c>
      <c r="B422">
        <v>1</v>
      </c>
      <c r="C422">
        <v>5</v>
      </c>
      <c r="D422">
        <v>6.6</v>
      </c>
      <c r="E422">
        <v>106</v>
      </c>
      <c r="F422" t="s">
        <v>25</v>
      </c>
      <c r="G422" t="s">
        <v>163</v>
      </c>
      <c r="I422" s="15">
        <f t="shared" si="21"/>
        <v>105</v>
      </c>
      <c r="J422" s="15" t="str">
        <f t="shared" si="19"/>
        <v>01</v>
      </c>
      <c r="K422" s="15" t="str">
        <f t="shared" si="20"/>
        <v>0101</v>
      </c>
      <c r="L422" t="s">
        <v>2064</v>
      </c>
      <c r="M422">
        <v>1</v>
      </c>
      <c r="N422">
        <v>5</v>
      </c>
      <c r="O422">
        <v>6.6</v>
      </c>
      <c r="P422">
        <v>106</v>
      </c>
    </row>
    <row r="423" spans="1:16">
      <c r="A423" t="s">
        <v>1985</v>
      </c>
      <c r="B423">
        <v>1</v>
      </c>
      <c r="C423">
        <v>5</v>
      </c>
      <c r="D423">
        <v>7.1</v>
      </c>
      <c r="E423">
        <v>434</v>
      </c>
      <c r="F423" t="s">
        <v>25</v>
      </c>
      <c r="G423" t="s">
        <v>31</v>
      </c>
      <c r="I423" s="15">
        <f t="shared" si="21"/>
        <v>111</v>
      </c>
      <c r="J423" s="15" t="str">
        <f t="shared" si="19"/>
        <v>01</v>
      </c>
      <c r="K423" s="15" t="str">
        <f t="shared" si="20"/>
        <v>0101</v>
      </c>
      <c r="L423" t="s">
        <v>2064</v>
      </c>
      <c r="M423">
        <v>1</v>
      </c>
      <c r="N423">
        <v>5</v>
      </c>
      <c r="O423">
        <v>7.1</v>
      </c>
      <c r="P423">
        <v>434</v>
      </c>
    </row>
    <row r="424" spans="1:16">
      <c r="A424" t="s">
        <v>1957</v>
      </c>
      <c r="B424">
        <v>1</v>
      </c>
      <c r="C424">
        <v>8</v>
      </c>
      <c r="D424">
        <v>6.5</v>
      </c>
      <c r="E424">
        <v>44.26</v>
      </c>
      <c r="F424" t="s">
        <v>1749</v>
      </c>
      <c r="G424" t="s">
        <v>1750</v>
      </c>
      <c r="I424" s="15">
        <f t="shared" si="21"/>
        <v>202</v>
      </c>
      <c r="J424" s="15" t="str">
        <f t="shared" si="19"/>
        <v>02</v>
      </c>
      <c r="K424" s="15" t="str">
        <f t="shared" si="20"/>
        <v>0102</v>
      </c>
      <c r="L424" t="s">
        <v>2065</v>
      </c>
      <c r="M424">
        <v>1</v>
      </c>
      <c r="N424">
        <v>8</v>
      </c>
      <c r="O424">
        <v>6.5</v>
      </c>
      <c r="P424">
        <v>44.26</v>
      </c>
    </row>
    <row r="425" spans="1:16">
      <c r="A425" t="s">
        <v>1854</v>
      </c>
      <c r="B425">
        <v>1</v>
      </c>
      <c r="C425">
        <v>2</v>
      </c>
      <c r="D425">
        <v>6.5</v>
      </c>
      <c r="E425">
        <v>119</v>
      </c>
      <c r="F425" t="s">
        <v>54</v>
      </c>
      <c r="G425" t="s">
        <v>200</v>
      </c>
      <c r="I425" s="15">
        <f t="shared" si="21"/>
        <v>203</v>
      </c>
      <c r="J425" s="15" t="str">
        <f t="shared" si="19"/>
        <v>02</v>
      </c>
      <c r="K425" s="15" t="str">
        <f t="shared" si="20"/>
        <v>0102</v>
      </c>
      <c r="L425" t="s">
        <v>2065</v>
      </c>
      <c r="M425">
        <v>1</v>
      </c>
      <c r="N425">
        <v>2</v>
      </c>
      <c r="O425">
        <v>6.5</v>
      </c>
      <c r="P425">
        <v>119</v>
      </c>
    </row>
    <row r="426" spans="1:16">
      <c r="A426" t="s">
        <v>1762</v>
      </c>
      <c r="B426">
        <v>0</v>
      </c>
      <c r="C426">
        <v>2</v>
      </c>
      <c r="D426">
        <v>6.6</v>
      </c>
      <c r="E426">
        <v>614</v>
      </c>
      <c r="F426" t="s">
        <v>54</v>
      </c>
      <c r="G426" t="s">
        <v>75</v>
      </c>
      <c r="I426" s="15">
        <f t="shared" si="21"/>
        <v>212</v>
      </c>
      <c r="J426" s="15" t="str">
        <f t="shared" si="19"/>
        <v>02</v>
      </c>
      <c r="K426" s="15" t="str">
        <f t="shared" si="20"/>
        <v>0102</v>
      </c>
      <c r="L426" t="s">
        <v>2065</v>
      </c>
      <c r="M426">
        <v>0</v>
      </c>
      <c r="N426">
        <v>2</v>
      </c>
      <c r="O426">
        <v>6.6</v>
      </c>
      <c r="P426">
        <v>614</v>
      </c>
    </row>
    <row r="427" spans="1:16">
      <c r="A427" t="s">
        <v>1986</v>
      </c>
      <c r="B427">
        <v>1</v>
      </c>
      <c r="C427">
        <v>4</v>
      </c>
      <c r="D427">
        <v>6.5</v>
      </c>
      <c r="E427">
        <v>14.83</v>
      </c>
      <c r="F427" t="s">
        <v>47</v>
      </c>
      <c r="G427" t="s">
        <v>1743</v>
      </c>
      <c r="I427" s="15">
        <f t="shared" si="21"/>
        <v>218</v>
      </c>
      <c r="J427" s="15" t="str">
        <f t="shared" si="19"/>
        <v>02</v>
      </c>
      <c r="K427" s="15" t="str">
        <f t="shared" si="20"/>
        <v>0102</v>
      </c>
      <c r="L427" t="s">
        <v>2065</v>
      </c>
      <c r="M427">
        <v>1</v>
      </c>
      <c r="N427">
        <v>4</v>
      </c>
      <c r="O427">
        <v>6.5</v>
      </c>
      <c r="P427">
        <v>14.83</v>
      </c>
    </row>
    <row r="428" spans="1:16">
      <c r="A428" t="s">
        <v>1987</v>
      </c>
      <c r="B428">
        <v>0</v>
      </c>
      <c r="C428">
        <v>6</v>
      </c>
      <c r="D428">
        <v>6.5</v>
      </c>
      <c r="E428">
        <v>24.07</v>
      </c>
      <c r="F428" t="s">
        <v>78</v>
      </c>
      <c r="G428" t="s">
        <v>245</v>
      </c>
      <c r="I428" s="15">
        <f t="shared" si="21"/>
        <v>304</v>
      </c>
      <c r="J428" s="15" t="str">
        <f t="shared" si="19"/>
        <v>03</v>
      </c>
      <c r="K428" s="15" t="str">
        <f t="shared" si="20"/>
        <v>0103</v>
      </c>
      <c r="L428" t="s">
        <v>2066</v>
      </c>
      <c r="M428">
        <v>0</v>
      </c>
      <c r="N428">
        <v>6</v>
      </c>
      <c r="O428">
        <v>6.5</v>
      </c>
      <c r="P428">
        <v>24.07</v>
      </c>
    </row>
    <row r="429" spans="1:16">
      <c r="A429" t="s">
        <v>1987</v>
      </c>
      <c r="B429">
        <v>1</v>
      </c>
      <c r="C429">
        <v>6</v>
      </c>
      <c r="D429">
        <v>7.7</v>
      </c>
      <c r="E429">
        <v>22.4</v>
      </c>
      <c r="F429" t="s">
        <v>78</v>
      </c>
      <c r="G429" t="s">
        <v>245</v>
      </c>
      <c r="I429" s="15">
        <f t="shared" si="21"/>
        <v>304</v>
      </c>
      <c r="J429" s="15" t="str">
        <f t="shared" si="19"/>
        <v>03</v>
      </c>
      <c r="K429" s="15" t="str">
        <f t="shared" si="20"/>
        <v>0103</v>
      </c>
      <c r="L429" t="s">
        <v>2066</v>
      </c>
      <c r="M429">
        <v>1</v>
      </c>
      <c r="N429">
        <v>6</v>
      </c>
      <c r="O429">
        <v>7.7</v>
      </c>
      <c r="P429">
        <v>22.4</v>
      </c>
    </row>
    <row r="430" spans="1:16">
      <c r="A430" t="s">
        <v>1918</v>
      </c>
      <c r="B430">
        <v>1</v>
      </c>
      <c r="C430">
        <v>8</v>
      </c>
      <c r="D430">
        <v>6.9</v>
      </c>
      <c r="E430">
        <v>13</v>
      </c>
      <c r="F430" t="s">
        <v>1749</v>
      </c>
      <c r="G430" t="s">
        <v>1750</v>
      </c>
      <c r="I430" s="15">
        <f t="shared" si="21"/>
        <v>308</v>
      </c>
      <c r="J430" s="15" t="str">
        <f t="shared" si="19"/>
        <v>03</v>
      </c>
      <c r="K430" s="15" t="str">
        <f t="shared" si="20"/>
        <v>0103</v>
      </c>
      <c r="L430" t="s">
        <v>2066</v>
      </c>
      <c r="M430">
        <v>1</v>
      </c>
      <c r="N430">
        <v>8</v>
      </c>
      <c r="O430">
        <v>6.9</v>
      </c>
      <c r="P430">
        <v>13</v>
      </c>
    </row>
    <row r="431" spans="1:16">
      <c r="A431" t="s">
        <v>1931</v>
      </c>
      <c r="B431">
        <v>1</v>
      </c>
      <c r="C431">
        <v>6</v>
      </c>
      <c r="D431">
        <v>6.7</v>
      </c>
      <c r="E431">
        <v>20</v>
      </c>
      <c r="F431" t="s">
        <v>78</v>
      </c>
      <c r="G431" t="s">
        <v>245</v>
      </c>
      <c r="I431" s="15">
        <f t="shared" si="21"/>
        <v>316</v>
      </c>
      <c r="J431" s="15" t="str">
        <f t="shared" si="19"/>
        <v>03</v>
      </c>
      <c r="K431" s="15" t="str">
        <f t="shared" si="20"/>
        <v>0103</v>
      </c>
      <c r="L431" t="s">
        <v>2066</v>
      </c>
      <c r="M431">
        <v>1</v>
      </c>
      <c r="N431">
        <v>6</v>
      </c>
      <c r="O431">
        <v>6.7</v>
      </c>
      <c r="P431">
        <v>20</v>
      </c>
    </row>
    <row r="432" spans="1:16">
      <c r="A432" t="s">
        <v>1988</v>
      </c>
      <c r="B432">
        <v>1</v>
      </c>
      <c r="C432">
        <v>5</v>
      </c>
      <c r="D432">
        <v>6.5</v>
      </c>
      <c r="E432">
        <v>20</v>
      </c>
      <c r="F432" t="s">
        <v>25</v>
      </c>
      <c r="G432" t="s">
        <v>64</v>
      </c>
      <c r="I432" s="15">
        <f t="shared" si="21"/>
        <v>407</v>
      </c>
      <c r="J432" s="15" t="str">
        <f t="shared" si="19"/>
        <v>04</v>
      </c>
      <c r="K432" s="15" t="str">
        <f t="shared" si="20"/>
        <v>0104</v>
      </c>
      <c r="L432" t="s">
        <v>2067</v>
      </c>
      <c r="M432">
        <v>1</v>
      </c>
      <c r="N432">
        <v>5</v>
      </c>
      <c r="O432">
        <v>6.5</v>
      </c>
      <c r="P432">
        <v>20</v>
      </c>
    </row>
    <row r="433" spans="1:16">
      <c r="A433" t="s">
        <v>1935</v>
      </c>
      <c r="B433">
        <v>1</v>
      </c>
      <c r="C433">
        <v>5</v>
      </c>
      <c r="D433">
        <v>7.4</v>
      </c>
      <c r="E433">
        <v>39</v>
      </c>
      <c r="F433" t="s">
        <v>25</v>
      </c>
      <c r="G433" t="s">
        <v>26</v>
      </c>
      <c r="I433" s="15">
        <f t="shared" si="21"/>
        <v>413</v>
      </c>
      <c r="J433" s="15" t="str">
        <f t="shared" si="19"/>
        <v>04</v>
      </c>
      <c r="K433" s="15" t="str">
        <f t="shared" si="20"/>
        <v>0104</v>
      </c>
      <c r="L433" t="s">
        <v>2067</v>
      </c>
      <c r="M433">
        <v>1</v>
      </c>
      <c r="N433">
        <v>5</v>
      </c>
      <c r="O433">
        <v>7.4</v>
      </c>
      <c r="P433">
        <v>39</v>
      </c>
    </row>
    <row r="434" spans="1:16">
      <c r="A434" t="s">
        <v>1935</v>
      </c>
      <c r="B434">
        <v>0</v>
      </c>
      <c r="C434">
        <v>5</v>
      </c>
      <c r="D434">
        <v>6.6</v>
      </c>
      <c r="E434">
        <v>10</v>
      </c>
      <c r="F434" t="s">
        <v>25</v>
      </c>
      <c r="G434" t="s">
        <v>26</v>
      </c>
      <c r="I434" s="15">
        <f t="shared" si="21"/>
        <v>413</v>
      </c>
      <c r="J434" s="15" t="str">
        <f t="shared" si="19"/>
        <v>04</v>
      </c>
      <c r="K434" s="15" t="str">
        <f t="shared" si="20"/>
        <v>0104</v>
      </c>
      <c r="L434" t="s">
        <v>2067</v>
      </c>
      <c r="M434">
        <v>0</v>
      </c>
      <c r="N434">
        <v>5</v>
      </c>
      <c r="O434">
        <v>6.6</v>
      </c>
      <c r="P434">
        <v>10</v>
      </c>
    </row>
    <row r="435" spans="1:16">
      <c r="A435" t="s">
        <v>1792</v>
      </c>
      <c r="B435">
        <v>1</v>
      </c>
      <c r="C435">
        <v>4</v>
      </c>
      <c r="D435">
        <v>7.2</v>
      </c>
      <c r="E435">
        <v>24</v>
      </c>
      <c r="F435" t="s">
        <v>47</v>
      </c>
      <c r="G435" t="s">
        <v>48</v>
      </c>
      <c r="I435" s="15">
        <f t="shared" si="21"/>
        <v>418</v>
      </c>
      <c r="J435" s="15" t="str">
        <f t="shared" si="19"/>
        <v>04</v>
      </c>
      <c r="K435" s="15" t="str">
        <f t="shared" si="20"/>
        <v>0104</v>
      </c>
      <c r="L435" t="s">
        <v>2067</v>
      </c>
      <c r="M435">
        <v>1</v>
      </c>
      <c r="N435">
        <v>4</v>
      </c>
      <c r="O435">
        <v>7.2</v>
      </c>
      <c r="P435">
        <v>24</v>
      </c>
    </row>
    <row r="436" spans="1:16">
      <c r="A436" t="s">
        <v>1768</v>
      </c>
      <c r="B436">
        <v>1</v>
      </c>
      <c r="C436">
        <v>5</v>
      </c>
      <c r="D436">
        <v>6.6</v>
      </c>
      <c r="E436">
        <v>29</v>
      </c>
      <c r="F436" t="s">
        <v>25</v>
      </c>
      <c r="G436" t="s">
        <v>64</v>
      </c>
      <c r="I436" s="15">
        <f t="shared" si="21"/>
        <v>419</v>
      </c>
      <c r="J436" s="15" t="str">
        <f t="shared" si="19"/>
        <v>04</v>
      </c>
      <c r="K436" s="15" t="str">
        <f t="shared" si="20"/>
        <v>0104</v>
      </c>
      <c r="L436" t="s">
        <v>2067</v>
      </c>
      <c r="M436">
        <v>1</v>
      </c>
      <c r="N436">
        <v>5</v>
      </c>
      <c r="O436">
        <v>6.6</v>
      </c>
      <c r="P436">
        <v>29</v>
      </c>
    </row>
    <row r="437" spans="1:16">
      <c r="A437" t="s">
        <v>1768</v>
      </c>
      <c r="B437">
        <v>1</v>
      </c>
      <c r="C437">
        <v>5</v>
      </c>
      <c r="D437">
        <v>7.5</v>
      </c>
      <c r="E437">
        <v>43.37</v>
      </c>
      <c r="F437" t="s">
        <v>25</v>
      </c>
      <c r="G437" t="s">
        <v>1739</v>
      </c>
      <c r="I437" s="15">
        <f t="shared" si="21"/>
        <v>419</v>
      </c>
      <c r="J437" s="15" t="str">
        <f t="shared" si="19"/>
        <v>04</v>
      </c>
      <c r="K437" s="15" t="str">
        <f t="shared" si="20"/>
        <v>0104</v>
      </c>
      <c r="L437" t="s">
        <v>2067</v>
      </c>
      <c r="M437">
        <v>1</v>
      </c>
      <c r="N437">
        <v>5</v>
      </c>
      <c r="O437">
        <v>7.5</v>
      </c>
      <c r="P437">
        <v>43.37</v>
      </c>
    </row>
    <row r="438" spans="1:16">
      <c r="A438" t="s">
        <v>1989</v>
      </c>
      <c r="B438">
        <v>1</v>
      </c>
      <c r="C438">
        <v>4</v>
      </c>
      <c r="D438">
        <v>6.5</v>
      </c>
      <c r="E438">
        <v>10</v>
      </c>
      <c r="F438" t="s">
        <v>47</v>
      </c>
      <c r="G438" t="s">
        <v>998</v>
      </c>
      <c r="I438" s="15">
        <f t="shared" si="21"/>
        <v>424</v>
      </c>
      <c r="J438" s="15" t="str">
        <f t="shared" si="19"/>
        <v>04</v>
      </c>
      <c r="K438" s="15" t="str">
        <f t="shared" si="20"/>
        <v>0104</v>
      </c>
      <c r="L438" t="s">
        <v>2067</v>
      </c>
      <c r="M438">
        <v>1</v>
      </c>
      <c r="N438">
        <v>4</v>
      </c>
      <c r="O438">
        <v>6.5</v>
      </c>
      <c r="P438">
        <v>10</v>
      </c>
    </row>
    <row r="439" spans="1:16">
      <c r="A439" t="s">
        <v>1990</v>
      </c>
      <c r="B439">
        <v>1</v>
      </c>
      <c r="C439">
        <v>4</v>
      </c>
      <c r="D439">
        <v>6.5</v>
      </c>
      <c r="E439">
        <v>10</v>
      </c>
      <c r="F439" t="s">
        <v>47</v>
      </c>
      <c r="G439" t="s">
        <v>42</v>
      </c>
      <c r="I439" s="15">
        <f t="shared" si="21"/>
        <v>513</v>
      </c>
      <c r="J439" s="15" t="str">
        <f t="shared" si="19"/>
        <v>05</v>
      </c>
      <c r="K439" s="15" t="str">
        <f t="shared" si="20"/>
        <v>0105</v>
      </c>
      <c r="L439" t="s">
        <v>2068</v>
      </c>
      <c r="M439">
        <v>1</v>
      </c>
      <c r="N439">
        <v>4</v>
      </c>
      <c r="O439">
        <v>6.5</v>
      </c>
      <c r="P439">
        <v>10</v>
      </c>
    </row>
    <row r="440" spans="1:16">
      <c r="A440" t="s">
        <v>1975</v>
      </c>
      <c r="B440">
        <v>0</v>
      </c>
      <c r="C440">
        <v>3</v>
      </c>
      <c r="D440">
        <v>6.9</v>
      </c>
      <c r="E440">
        <v>6.43</v>
      </c>
      <c r="F440" t="s">
        <v>234</v>
      </c>
      <c r="G440" t="s">
        <v>235</v>
      </c>
      <c r="I440" s="15">
        <f t="shared" si="21"/>
        <v>524</v>
      </c>
      <c r="J440" s="15" t="str">
        <f t="shared" si="19"/>
        <v>05</v>
      </c>
      <c r="K440" s="15" t="str">
        <f t="shared" si="20"/>
        <v>0105</v>
      </c>
      <c r="L440" t="s">
        <v>2068</v>
      </c>
      <c r="M440">
        <v>0</v>
      </c>
      <c r="N440">
        <v>3</v>
      </c>
      <c r="O440">
        <v>6.9</v>
      </c>
      <c r="P440">
        <v>6.43</v>
      </c>
    </row>
    <row r="441" spans="1:16">
      <c r="A441" t="s">
        <v>1770</v>
      </c>
      <c r="B441">
        <v>1</v>
      </c>
      <c r="C441">
        <v>5</v>
      </c>
      <c r="D441">
        <v>6.9</v>
      </c>
      <c r="E441">
        <v>20</v>
      </c>
      <c r="F441" t="s">
        <v>25</v>
      </c>
      <c r="G441" t="s">
        <v>594</v>
      </c>
      <c r="I441" s="15">
        <f t="shared" si="21"/>
        <v>623</v>
      </c>
      <c r="J441" s="15" t="str">
        <f t="shared" si="19"/>
        <v>06</v>
      </c>
      <c r="K441" s="15" t="str">
        <f t="shared" si="20"/>
        <v>0106</v>
      </c>
      <c r="L441" t="s">
        <v>2069</v>
      </c>
      <c r="M441">
        <v>1</v>
      </c>
      <c r="N441">
        <v>5</v>
      </c>
      <c r="O441">
        <v>6.9</v>
      </c>
      <c r="P441">
        <v>20</v>
      </c>
    </row>
    <row r="442" spans="1:16">
      <c r="A442" t="s">
        <v>1770</v>
      </c>
      <c r="B442">
        <v>1</v>
      </c>
      <c r="C442">
        <v>4</v>
      </c>
      <c r="D442">
        <v>7.9</v>
      </c>
      <c r="E442">
        <v>109</v>
      </c>
      <c r="F442" t="s">
        <v>47</v>
      </c>
      <c r="G442" t="s">
        <v>1754</v>
      </c>
      <c r="I442" s="15">
        <f t="shared" si="21"/>
        <v>623</v>
      </c>
      <c r="J442" s="15" t="str">
        <f t="shared" si="19"/>
        <v>06</v>
      </c>
      <c r="K442" s="15" t="str">
        <f t="shared" si="20"/>
        <v>0106</v>
      </c>
      <c r="L442" t="s">
        <v>2069</v>
      </c>
      <c r="M442">
        <v>1</v>
      </c>
      <c r="N442">
        <v>4</v>
      </c>
      <c r="O442">
        <v>7.9</v>
      </c>
      <c r="P442">
        <v>109</v>
      </c>
    </row>
    <row r="443" spans="1:16">
      <c r="A443" t="s">
        <v>1770</v>
      </c>
      <c r="B443">
        <v>0</v>
      </c>
      <c r="C443">
        <v>5</v>
      </c>
      <c r="D443">
        <v>6.5</v>
      </c>
      <c r="E443">
        <v>10</v>
      </c>
      <c r="F443" t="s">
        <v>25</v>
      </c>
      <c r="G443" t="s">
        <v>594</v>
      </c>
      <c r="I443" s="15">
        <f t="shared" si="21"/>
        <v>623</v>
      </c>
      <c r="J443" s="15" t="str">
        <f t="shared" si="19"/>
        <v>06</v>
      </c>
      <c r="K443" s="15" t="str">
        <f t="shared" si="20"/>
        <v>0106</v>
      </c>
      <c r="L443" t="s">
        <v>2069</v>
      </c>
      <c r="M443">
        <v>0</v>
      </c>
      <c r="N443">
        <v>5</v>
      </c>
      <c r="O443">
        <v>6.5</v>
      </c>
      <c r="P443">
        <v>10</v>
      </c>
    </row>
    <row r="444" spans="1:16">
      <c r="A444" t="s">
        <v>1770</v>
      </c>
      <c r="B444">
        <v>0</v>
      </c>
      <c r="C444">
        <v>5</v>
      </c>
      <c r="D444">
        <v>6.7</v>
      </c>
      <c r="E444">
        <v>26.59</v>
      </c>
      <c r="F444" t="s">
        <v>25</v>
      </c>
      <c r="G444" t="s">
        <v>594</v>
      </c>
      <c r="I444" s="15">
        <f t="shared" si="21"/>
        <v>623</v>
      </c>
      <c r="J444" s="15" t="str">
        <f t="shared" si="19"/>
        <v>06</v>
      </c>
      <c r="K444" s="15" t="str">
        <f t="shared" si="20"/>
        <v>0106</v>
      </c>
      <c r="L444" t="s">
        <v>2069</v>
      </c>
      <c r="M444">
        <v>0</v>
      </c>
      <c r="N444">
        <v>5</v>
      </c>
      <c r="O444">
        <v>6.7</v>
      </c>
      <c r="P444">
        <v>26.59</v>
      </c>
    </row>
    <row r="445" spans="1:16">
      <c r="A445" t="s">
        <v>1991</v>
      </c>
      <c r="B445">
        <v>1</v>
      </c>
      <c r="C445">
        <v>7</v>
      </c>
      <c r="D445">
        <v>6.9</v>
      </c>
      <c r="E445">
        <v>8</v>
      </c>
      <c r="F445" t="s">
        <v>157</v>
      </c>
      <c r="G445" t="s">
        <v>1750</v>
      </c>
      <c r="I445" s="15">
        <f t="shared" si="21"/>
        <v>629</v>
      </c>
      <c r="J445" s="15" t="str">
        <f t="shared" si="19"/>
        <v>06</v>
      </c>
      <c r="K445" s="15" t="str">
        <f t="shared" si="20"/>
        <v>0106</v>
      </c>
      <c r="L445" t="s">
        <v>2069</v>
      </c>
      <c r="M445">
        <v>1</v>
      </c>
      <c r="N445">
        <v>7</v>
      </c>
      <c r="O445">
        <v>6.9</v>
      </c>
      <c r="P445">
        <v>8</v>
      </c>
    </row>
    <row r="446" spans="1:16">
      <c r="A446" t="s">
        <v>1991</v>
      </c>
      <c r="B446">
        <v>1</v>
      </c>
      <c r="C446">
        <v>5</v>
      </c>
      <c r="D446">
        <v>6.7</v>
      </c>
      <c r="E446">
        <v>18</v>
      </c>
      <c r="F446" t="s">
        <v>25</v>
      </c>
      <c r="G446" t="s">
        <v>1750</v>
      </c>
      <c r="I446" s="15">
        <f t="shared" si="21"/>
        <v>629</v>
      </c>
      <c r="J446" s="15" t="str">
        <f t="shared" si="19"/>
        <v>06</v>
      </c>
      <c r="K446" s="15" t="str">
        <f t="shared" si="20"/>
        <v>0106</v>
      </c>
      <c r="L446" t="s">
        <v>2069</v>
      </c>
      <c r="M446">
        <v>1</v>
      </c>
      <c r="N446">
        <v>5</v>
      </c>
      <c r="O446">
        <v>6.7</v>
      </c>
      <c r="P446">
        <v>18</v>
      </c>
    </row>
    <row r="447" spans="1:16">
      <c r="A447" t="s">
        <v>1840</v>
      </c>
      <c r="B447">
        <v>1</v>
      </c>
      <c r="C447">
        <v>5</v>
      </c>
      <c r="D447">
        <v>6.5</v>
      </c>
      <c r="E447">
        <v>122</v>
      </c>
      <c r="F447" t="s">
        <v>25</v>
      </c>
      <c r="G447" t="s">
        <v>163</v>
      </c>
      <c r="I447" s="15">
        <f t="shared" si="21"/>
        <v>702</v>
      </c>
      <c r="J447" s="15" t="str">
        <f t="shared" si="19"/>
        <v>07</v>
      </c>
      <c r="K447" s="15" t="str">
        <f t="shared" si="20"/>
        <v>0107</v>
      </c>
      <c r="L447" t="s">
        <v>2070</v>
      </c>
      <c r="M447">
        <v>1</v>
      </c>
      <c r="N447">
        <v>5</v>
      </c>
      <c r="O447">
        <v>6.5</v>
      </c>
      <c r="P447">
        <v>122</v>
      </c>
    </row>
    <row r="448" spans="1:16">
      <c r="A448" t="s">
        <v>1772</v>
      </c>
      <c r="B448">
        <v>1</v>
      </c>
      <c r="C448">
        <v>4</v>
      </c>
      <c r="D448">
        <v>6.9</v>
      </c>
      <c r="E448">
        <v>53</v>
      </c>
      <c r="F448" t="s">
        <v>47</v>
      </c>
      <c r="G448" t="s">
        <v>48</v>
      </c>
      <c r="I448" s="15">
        <f t="shared" si="21"/>
        <v>707</v>
      </c>
      <c r="J448" s="15" t="str">
        <f t="shared" si="19"/>
        <v>07</v>
      </c>
      <c r="K448" s="15" t="str">
        <f t="shared" si="20"/>
        <v>0107</v>
      </c>
      <c r="L448" t="s">
        <v>2070</v>
      </c>
      <c r="M448">
        <v>1</v>
      </c>
      <c r="N448">
        <v>4</v>
      </c>
      <c r="O448">
        <v>6.9</v>
      </c>
      <c r="P448">
        <v>53</v>
      </c>
    </row>
    <row r="449" spans="1:16">
      <c r="A449" t="s">
        <v>1884</v>
      </c>
      <c r="B449">
        <v>1</v>
      </c>
      <c r="C449">
        <v>5</v>
      </c>
      <c r="D449">
        <v>6.6</v>
      </c>
      <c r="E449">
        <v>53.19</v>
      </c>
      <c r="F449" t="s">
        <v>25</v>
      </c>
      <c r="G449" t="s">
        <v>64</v>
      </c>
      <c r="I449" s="15">
        <f t="shared" si="21"/>
        <v>711</v>
      </c>
      <c r="J449" s="15" t="str">
        <f t="shared" si="19"/>
        <v>07</v>
      </c>
      <c r="K449" s="15" t="str">
        <f t="shared" si="20"/>
        <v>0107</v>
      </c>
      <c r="L449" t="s">
        <v>2070</v>
      </c>
      <c r="M449">
        <v>1</v>
      </c>
      <c r="N449">
        <v>5</v>
      </c>
      <c r="O449">
        <v>6.6</v>
      </c>
      <c r="P449">
        <v>53.19</v>
      </c>
    </row>
    <row r="450" spans="1:16">
      <c r="A450" t="s">
        <v>1963</v>
      </c>
      <c r="B450">
        <v>1</v>
      </c>
      <c r="C450">
        <v>5</v>
      </c>
      <c r="D450">
        <v>6.6</v>
      </c>
      <c r="E450">
        <v>23</v>
      </c>
      <c r="F450" t="s">
        <v>25</v>
      </c>
      <c r="G450" t="s">
        <v>64</v>
      </c>
      <c r="I450" s="15">
        <f t="shared" si="21"/>
        <v>712</v>
      </c>
      <c r="J450" s="15" t="str">
        <f t="shared" si="19"/>
        <v>07</v>
      </c>
      <c r="K450" s="15" t="str">
        <f t="shared" si="20"/>
        <v>0107</v>
      </c>
      <c r="L450" t="s">
        <v>2070</v>
      </c>
      <c r="M450">
        <v>1</v>
      </c>
      <c r="N450">
        <v>5</v>
      </c>
      <c r="O450">
        <v>6.6</v>
      </c>
      <c r="P450">
        <v>23</v>
      </c>
    </row>
    <row r="451" spans="1:16">
      <c r="A451" t="s">
        <v>1977</v>
      </c>
      <c r="B451">
        <v>1</v>
      </c>
      <c r="C451">
        <v>5</v>
      </c>
      <c r="D451">
        <v>6.9</v>
      </c>
      <c r="E451">
        <v>615.41999999999996</v>
      </c>
      <c r="F451" t="s">
        <v>25</v>
      </c>
      <c r="G451" t="s">
        <v>31</v>
      </c>
      <c r="I451" s="15">
        <f t="shared" si="21"/>
        <v>721</v>
      </c>
      <c r="J451" s="15" t="str">
        <f t="shared" ref="J451:J514" si="22">LEFT(L451,2)</f>
        <v>07</v>
      </c>
      <c r="K451" s="15" t="str">
        <f t="shared" ref="K451:K514" si="23">TEXT(J451,"MMDD")</f>
        <v>0107</v>
      </c>
      <c r="L451" t="s">
        <v>2070</v>
      </c>
      <c r="M451">
        <v>1</v>
      </c>
      <c r="N451">
        <v>5</v>
      </c>
      <c r="O451">
        <v>6.9</v>
      </c>
      <c r="P451">
        <v>615.41999999999996</v>
      </c>
    </row>
    <row r="452" spans="1:16">
      <c r="A452" t="s">
        <v>1992</v>
      </c>
      <c r="B452">
        <v>1</v>
      </c>
      <c r="C452">
        <v>4</v>
      </c>
      <c r="D452">
        <v>6.6</v>
      </c>
      <c r="E452">
        <v>20</v>
      </c>
      <c r="F452" t="s">
        <v>47</v>
      </c>
      <c r="G452" t="s">
        <v>42</v>
      </c>
      <c r="I452" s="15">
        <f t="shared" si="21"/>
        <v>812</v>
      </c>
      <c r="J452" s="15" t="str">
        <f t="shared" si="22"/>
        <v>08</v>
      </c>
      <c r="K452" s="15" t="str">
        <f t="shared" si="23"/>
        <v>0108</v>
      </c>
      <c r="L452" t="s">
        <v>2075</v>
      </c>
      <c r="M452">
        <v>1</v>
      </c>
      <c r="N452">
        <v>4</v>
      </c>
      <c r="O452">
        <v>6.6</v>
      </c>
      <c r="P452">
        <v>20</v>
      </c>
    </row>
    <row r="453" spans="1:16">
      <c r="A453" t="s">
        <v>1887</v>
      </c>
      <c r="B453">
        <v>1</v>
      </c>
      <c r="C453">
        <v>6</v>
      </c>
      <c r="D453">
        <v>6.8</v>
      </c>
      <c r="E453">
        <v>101</v>
      </c>
      <c r="F453" t="s">
        <v>78</v>
      </c>
      <c r="G453" t="s">
        <v>83</v>
      </c>
      <c r="I453" s="15">
        <f t="shared" si="21"/>
        <v>824</v>
      </c>
      <c r="J453" s="15" t="str">
        <f t="shared" si="22"/>
        <v>08</v>
      </c>
      <c r="K453" s="15" t="str">
        <f t="shared" si="23"/>
        <v>0108</v>
      </c>
      <c r="L453" t="s">
        <v>2075</v>
      </c>
      <c r="M453">
        <v>1</v>
      </c>
      <c r="N453">
        <v>6</v>
      </c>
      <c r="O453">
        <v>6.8</v>
      </c>
      <c r="P453">
        <v>101</v>
      </c>
    </row>
    <row r="454" spans="1:16">
      <c r="A454" t="s">
        <v>1993</v>
      </c>
      <c r="B454">
        <v>1</v>
      </c>
      <c r="C454">
        <v>5</v>
      </c>
      <c r="D454">
        <v>6.7</v>
      </c>
      <c r="E454">
        <v>130</v>
      </c>
      <c r="F454" t="s">
        <v>25</v>
      </c>
      <c r="G454" t="s">
        <v>1745</v>
      </c>
      <c r="I454" s="15">
        <f t="shared" si="21"/>
        <v>917</v>
      </c>
      <c r="J454" s="15" t="str">
        <f t="shared" si="22"/>
        <v>09</v>
      </c>
      <c r="K454" s="15" t="str">
        <f t="shared" si="23"/>
        <v>0109</v>
      </c>
      <c r="L454" t="s">
        <v>2071</v>
      </c>
      <c r="M454">
        <v>1</v>
      </c>
      <c r="N454">
        <v>5</v>
      </c>
      <c r="O454">
        <v>6.7</v>
      </c>
      <c r="P454">
        <v>130</v>
      </c>
    </row>
    <row r="455" spans="1:16">
      <c r="A455" t="s">
        <v>1982</v>
      </c>
      <c r="B455">
        <v>1</v>
      </c>
      <c r="C455">
        <v>4</v>
      </c>
      <c r="D455">
        <v>6.8</v>
      </c>
      <c r="E455">
        <v>16.440999999999999</v>
      </c>
      <c r="F455" t="s">
        <v>47</v>
      </c>
      <c r="G455" t="s">
        <v>1754</v>
      </c>
      <c r="I455" s="15">
        <f t="shared" si="21"/>
        <v>1003</v>
      </c>
      <c r="J455" s="15" t="str">
        <f t="shared" si="22"/>
        <v>10</v>
      </c>
      <c r="K455" s="15" t="str">
        <f t="shared" si="23"/>
        <v>0110</v>
      </c>
      <c r="L455" t="s">
        <v>2072</v>
      </c>
      <c r="M455">
        <v>1</v>
      </c>
      <c r="N455">
        <v>4</v>
      </c>
      <c r="O455">
        <v>6.8</v>
      </c>
      <c r="P455">
        <v>16.440999999999999</v>
      </c>
    </row>
    <row r="456" spans="1:16">
      <c r="A456" t="s">
        <v>1954</v>
      </c>
      <c r="B456">
        <v>1</v>
      </c>
      <c r="C456">
        <v>4</v>
      </c>
      <c r="D456">
        <v>7.3</v>
      </c>
      <c r="E456">
        <v>40</v>
      </c>
      <c r="F456" t="s">
        <v>47</v>
      </c>
      <c r="G456" t="s">
        <v>1723</v>
      </c>
      <c r="I456" s="15">
        <f t="shared" si="21"/>
        <v>1014</v>
      </c>
      <c r="J456" s="15" t="str">
        <f t="shared" si="22"/>
        <v>10</v>
      </c>
      <c r="K456" s="15" t="str">
        <f t="shared" si="23"/>
        <v>0110</v>
      </c>
      <c r="L456" t="s">
        <v>2072</v>
      </c>
      <c r="M456">
        <v>1</v>
      </c>
      <c r="N456">
        <v>4</v>
      </c>
      <c r="O456">
        <v>7.3</v>
      </c>
      <c r="P456">
        <v>40</v>
      </c>
    </row>
    <row r="457" spans="1:16">
      <c r="A457" t="s">
        <v>1944</v>
      </c>
      <c r="B457">
        <v>1</v>
      </c>
      <c r="C457">
        <v>5</v>
      </c>
      <c r="D457">
        <v>7.1</v>
      </c>
      <c r="E457">
        <v>60.53</v>
      </c>
      <c r="F457" t="s">
        <v>25</v>
      </c>
      <c r="G457" t="s">
        <v>64</v>
      </c>
      <c r="I457" s="15">
        <f t="shared" si="21"/>
        <v>1104</v>
      </c>
      <c r="J457" s="15" t="str">
        <f t="shared" si="22"/>
        <v>11</v>
      </c>
      <c r="K457" s="15" t="str">
        <f t="shared" si="23"/>
        <v>0111</v>
      </c>
      <c r="L457" t="s">
        <v>2073</v>
      </c>
      <c r="M457">
        <v>1</v>
      </c>
      <c r="N457">
        <v>5</v>
      </c>
      <c r="O457">
        <v>7.1</v>
      </c>
      <c r="P457">
        <v>60.53</v>
      </c>
    </row>
    <row r="458" spans="1:16">
      <c r="A458" t="s">
        <v>1944</v>
      </c>
      <c r="B458">
        <v>1</v>
      </c>
      <c r="C458">
        <v>5</v>
      </c>
      <c r="D458">
        <v>6.5</v>
      </c>
      <c r="E458">
        <v>20</v>
      </c>
      <c r="F458" t="s">
        <v>25</v>
      </c>
      <c r="G458" t="s">
        <v>64</v>
      </c>
      <c r="I458" s="15">
        <f t="shared" si="21"/>
        <v>1104</v>
      </c>
      <c r="J458" s="15" t="str">
        <f t="shared" si="22"/>
        <v>11</v>
      </c>
      <c r="K458" s="15" t="str">
        <f t="shared" si="23"/>
        <v>0111</v>
      </c>
      <c r="L458" t="s">
        <v>2073</v>
      </c>
      <c r="M458">
        <v>1</v>
      </c>
      <c r="N458">
        <v>5</v>
      </c>
      <c r="O458">
        <v>6.5</v>
      </c>
      <c r="P458">
        <v>20</v>
      </c>
    </row>
    <row r="459" spans="1:16">
      <c r="A459" t="s">
        <v>1944</v>
      </c>
      <c r="B459">
        <v>1</v>
      </c>
      <c r="C459">
        <v>4</v>
      </c>
      <c r="D459">
        <v>6.6</v>
      </c>
      <c r="E459">
        <v>135</v>
      </c>
      <c r="F459" t="s">
        <v>47</v>
      </c>
      <c r="G459" t="s">
        <v>856</v>
      </c>
      <c r="I459" s="15">
        <f t="shared" si="21"/>
        <v>1104</v>
      </c>
      <c r="J459" s="15" t="str">
        <f t="shared" si="22"/>
        <v>11</v>
      </c>
      <c r="K459" s="15" t="str">
        <f t="shared" si="23"/>
        <v>0111</v>
      </c>
      <c r="L459" t="s">
        <v>2073</v>
      </c>
      <c r="M459">
        <v>1</v>
      </c>
      <c r="N459">
        <v>4</v>
      </c>
      <c r="O459">
        <v>6.6</v>
      </c>
      <c r="P459">
        <v>135</v>
      </c>
    </row>
    <row r="460" spans="1:16">
      <c r="A460" t="s">
        <v>1994</v>
      </c>
      <c r="B460">
        <v>1</v>
      </c>
      <c r="C460">
        <v>2</v>
      </c>
      <c r="D460">
        <v>6.5</v>
      </c>
      <c r="E460">
        <v>20</v>
      </c>
      <c r="F460" t="s">
        <v>54</v>
      </c>
      <c r="G460" t="s">
        <v>200</v>
      </c>
      <c r="I460" s="15">
        <f t="shared" si="21"/>
        <v>1107</v>
      </c>
      <c r="J460" s="15" t="str">
        <f t="shared" si="22"/>
        <v>11</v>
      </c>
      <c r="K460" s="15" t="str">
        <f t="shared" si="23"/>
        <v>0111</v>
      </c>
      <c r="L460" t="s">
        <v>2073</v>
      </c>
      <c r="M460">
        <v>1</v>
      </c>
      <c r="N460">
        <v>2</v>
      </c>
      <c r="O460">
        <v>6.5</v>
      </c>
      <c r="P460">
        <v>20</v>
      </c>
    </row>
    <row r="461" spans="1:16">
      <c r="A461" t="s">
        <v>1848</v>
      </c>
      <c r="B461">
        <v>1</v>
      </c>
      <c r="C461">
        <v>2</v>
      </c>
      <c r="D461">
        <v>7.1</v>
      </c>
      <c r="E461">
        <v>45</v>
      </c>
      <c r="F461" t="s">
        <v>54</v>
      </c>
      <c r="G461" t="s">
        <v>108</v>
      </c>
      <c r="I461" s="15">
        <f t="shared" si="21"/>
        <v>1115</v>
      </c>
      <c r="J461" s="15" t="str">
        <f t="shared" si="22"/>
        <v>11</v>
      </c>
      <c r="K461" s="15" t="str">
        <f t="shared" si="23"/>
        <v>0111</v>
      </c>
      <c r="L461" t="s">
        <v>2073</v>
      </c>
      <c r="M461">
        <v>1</v>
      </c>
      <c r="N461">
        <v>2</v>
      </c>
      <c r="O461">
        <v>7.1</v>
      </c>
      <c r="P461">
        <v>45</v>
      </c>
    </row>
    <row r="462" spans="1:16">
      <c r="A462" t="s">
        <v>1901</v>
      </c>
      <c r="B462">
        <v>1</v>
      </c>
      <c r="C462">
        <v>5</v>
      </c>
      <c r="D462">
        <v>6.7</v>
      </c>
      <c r="E462">
        <v>22</v>
      </c>
      <c r="F462" t="s">
        <v>25</v>
      </c>
      <c r="G462" t="s">
        <v>594</v>
      </c>
      <c r="I462" s="15">
        <f t="shared" si="21"/>
        <v>1116</v>
      </c>
      <c r="J462" s="15" t="str">
        <f t="shared" si="22"/>
        <v>11</v>
      </c>
      <c r="K462" s="15" t="str">
        <f t="shared" si="23"/>
        <v>0111</v>
      </c>
      <c r="L462" t="s">
        <v>2073</v>
      </c>
      <c r="M462">
        <v>1</v>
      </c>
      <c r="N462">
        <v>5</v>
      </c>
      <c r="O462">
        <v>6.7</v>
      </c>
      <c r="P462">
        <v>22</v>
      </c>
    </row>
    <row r="463" spans="1:16">
      <c r="A463" t="s">
        <v>1995</v>
      </c>
      <c r="B463">
        <v>1</v>
      </c>
      <c r="C463">
        <v>2</v>
      </c>
      <c r="D463">
        <v>6.5</v>
      </c>
      <c r="E463">
        <v>35</v>
      </c>
      <c r="F463" t="s">
        <v>54</v>
      </c>
      <c r="G463" t="s">
        <v>108</v>
      </c>
      <c r="I463" s="15">
        <f t="shared" si="21"/>
        <v>1121</v>
      </c>
      <c r="J463" s="15" t="str">
        <f t="shared" si="22"/>
        <v>11</v>
      </c>
      <c r="K463" s="15" t="str">
        <f t="shared" si="23"/>
        <v>0111</v>
      </c>
      <c r="L463" t="s">
        <v>2073</v>
      </c>
      <c r="M463">
        <v>1</v>
      </c>
      <c r="N463">
        <v>2</v>
      </c>
      <c r="O463">
        <v>6.5</v>
      </c>
      <c r="P463">
        <v>35</v>
      </c>
    </row>
    <row r="464" spans="1:16">
      <c r="A464" t="s">
        <v>1850</v>
      </c>
      <c r="B464">
        <v>1</v>
      </c>
      <c r="C464">
        <v>2</v>
      </c>
      <c r="D464">
        <v>6.8</v>
      </c>
      <c r="E464">
        <v>39</v>
      </c>
      <c r="F464" t="s">
        <v>54</v>
      </c>
      <c r="G464" t="s">
        <v>108</v>
      </c>
      <c r="I464" s="15">
        <f t="shared" si="21"/>
        <v>1126</v>
      </c>
      <c r="J464" s="15" t="str">
        <f t="shared" si="22"/>
        <v>11</v>
      </c>
      <c r="K464" s="15" t="str">
        <f t="shared" si="23"/>
        <v>0111</v>
      </c>
      <c r="L464" t="s">
        <v>2073</v>
      </c>
      <c r="M464">
        <v>1</v>
      </c>
      <c r="N464">
        <v>2</v>
      </c>
      <c r="O464">
        <v>6.8</v>
      </c>
      <c r="P464">
        <v>39</v>
      </c>
    </row>
    <row r="465" spans="1:16">
      <c r="A465" t="s">
        <v>1916</v>
      </c>
      <c r="B465">
        <v>0</v>
      </c>
      <c r="C465">
        <v>2</v>
      </c>
      <c r="D465">
        <v>6.9</v>
      </c>
      <c r="E465">
        <v>10</v>
      </c>
      <c r="F465" t="s">
        <v>54</v>
      </c>
      <c r="G465" t="s">
        <v>1752</v>
      </c>
      <c r="I465" s="15">
        <f t="shared" si="21"/>
        <v>1202</v>
      </c>
      <c r="J465" s="15" t="str">
        <f t="shared" si="22"/>
        <v>12</v>
      </c>
      <c r="K465" s="15" t="str">
        <f t="shared" si="23"/>
        <v>0112</v>
      </c>
      <c r="L465" t="s">
        <v>2074</v>
      </c>
      <c r="M465">
        <v>0</v>
      </c>
      <c r="N465">
        <v>2</v>
      </c>
      <c r="O465">
        <v>6.9</v>
      </c>
      <c r="P465">
        <v>10</v>
      </c>
    </row>
    <row r="466" spans="1:16">
      <c r="A466" t="s">
        <v>1967</v>
      </c>
      <c r="B466">
        <v>1</v>
      </c>
      <c r="C466">
        <v>5</v>
      </c>
      <c r="D466">
        <v>7.6</v>
      </c>
      <c r="E466">
        <v>22.56</v>
      </c>
      <c r="F466" t="s">
        <v>25</v>
      </c>
      <c r="G466" t="s">
        <v>26</v>
      </c>
      <c r="I466" s="15">
        <f t="shared" si="21"/>
        <v>1204</v>
      </c>
      <c r="J466" s="15" t="str">
        <f t="shared" si="22"/>
        <v>12</v>
      </c>
      <c r="K466" s="15" t="str">
        <f t="shared" si="23"/>
        <v>0112</v>
      </c>
      <c r="L466" t="s">
        <v>2074</v>
      </c>
      <c r="M466">
        <v>1</v>
      </c>
      <c r="N466">
        <v>5</v>
      </c>
      <c r="O466">
        <v>7.6</v>
      </c>
      <c r="P466">
        <v>22.56</v>
      </c>
    </row>
    <row r="467" spans="1:16">
      <c r="A467" t="s">
        <v>1984</v>
      </c>
      <c r="B467">
        <v>1</v>
      </c>
      <c r="C467">
        <v>5</v>
      </c>
      <c r="D467">
        <v>6.8</v>
      </c>
      <c r="E467">
        <v>44</v>
      </c>
      <c r="F467" t="s">
        <v>25</v>
      </c>
      <c r="G467" t="s">
        <v>64</v>
      </c>
      <c r="I467" s="15">
        <f t="shared" si="21"/>
        <v>105</v>
      </c>
      <c r="J467" s="15" t="str">
        <f t="shared" si="22"/>
        <v>01</v>
      </c>
      <c r="K467" s="15" t="str">
        <f t="shared" si="23"/>
        <v>0101</v>
      </c>
      <c r="L467" t="s">
        <v>2064</v>
      </c>
      <c r="M467">
        <v>1</v>
      </c>
      <c r="N467">
        <v>5</v>
      </c>
      <c r="O467">
        <v>6.8</v>
      </c>
      <c r="P467">
        <v>44</v>
      </c>
    </row>
    <row r="468" spans="1:16">
      <c r="A468" t="s">
        <v>1996</v>
      </c>
      <c r="B468">
        <v>1</v>
      </c>
      <c r="C468">
        <v>5</v>
      </c>
      <c r="D468">
        <v>6.8</v>
      </c>
      <c r="E468">
        <v>219.96</v>
      </c>
      <c r="F468" t="s">
        <v>25</v>
      </c>
      <c r="G468" t="s">
        <v>163</v>
      </c>
      <c r="I468" s="15">
        <f t="shared" si="21"/>
        <v>123</v>
      </c>
      <c r="J468" s="15" t="str">
        <f t="shared" si="22"/>
        <v>01</v>
      </c>
      <c r="K468" s="15" t="str">
        <f t="shared" si="23"/>
        <v>0101</v>
      </c>
      <c r="L468" t="s">
        <v>2064</v>
      </c>
      <c r="M468">
        <v>1</v>
      </c>
      <c r="N468">
        <v>5</v>
      </c>
      <c r="O468">
        <v>6.8</v>
      </c>
      <c r="P468">
        <v>219.96</v>
      </c>
    </row>
    <row r="469" spans="1:16">
      <c r="A469" t="s">
        <v>1997</v>
      </c>
      <c r="B469">
        <v>1</v>
      </c>
      <c r="C469">
        <v>2</v>
      </c>
      <c r="D469">
        <v>6.7</v>
      </c>
      <c r="E469">
        <v>23</v>
      </c>
      <c r="F469" t="s">
        <v>54</v>
      </c>
      <c r="G469" t="s">
        <v>200</v>
      </c>
      <c r="I469" s="15">
        <f t="shared" si="21"/>
        <v>216</v>
      </c>
      <c r="J469" s="15" t="str">
        <f t="shared" si="22"/>
        <v>02</v>
      </c>
      <c r="K469" s="15" t="str">
        <f t="shared" si="23"/>
        <v>0102</v>
      </c>
      <c r="L469" t="s">
        <v>2065</v>
      </c>
      <c r="M469">
        <v>1</v>
      </c>
      <c r="N469">
        <v>2</v>
      </c>
      <c r="O469">
        <v>6.7</v>
      </c>
      <c r="P469">
        <v>23</v>
      </c>
    </row>
    <row r="470" spans="1:16">
      <c r="A470" t="s">
        <v>1929</v>
      </c>
      <c r="B470">
        <v>0</v>
      </c>
      <c r="C470">
        <v>2</v>
      </c>
      <c r="D470">
        <v>7</v>
      </c>
      <c r="E470">
        <v>552.05999999999995</v>
      </c>
      <c r="F470" t="s">
        <v>54</v>
      </c>
      <c r="G470" t="s">
        <v>108</v>
      </c>
      <c r="I470" s="15">
        <f t="shared" si="21"/>
        <v>227</v>
      </c>
      <c r="J470" s="15" t="str">
        <f t="shared" si="22"/>
        <v>02</v>
      </c>
      <c r="K470" s="15" t="str">
        <f t="shared" si="23"/>
        <v>0102</v>
      </c>
      <c r="L470" t="s">
        <v>2065</v>
      </c>
      <c r="M470">
        <v>0</v>
      </c>
      <c r="N470">
        <v>2</v>
      </c>
      <c r="O470">
        <v>7</v>
      </c>
      <c r="P470">
        <v>552.05999999999995</v>
      </c>
    </row>
    <row r="471" spans="1:16">
      <c r="A471" t="s">
        <v>1998</v>
      </c>
      <c r="B471">
        <v>1</v>
      </c>
      <c r="C471">
        <v>5</v>
      </c>
      <c r="D471">
        <v>7.5</v>
      </c>
      <c r="E471">
        <v>41</v>
      </c>
      <c r="F471" t="s">
        <v>25</v>
      </c>
      <c r="G471" t="s">
        <v>64</v>
      </c>
      <c r="I471" s="15">
        <f t="shared" si="21"/>
        <v>329</v>
      </c>
      <c r="J471" s="15" t="str">
        <f t="shared" si="22"/>
        <v>03</v>
      </c>
      <c r="K471" s="15" t="str">
        <f t="shared" si="23"/>
        <v>0103</v>
      </c>
      <c r="L471" t="s">
        <v>2066</v>
      </c>
      <c r="M471">
        <v>1</v>
      </c>
      <c r="N471">
        <v>5</v>
      </c>
      <c r="O471">
        <v>7.5</v>
      </c>
      <c r="P471">
        <v>41</v>
      </c>
    </row>
    <row r="472" spans="1:16">
      <c r="A472" t="s">
        <v>1932</v>
      </c>
      <c r="B472">
        <v>1</v>
      </c>
      <c r="C472">
        <v>5</v>
      </c>
      <c r="D472">
        <v>6.5</v>
      </c>
      <c r="E472">
        <v>11</v>
      </c>
      <c r="F472" t="s">
        <v>25</v>
      </c>
      <c r="G472" t="s">
        <v>1022</v>
      </c>
      <c r="I472" s="15">
        <f t="shared" si="21"/>
        <v>330</v>
      </c>
      <c r="J472" s="15" t="str">
        <f t="shared" si="22"/>
        <v>03</v>
      </c>
      <c r="K472" s="15" t="str">
        <f t="shared" si="23"/>
        <v>0103</v>
      </c>
      <c r="L472" t="s">
        <v>2066</v>
      </c>
      <c r="M472">
        <v>1</v>
      </c>
      <c r="N472">
        <v>5</v>
      </c>
      <c r="O472">
        <v>6.5</v>
      </c>
      <c r="P472">
        <v>11</v>
      </c>
    </row>
    <row r="473" spans="1:16">
      <c r="A473" t="s">
        <v>1999</v>
      </c>
      <c r="B473">
        <v>0</v>
      </c>
      <c r="C473">
        <v>2</v>
      </c>
      <c r="D473">
        <v>6.5</v>
      </c>
      <c r="E473">
        <v>20</v>
      </c>
      <c r="F473" t="s">
        <v>54</v>
      </c>
      <c r="G473" t="s">
        <v>108</v>
      </c>
      <c r="I473" s="15">
        <f t="shared" si="21"/>
        <v>411</v>
      </c>
      <c r="J473" s="15" t="str">
        <f t="shared" si="22"/>
        <v>04</v>
      </c>
      <c r="K473" s="15" t="str">
        <f t="shared" si="23"/>
        <v>0104</v>
      </c>
      <c r="L473" t="s">
        <v>2067</v>
      </c>
      <c r="M473">
        <v>0</v>
      </c>
      <c r="N473">
        <v>2</v>
      </c>
      <c r="O473">
        <v>6.5</v>
      </c>
      <c r="P473">
        <v>20</v>
      </c>
    </row>
    <row r="474" spans="1:16">
      <c r="A474" t="s">
        <v>1959</v>
      </c>
      <c r="B474">
        <v>1</v>
      </c>
      <c r="C474">
        <v>5</v>
      </c>
      <c r="D474">
        <v>6.5</v>
      </c>
      <c r="E474">
        <v>10</v>
      </c>
      <c r="F474" t="s">
        <v>25</v>
      </c>
      <c r="G474" t="s">
        <v>1750</v>
      </c>
      <c r="I474" s="15">
        <f t="shared" si="21"/>
        <v>417</v>
      </c>
      <c r="J474" s="15" t="str">
        <f t="shared" si="22"/>
        <v>04</v>
      </c>
      <c r="K474" s="15" t="str">
        <f t="shared" si="23"/>
        <v>0104</v>
      </c>
      <c r="L474" t="s">
        <v>2067</v>
      </c>
      <c r="M474">
        <v>1</v>
      </c>
      <c r="N474">
        <v>5</v>
      </c>
      <c r="O474">
        <v>6.5</v>
      </c>
      <c r="P474">
        <v>10</v>
      </c>
    </row>
    <row r="475" spans="1:16">
      <c r="A475" t="s">
        <v>2000</v>
      </c>
      <c r="B475">
        <v>0</v>
      </c>
      <c r="C475">
        <v>2</v>
      </c>
      <c r="D475">
        <v>7.8</v>
      </c>
      <c r="E475">
        <v>8.2200000000000006</v>
      </c>
      <c r="F475" t="s">
        <v>54</v>
      </c>
      <c r="G475" t="s">
        <v>756</v>
      </c>
      <c r="I475" s="15">
        <f t="shared" si="21"/>
        <v>425</v>
      </c>
      <c r="J475" s="15" t="str">
        <f t="shared" si="22"/>
        <v>04</v>
      </c>
      <c r="K475" s="15" t="str">
        <f t="shared" si="23"/>
        <v>0104</v>
      </c>
      <c r="L475" t="s">
        <v>2067</v>
      </c>
      <c r="M475">
        <v>0</v>
      </c>
      <c r="N475">
        <v>2</v>
      </c>
      <c r="O475">
        <v>7.8</v>
      </c>
      <c r="P475">
        <v>8.2200000000000006</v>
      </c>
    </row>
    <row r="476" spans="1:16">
      <c r="A476" t="s">
        <v>2000</v>
      </c>
      <c r="B476">
        <v>0</v>
      </c>
      <c r="C476">
        <v>2</v>
      </c>
      <c r="D476">
        <v>6.6</v>
      </c>
      <c r="E476">
        <v>10</v>
      </c>
      <c r="F476" t="s">
        <v>54</v>
      </c>
      <c r="G476" t="s">
        <v>756</v>
      </c>
      <c r="I476" s="15">
        <f t="shared" si="21"/>
        <v>425</v>
      </c>
      <c r="J476" s="15" t="str">
        <f t="shared" si="22"/>
        <v>04</v>
      </c>
      <c r="K476" s="15" t="str">
        <f t="shared" si="23"/>
        <v>0104</v>
      </c>
      <c r="L476" t="s">
        <v>2067</v>
      </c>
      <c r="M476">
        <v>0</v>
      </c>
      <c r="N476">
        <v>2</v>
      </c>
      <c r="O476">
        <v>6.6</v>
      </c>
      <c r="P476">
        <v>10</v>
      </c>
    </row>
    <row r="477" spans="1:16">
      <c r="A477" t="s">
        <v>1793</v>
      </c>
      <c r="B477">
        <v>0</v>
      </c>
      <c r="C477">
        <v>2</v>
      </c>
      <c r="D477">
        <v>6.7</v>
      </c>
      <c r="E477">
        <v>22.91</v>
      </c>
      <c r="F477" t="s">
        <v>54</v>
      </c>
      <c r="G477" t="s">
        <v>756</v>
      </c>
      <c r="I477" s="15">
        <f t="shared" si="21"/>
        <v>426</v>
      </c>
      <c r="J477" s="15" t="str">
        <f t="shared" si="22"/>
        <v>04</v>
      </c>
      <c r="K477" s="15" t="str">
        <f t="shared" si="23"/>
        <v>0104</v>
      </c>
      <c r="L477" t="s">
        <v>2067</v>
      </c>
      <c r="M477">
        <v>0</v>
      </c>
      <c r="N477">
        <v>2</v>
      </c>
      <c r="O477">
        <v>6.7</v>
      </c>
      <c r="P477">
        <v>22.91</v>
      </c>
    </row>
    <row r="478" spans="1:16">
      <c r="A478" t="s">
        <v>1878</v>
      </c>
      <c r="B478">
        <v>1</v>
      </c>
      <c r="C478">
        <v>5</v>
      </c>
      <c r="D478">
        <v>6.7</v>
      </c>
      <c r="E478">
        <v>31</v>
      </c>
      <c r="F478" t="s">
        <v>25</v>
      </c>
      <c r="G478" t="s">
        <v>64</v>
      </c>
      <c r="I478" s="15">
        <f t="shared" si="21"/>
        <v>430</v>
      </c>
      <c r="J478" s="15" t="str">
        <f t="shared" si="22"/>
        <v>04</v>
      </c>
      <c r="K478" s="15" t="str">
        <f t="shared" si="23"/>
        <v>0104</v>
      </c>
      <c r="L478" t="s">
        <v>2067</v>
      </c>
      <c r="M478">
        <v>1</v>
      </c>
      <c r="N478">
        <v>5</v>
      </c>
      <c r="O478">
        <v>6.7</v>
      </c>
      <c r="P478">
        <v>31</v>
      </c>
    </row>
    <row r="479" spans="1:16">
      <c r="A479" t="s">
        <v>2001</v>
      </c>
      <c r="B479">
        <v>1</v>
      </c>
      <c r="C479">
        <v>5</v>
      </c>
      <c r="D479">
        <v>7.5</v>
      </c>
      <c r="E479">
        <v>55</v>
      </c>
      <c r="F479" t="s">
        <v>25</v>
      </c>
      <c r="G479" t="s">
        <v>64</v>
      </c>
      <c r="I479" s="15">
        <f t="shared" si="21"/>
        <v>505</v>
      </c>
      <c r="J479" s="15" t="str">
        <f t="shared" si="22"/>
        <v>05</v>
      </c>
      <c r="K479" s="15" t="str">
        <f t="shared" si="23"/>
        <v>0105</v>
      </c>
      <c r="L479" t="s">
        <v>2068</v>
      </c>
      <c r="M479">
        <v>1</v>
      </c>
      <c r="N479">
        <v>5</v>
      </c>
      <c r="O479">
        <v>7.5</v>
      </c>
      <c r="P479">
        <v>55</v>
      </c>
    </row>
    <row r="480" spans="1:16">
      <c r="A480" t="s">
        <v>2002</v>
      </c>
      <c r="B480">
        <v>1</v>
      </c>
      <c r="C480">
        <v>5</v>
      </c>
      <c r="D480">
        <v>6.8</v>
      </c>
      <c r="E480">
        <v>11</v>
      </c>
      <c r="F480" t="s">
        <v>25</v>
      </c>
      <c r="G480" t="s">
        <v>26</v>
      </c>
      <c r="I480" s="15">
        <f t="shared" si="21"/>
        <v>520</v>
      </c>
      <c r="J480" s="15" t="str">
        <f t="shared" si="22"/>
        <v>05</v>
      </c>
      <c r="K480" s="15" t="str">
        <f t="shared" si="23"/>
        <v>0105</v>
      </c>
      <c r="L480" t="s">
        <v>2068</v>
      </c>
      <c r="M480">
        <v>1</v>
      </c>
      <c r="N480">
        <v>5</v>
      </c>
      <c r="O480">
        <v>6.8</v>
      </c>
      <c r="P480">
        <v>11</v>
      </c>
    </row>
    <row r="481" spans="1:16">
      <c r="A481" t="s">
        <v>1880</v>
      </c>
      <c r="B481">
        <v>1</v>
      </c>
      <c r="C481">
        <v>5</v>
      </c>
      <c r="D481">
        <v>6.9</v>
      </c>
      <c r="E481">
        <v>11.19</v>
      </c>
      <c r="F481" t="s">
        <v>25</v>
      </c>
      <c r="G481" t="s">
        <v>26</v>
      </c>
      <c r="I481" s="15">
        <f t="shared" si="21"/>
        <v>522</v>
      </c>
      <c r="J481" s="15" t="str">
        <f t="shared" si="22"/>
        <v>05</v>
      </c>
      <c r="K481" s="15" t="str">
        <f t="shared" si="23"/>
        <v>0105</v>
      </c>
      <c r="L481" t="s">
        <v>2068</v>
      </c>
      <c r="M481">
        <v>1</v>
      </c>
      <c r="N481">
        <v>5</v>
      </c>
      <c r="O481">
        <v>6.9</v>
      </c>
      <c r="P481">
        <v>11.19</v>
      </c>
    </row>
    <row r="482" spans="1:16">
      <c r="A482" t="s">
        <v>1880</v>
      </c>
      <c r="B482">
        <v>1</v>
      </c>
      <c r="C482">
        <v>5</v>
      </c>
      <c r="D482">
        <v>6.8</v>
      </c>
      <c r="E482">
        <v>10</v>
      </c>
      <c r="F482" t="s">
        <v>25</v>
      </c>
      <c r="G482" t="s">
        <v>26</v>
      </c>
      <c r="I482" s="15">
        <f t="shared" si="21"/>
        <v>522</v>
      </c>
      <c r="J482" s="15" t="str">
        <f t="shared" si="22"/>
        <v>05</v>
      </c>
      <c r="K482" s="15" t="str">
        <f t="shared" si="23"/>
        <v>0105</v>
      </c>
      <c r="L482" t="s">
        <v>2068</v>
      </c>
      <c r="M482">
        <v>1</v>
      </c>
      <c r="N482">
        <v>5</v>
      </c>
      <c r="O482">
        <v>6.8</v>
      </c>
      <c r="P482">
        <v>10</v>
      </c>
    </row>
    <row r="483" spans="1:16">
      <c r="A483" t="s">
        <v>2003</v>
      </c>
      <c r="B483">
        <v>1</v>
      </c>
      <c r="C483">
        <v>4</v>
      </c>
      <c r="D483">
        <v>6.8</v>
      </c>
      <c r="E483">
        <v>72.599999999999994</v>
      </c>
      <c r="F483" t="s">
        <v>47</v>
      </c>
      <c r="G483" t="s">
        <v>1754</v>
      </c>
      <c r="I483" s="15">
        <f t="shared" si="21"/>
        <v>529</v>
      </c>
      <c r="J483" s="15" t="str">
        <f t="shared" si="22"/>
        <v>05</v>
      </c>
      <c r="K483" s="15" t="str">
        <f t="shared" si="23"/>
        <v>0105</v>
      </c>
      <c r="L483" t="s">
        <v>2068</v>
      </c>
      <c r="M483">
        <v>1</v>
      </c>
      <c r="N483">
        <v>4</v>
      </c>
      <c r="O483">
        <v>6.8</v>
      </c>
      <c r="P483">
        <v>72.599999999999994</v>
      </c>
    </row>
    <row r="484" spans="1:16">
      <c r="A484" t="s">
        <v>2004</v>
      </c>
      <c r="B484">
        <v>1</v>
      </c>
      <c r="C484">
        <v>2</v>
      </c>
      <c r="D484">
        <v>7.8</v>
      </c>
      <c r="E484">
        <v>664</v>
      </c>
      <c r="F484" t="s">
        <v>54</v>
      </c>
      <c r="G484" t="s">
        <v>200</v>
      </c>
      <c r="I484" s="15">
        <f t="shared" si="21"/>
        <v>530</v>
      </c>
      <c r="J484" s="15" t="str">
        <f t="shared" si="22"/>
        <v>05</v>
      </c>
      <c r="K484" s="15" t="str">
        <f t="shared" si="23"/>
        <v>0105</v>
      </c>
      <c r="L484" t="s">
        <v>2068</v>
      </c>
      <c r="M484">
        <v>1</v>
      </c>
      <c r="N484">
        <v>2</v>
      </c>
      <c r="O484">
        <v>7.8</v>
      </c>
      <c r="P484">
        <v>664</v>
      </c>
    </row>
    <row r="485" spans="1:16">
      <c r="A485" t="s">
        <v>1770</v>
      </c>
      <c r="B485">
        <v>0</v>
      </c>
      <c r="C485">
        <v>2</v>
      </c>
      <c r="D485">
        <v>6.5</v>
      </c>
      <c r="E485">
        <v>460</v>
      </c>
      <c r="F485" t="s">
        <v>54</v>
      </c>
      <c r="G485" t="s">
        <v>200</v>
      </c>
      <c r="I485" s="15">
        <f t="shared" ref="I485:I548" si="24">TRUNC(A485,6)</f>
        <v>623</v>
      </c>
      <c r="J485" s="15" t="str">
        <f t="shared" si="22"/>
        <v>06</v>
      </c>
      <c r="K485" s="15" t="str">
        <f t="shared" si="23"/>
        <v>0106</v>
      </c>
      <c r="L485" t="s">
        <v>2069</v>
      </c>
      <c r="M485">
        <v>0</v>
      </c>
      <c r="N485">
        <v>2</v>
      </c>
      <c r="O485">
        <v>6.5</v>
      </c>
      <c r="P485">
        <v>460</v>
      </c>
    </row>
    <row r="486" spans="1:16">
      <c r="A486" t="s">
        <v>2005</v>
      </c>
      <c r="B486">
        <v>1</v>
      </c>
      <c r="C486">
        <v>4</v>
      </c>
      <c r="D486">
        <v>6.5</v>
      </c>
      <c r="E486">
        <v>8</v>
      </c>
      <c r="F486" t="s">
        <v>47</v>
      </c>
      <c r="G486" t="s">
        <v>42</v>
      </c>
      <c r="I486" s="15">
        <f t="shared" si="24"/>
        <v>701</v>
      </c>
      <c r="J486" s="15" t="str">
        <f t="shared" si="22"/>
        <v>07</v>
      </c>
      <c r="K486" s="15" t="str">
        <f t="shared" si="23"/>
        <v>0107</v>
      </c>
      <c r="L486" t="s">
        <v>2070</v>
      </c>
      <c r="M486">
        <v>1</v>
      </c>
      <c r="N486">
        <v>4</v>
      </c>
      <c r="O486">
        <v>6.5</v>
      </c>
      <c r="P486">
        <v>8</v>
      </c>
    </row>
    <row r="487" spans="1:16">
      <c r="A487" t="s">
        <v>1911</v>
      </c>
      <c r="B487">
        <v>1</v>
      </c>
      <c r="C487">
        <v>5</v>
      </c>
      <c r="D487">
        <v>7.1</v>
      </c>
      <c r="E487">
        <v>10</v>
      </c>
      <c r="F487" t="s">
        <v>25</v>
      </c>
      <c r="G487" t="s">
        <v>64</v>
      </c>
      <c r="I487" s="15">
        <f t="shared" si="24"/>
        <v>705</v>
      </c>
      <c r="J487" s="15" t="str">
        <f t="shared" si="22"/>
        <v>07</v>
      </c>
      <c r="K487" s="15" t="str">
        <f t="shared" si="23"/>
        <v>0107</v>
      </c>
      <c r="L487" t="s">
        <v>2070</v>
      </c>
      <c r="M487">
        <v>1</v>
      </c>
      <c r="N487">
        <v>5</v>
      </c>
      <c r="O487">
        <v>7.1</v>
      </c>
      <c r="P487">
        <v>10</v>
      </c>
    </row>
    <row r="488" spans="1:16">
      <c r="A488" t="s">
        <v>1884</v>
      </c>
      <c r="B488">
        <v>1</v>
      </c>
      <c r="C488">
        <v>6</v>
      </c>
      <c r="D488">
        <v>6.8</v>
      </c>
      <c r="E488">
        <v>46</v>
      </c>
      <c r="F488" t="s">
        <v>78</v>
      </c>
      <c r="G488" t="s">
        <v>245</v>
      </c>
      <c r="I488" s="15">
        <f t="shared" si="24"/>
        <v>711</v>
      </c>
      <c r="J488" s="15" t="str">
        <f t="shared" si="22"/>
        <v>07</v>
      </c>
      <c r="K488" s="15" t="str">
        <f t="shared" si="23"/>
        <v>0107</v>
      </c>
      <c r="L488" t="s">
        <v>2070</v>
      </c>
      <c r="M488">
        <v>1</v>
      </c>
      <c r="N488">
        <v>6</v>
      </c>
      <c r="O488">
        <v>6.8</v>
      </c>
      <c r="P488">
        <v>46</v>
      </c>
    </row>
    <row r="489" spans="1:16">
      <c r="A489" t="s">
        <v>1963</v>
      </c>
      <c r="B489">
        <v>0</v>
      </c>
      <c r="C489">
        <v>2</v>
      </c>
      <c r="D489">
        <v>7.2</v>
      </c>
      <c r="E489">
        <v>22</v>
      </c>
      <c r="F489" t="s">
        <v>54</v>
      </c>
      <c r="G489" t="s">
        <v>678</v>
      </c>
      <c r="I489" s="15">
        <f t="shared" si="24"/>
        <v>712</v>
      </c>
      <c r="J489" s="15" t="str">
        <f t="shared" si="22"/>
        <v>07</v>
      </c>
      <c r="K489" s="15" t="str">
        <f t="shared" si="23"/>
        <v>0107</v>
      </c>
      <c r="L489" t="s">
        <v>2070</v>
      </c>
      <c r="M489">
        <v>0</v>
      </c>
      <c r="N489">
        <v>2</v>
      </c>
      <c r="O489">
        <v>7.2</v>
      </c>
      <c r="P489">
        <v>22</v>
      </c>
    </row>
    <row r="490" spans="1:16">
      <c r="A490" t="s">
        <v>1895</v>
      </c>
      <c r="B490">
        <v>1</v>
      </c>
      <c r="C490">
        <v>4</v>
      </c>
      <c r="D490">
        <v>6.5</v>
      </c>
      <c r="E490">
        <v>20</v>
      </c>
      <c r="F490" t="s">
        <v>47</v>
      </c>
      <c r="G490" t="s">
        <v>1743</v>
      </c>
      <c r="I490" s="15">
        <f t="shared" si="24"/>
        <v>716</v>
      </c>
      <c r="J490" s="15" t="str">
        <f t="shared" si="22"/>
        <v>07</v>
      </c>
      <c r="K490" s="15" t="str">
        <f t="shared" si="23"/>
        <v>0107</v>
      </c>
      <c r="L490" t="s">
        <v>2070</v>
      </c>
      <c r="M490">
        <v>1</v>
      </c>
      <c r="N490">
        <v>4</v>
      </c>
      <c r="O490">
        <v>6.5</v>
      </c>
      <c r="P490">
        <v>20</v>
      </c>
    </row>
    <row r="491" spans="1:16">
      <c r="A491" t="s">
        <v>1940</v>
      </c>
      <c r="B491">
        <v>1</v>
      </c>
      <c r="C491">
        <v>5</v>
      </c>
      <c r="D491">
        <v>7</v>
      </c>
      <c r="E491">
        <v>11</v>
      </c>
      <c r="F491" t="s">
        <v>25</v>
      </c>
      <c r="G491" t="s">
        <v>26</v>
      </c>
      <c r="I491" s="15">
        <f t="shared" si="24"/>
        <v>718</v>
      </c>
      <c r="J491" s="15" t="str">
        <f t="shared" si="22"/>
        <v>07</v>
      </c>
      <c r="K491" s="15" t="str">
        <f t="shared" si="23"/>
        <v>0107</v>
      </c>
      <c r="L491" t="s">
        <v>2070</v>
      </c>
      <c r="M491">
        <v>1</v>
      </c>
      <c r="N491">
        <v>5</v>
      </c>
      <c r="O491">
        <v>7</v>
      </c>
      <c r="P491">
        <v>11</v>
      </c>
    </row>
    <row r="492" spans="1:16">
      <c r="A492" t="s">
        <v>2006</v>
      </c>
      <c r="B492">
        <v>1</v>
      </c>
      <c r="C492">
        <v>2</v>
      </c>
      <c r="D492">
        <v>7</v>
      </c>
      <c r="E492">
        <v>48</v>
      </c>
      <c r="F492" t="s">
        <v>54</v>
      </c>
      <c r="G492" t="s">
        <v>108</v>
      </c>
      <c r="I492" s="15">
        <f t="shared" si="24"/>
        <v>727</v>
      </c>
      <c r="J492" s="15" t="str">
        <f t="shared" si="22"/>
        <v>07</v>
      </c>
      <c r="K492" s="15" t="str">
        <f t="shared" si="23"/>
        <v>0107</v>
      </c>
      <c r="L492" t="s">
        <v>2070</v>
      </c>
      <c r="M492">
        <v>1</v>
      </c>
      <c r="N492">
        <v>2</v>
      </c>
      <c r="O492">
        <v>7</v>
      </c>
      <c r="P492">
        <v>48</v>
      </c>
    </row>
    <row r="493" spans="1:16">
      <c r="A493" t="s">
        <v>2006</v>
      </c>
      <c r="B493">
        <v>1</v>
      </c>
      <c r="C493">
        <v>4</v>
      </c>
      <c r="D493">
        <v>6.9</v>
      </c>
      <c r="E493">
        <v>29</v>
      </c>
      <c r="F493" t="s">
        <v>47</v>
      </c>
      <c r="G493" t="s">
        <v>1754</v>
      </c>
      <c r="I493" s="15">
        <f t="shared" si="24"/>
        <v>727</v>
      </c>
      <c r="J493" s="15" t="str">
        <f t="shared" si="22"/>
        <v>07</v>
      </c>
      <c r="K493" s="15" t="str">
        <f t="shared" si="23"/>
        <v>0107</v>
      </c>
      <c r="L493" t="s">
        <v>2070</v>
      </c>
      <c r="M493">
        <v>1</v>
      </c>
      <c r="N493">
        <v>4</v>
      </c>
      <c r="O493">
        <v>6.9</v>
      </c>
      <c r="P493">
        <v>29</v>
      </c>
    </row>
    <row r="494" spans="1:16">
      <c r="A494" t="s">
        <v>1920</v>
      </c>
      <c r="B494">
        <v>0</v>
      </c>
      <c r="C494">
        <v>2</v>
      </c>
      <c r="D494">
        <v>6.6</v>
      </c>
      <c r="E494">
        <v>10</v>
      </c>
      <c r="F494" t="s">
        <v>54</v>
      </c>
      <c r="G494" t="s">
        <v>671</v>
      </c>
      <c r="I494" s="15">
        <f t="shared" si="24"/>
        <v>811</v>
      </c>
      <c r="J494" s="15" t="str">
        <f t="shared" si="22"/>
        <v>08</v>
      </c>
      <c r="K494" s="15" t="str">
        <f t="shared" si="23"/>
        <v>0108</v>
      </c>
      <c r="L494" t="s">
        <v>2075</v>
      </c>
      <c r="M494">
        <v>0</v>
      </c>
      <c r="N494">
        <v>2</v>
      </c>
      <c r="O494">
        <v>6.6</v>
      </c>
      <c r="P494">
        <v>10</v>
      </c>
    </row>
    <row r="495" spans="1:16">
      <c r="A495" t="s">
        <v>2007</v>
      </c>
      <c r="B495">
        <v>0</v>
      </c>
      <c r="C495">
        <v>2</v>
      </c>
      <c r="D495">
        <v>6.9</v>
      </c>
      <c r="E495">
        <v>21</v>
      </c>
      <c r="F495" t="s">
        <v>54</v>
      </c>
      <c r="G495" t="s">
        <v>108</v>
      </c>
      <c r="I495" s="15">
        <f t="shared" si="24"/>
        <v>912</v>
      </c>
      <c r="J495" s="15" t="str">
        <f t="shared" si="22"/>
        <v>09</v>
      </c>
      <c r="K495" s="15" t="str">
        <f t="shared" si="23"/>
        <v>0109</v>
      </c>
      <c r="L495" t="s">
        <v>2071</v>
      </c>
      <c r="M495">
        <v>0</v>
      </c>
      <c r="N495">
        <v>2</v>
      </c>
      <c r="O495">
        <v>6.9</v>
      </c>
      <c r="P495">
        <v>21</v>
      </c>
    </row>
    <row r="496" spans="1:16">
      <c r="A496" t="s">
        <v>1802</v>
      </c>
      <c r="B496">
        <v>1</v>
      </c>
      <c r="C496">
        <v>4</v>
      </c>
      <c r="D496">
        <v>6.7</v>
      </c>
      <c r="E496">
        <v>10</v>
      </c>
      <c r="F496" t="s">
        <v>47</v>
      </c>
      <c r="G496" t="s">
        <v>48</v>
      </c>
      <c r="I496" s="15">
        <f t="shared" si="24"/>
        <v>913</v>
      </c>
      <c r="J496" s="15" t="str">
        <f t="shared" si="22"/>
        <v>09</v>
      </c>
      <c r="K496" s="15" t="str">
        <f t="shared" si="23"/>
        <v>0109</v>
      </c>
      <c r="L496" t="s">
        <v>2071</v>
      </c>
      <c r="M496">
        <v>1</v>
      </c>
      <c r="N496">
        <v>4</v>
      </c>
      <c r="O496">
        <v>6.7</v>
      </c>
      <c r="P496">
        <v>10</v>
      </c>
    </row>
    <row r="497" spans="1:16">
      <c r="A497" t="s">
        <v>1951</v>
      </c>
      <c r="B497">
        <v>1</v>
      </c>
      <c r="C497">
        <v>6</v>
      </c>
      <c r="D497">
        <v>8.3000000000000007</v>
      </c>
      <c r="E497">
        <v>22.44</v>
      </c>
      <c r="F497" t="s">
        <v>78</v>
      </c>
      <c r="G497" t="s">
        <v>245</v>
      </c>
      <c r="I497" s="15">
        <f t="shared" si="24"/>
        <v>916</v>
      </c>
      <c r="J497" s="15" t="str">
        <f t="shared" si="22"/>
        <v>09</v>
      </c>
      <c r="K497" s="15" t="str">
        <f t="shared" si="23"/>
        <v>0109</v>
      </c>
      <c r="L497" t="s">
        <v>2071</v>
      </c>
      <c r="M497">
        <v>1</v>
      </c>
      <c r="N497">
        <v>6</v>
      </c>
      <c r="O497">
        <v>8.3000000000000007</v>
      </c>
      <c r="P497">
        <v>22.44</v>
      </c>
    </row>
    <row r="498" spans="1:16">
      <c r="A498" t="s">
        <v>1951</v>
      </c>
      <c r="B498">
        <v>0</v>
      </c>
      <c r="C498">
        <v>6</v>
      </c>
      <c r="D498">
        <v>7</v>
      </c>
      <c r="E498">
        <v>28.41</v>
      </c>
      <c r="F498" t="s">
        <v>78</v>
      </c>
      <c r="G498" t="s">
        <v>245</v>
      </c>
      <c r="I498" s="15">
        <f t="shared" si="24"/>
        <v>916</v>
      </c>
      <c r="J498" s="15" t="str">
        <f t="shared" si="22"/>
        <v>09</v>
      </c>
      <c r="K498" s="15" t="str">
        <f t="shared" si="23"/>
        <v>0109</v>
      </c>
      <c r="L498" t="s">
        <v>2071</v>
      </c>
      <c r="M498">
        <v>0</v>
      </c>
      <c r="N498">
        <v>6</v>
      </c>
      <c r="O498">
        <v>7</v>
      </c>
      <c r="P498">
        <v>28.41</v>
      </c>
    </row>
    <row r="499" spans="1:16">
      <c r="A499" t="s">
        <v>1993</v>
      </c>
      <c r="B499">
        <v>0</v>
      </c>
      <c r="C499">
        <v>6</v>
      </c>
      <c r="D499">
        <v>6.5</v>
      </c>
      <c r="E499">
        <v>27</v>
      </c>
      <c r="F499" t="s">
        <v>78</v>
      </c>
      <c r="G499" t="s">
        <v>245</v>
      </c>
      <c r="I499" s="15">
        <f t="shared" si="24"/>
        <v>917</v>
      </c>
      <c r="J499" s="15" t="str">
        <f t="shared" si="22"/>
        <v>09</v>
      </c>
      <c r="K499" s="15" t="str">
        <f t="shared" si="23"/>
        <v>0109</v>
      </c>
      <c r="L499" t="s">
        <v>2071</v>
      </c>
      <c r="M499">
        <v>0</v>
      </c>
      <c r="N499">
        <v>6</v>
      </c>
      <c r="O499">
        <v>6.5</v>
      </c>
      <c r="P499">
        <v>27</v>
      </c>
    </row>
    <row r="500" spans="1:16">
      <c r="A500" t="s">
        <v>1993</v>
      </c>
      <c r="B500">
        <v>0</v>
      </c>
      <c r="C500">
        <v>6</v>
      </c>
      <c r="D500">
        <v>6.7</v>
      </c>
      <c r="E500">
        <v>23</v>
      </c>
      <c r="F500" t="s">
        <v>78</v>
      </c>
      <c r="G500" t="s">
        <v>245</v>
      </c>
      <c r="I500" s="15">
        <f t="shared" si="24"/>
        <v>917</v>
      </c>
      <c r="J500" s="15" t="str">
        <f t="shared" si="22"/>
        <v>09</v>
      </c>
      <c r="K500" s="15" t="str">
        <f t="shared" si="23"/>
        <v>0109</v>
      </c>
      <c r="L500" t="s">
        <v>2071</v>
      </c>
      <c r="M500">
        <v>0</v>
      </c>
      <c r="N500">
        <v>6</v>
      </c>
      <c r="O500">
        <v>6.7</v>
      </c>
      <c r="P500">
        <v>23</v>
      </c>
    </row>
    <row r="501" spans="1:16">
      <c r="A501" t="s">
        <v>1821</v>
      </c>
      <c r="B501">
        <v>1</v>
      </c>
      <c r="C501">
        <v>6</v>
      </c>
      <c r="D501">
        <v>6.6</v>
      </c>
      <c r="E501">
        <v>35</v>
      </c>
      <c r="F501" t="s">
        <v>78</v>
      </c>
      <c r="G501" t="s">
        <v>245</v>
      </c>
      <c r="I501" s="15">
        <f t="shared" si="24"/>
        <v>921</v>
      </c>
      <c r="J501" s="15" t="str">
        <f t="shared" si="22"/>
        <v>09</v>
      </c>
      <c r="K501" s="15" t="str">
        <f t="shared" si="23"/>
        <v>0109</v>
      </c>
      <c r="L501" t="s">
        <v>2071</v>
      </c>
      <c r="M501">
        <v>1</v>
      </c>
      <c r="N501">
        <v>6</v>
      </c>
      <c r="O501">
        <v>6.6</v>
      </c>
      <c r="P501">
        <v>35</v>
      </c>
    </row>
    <row r="502" spans="1:16">
      <c r="A502" t="s">
        <v>1981</v>
      </c>
      <c r="B502">
        <v>0</v>
      </c>
      <c r="C502">
        <v>2</v>
      </c>
      <c r="D502">
        <v>6.6</v>
      </c>
      <c r="E502">
        <v>18</v>
      </c>
      <c r="F502" t="s">
        <v>54</v>
      </c>
      <c r="G502" t="s">
        <v>108</v>
      </c>
      <c r="I502" s="15">
        <f t="shared" si="24"/>
        <v>924</v>
      </c>
      <c r="J502" s="15" t="str">
        <f t="shared" si="22"/>
        <v>09</v>
      </c>
      <c r="K502" s="15" t="str">
        <f t="shared" si="23"/>
        <v>0109</v>
      </c>
      <c r="L502" t="s">
        <v>2071</v>
      </c>
      <c r="M502">
        <v>0</v>
      </c>
      <c r="N502">
        <v>2</v>
      </c>
      <c r="O502">
        <v>6.6</v>
      </c>
      <c r="P502">
        <v>18</v>
      </c>
    </row>
    <row r="503" spans="1:16">
      <c r="A503" t="s">
        <v>2008</v>
      </c>
      <c r="B503">
        <v>1</v>
      </c>
      <c r="C503">
        <v>5</v>
      </c>
      <c r="D503">
        <v>6.7</v>
      </c>
      <c r="E503">
        <v>12</v>
      </c>
      <c r="F503" t="s">
        <v>25</v>
      </c>
      <c r="G503" t="s">
        <v>26</v>
      </c>
      <c r="I503" s="15">
        <f t="shared" si="24"/>
        <v>1007</v>
      </c>
      <c r="J503" s="15" t="str">
        <f t="shared" si="22"/>
        <v>10</v>
      </c>
      <c r="K503" s="15" t="str">
        <f t="shared" si="23"/>
        <v>0110</v>
      </c>
      <c r="L503" t="s">
        <v>2072</v>
      </c>
      <c r="M503">
        <v>1</v>
      </c>
      <c r="N503">
        <v>5</v>
      </c>
      <c r="O503">
        <v>6.7</v>
      </c>
      <c r="P503">
        <v>12</v>
      </c>
    </row>
    <row r="504" spans="1:16">
      <c r="A504" t="s">
        <v>1924</v>
      </c>
      <c r="B504">
        <v>1</v>
      </c>
      <c r="C504">
        <v>5</v>
      </c>
      <c r="D504">
        <v>6.6</v>
      </c>
      <c r="E504">
        <v>22</v>
      </c>
      <c r="F504" t="s">
        <v>25</v>
      </c>
      <c r="G504" t="s">
        <v>26</v>
      </c>
      <c r="I504" s="15">
        <f t="shared" si="24"/>
        <v>1008</v>
      </c>
      <c r="J504" s="15" t="str">
        <f t="shared" si="22"/>
        <v>10</v>
      </c>
      <c r="K504" s="15" t="str">
        <f t="shared" si="23"/>
        <v>0110</v>
      </c>
      <c r="L504" t="s">
        <v>2072</v>
      </c>
      <c r="M504">
        <v>1</v>
      </c>
      <c r="N504">
        <v>5</v>
      </c>
      <c r="O504">
        <v>6.6</v>
      </c>
      <c r="P504">
        <v>22</v>
      </c>
    </row>
    <row r="505" spans="1:16">
      <c r="A505" t="s">
        <v>1890</v>
      </c>
      <c r="B505">
        <v>1</v>
      </c>
      <c r="C505">
        <v>5</v>
      </c>
      <c r="D505">
        <v>7.1</v>
      </c>
      <c r="E505">
        <v>135</v>
      </c>
      <c r="F505" t="s">
        <v>25</v>
      </c>
      <c r="G505" t="s">
        <v>163</v>
      </c>
      <c r="I505" s="15">
        <f t="shared" si="24"/>
        <v>1020</v>
      </c>
      <c r="J505" s="15" t="str">
        <f t="shared" si="22"/>
        <v>10</v>
      </c>
      <c r="K505" s="15" t="str">
        <f t="shared" si="23"/>
        <v>0110</v>
      </c>
      <c r="L505" t="s">
        <v>2072</v>
      </c>
      <c r="M505">
        <v>1</v>
      </c>
      <c r="N505">
        <v>5</v>
      </c>
      <c r="O505">
        <v>7.1</v>
      </c>
      <c r="P505">
        <v>135</v>
      </c>
    </row>
    <row r="506" spans="1:16">
      <c r="A506" t="s">
        <v>2009</v>
      </c>
      <c r="B506">
        <v>0</v>
      </c>
      <c r="C506">
        <v>2</v>
      </c>
      <c r="D506">
        <v>7.5</v>
      </c>
      <c r="E506">
        <v>231</v>
      </c>
      <c r="F506" t="s">
        <v>54</v>
      </c>
      <c r="G506" t="s">
        <v>649</v>
      </c>
      <c r="I506" s="15">
        <f t="shared" si="24"/>
        <v>1026</v>
      </c>
      <c r="J506" s="15" t="str">
        <f t="shared" si="22"/>
        <v>10</v>
      </c>
      <c r="K506" s="15" t="str">
        <f t="shared" si="23"/>
        <v>0110</v>
      </c>
      <c r="L506" t="s">
        <v>2072</v>
      </c>
      <c r="M506">
        <v>0</v>
      </c>
      <c r="N506">
        <v>2</v>
      </c>
      <c r="O506">
        <v>7.5</v>
      </c>
      <c r="P506">
        <v>231</v>
      </c>
    </row>
    <row r="507" spans="1:16">
      <c r="A507" t="s">
        <v>1926</v>
      </c>
      <c r="B507">
        <v>1</v>
      </c>
      <c r="C507">
        <v>6</v>
      </c>
      <c r="D507">
        <v>6.7</v>
      </c>
      <c r="E507">
        <v>223</v>
      </c>
      <c r="F507" t="s">
        <v>78</v>
      </c>
      <c r="G507" t="s">
        <v>88</v>
      </c>
      <c r="I507" s="15">
        <f t="shared" si="24"/>
        <v>1102</v>
      </c>
      <c r="J507" s="15" t="str">
        <f t="shared" si="22"/>
        <v>11</v>
      </c>
      <c r="K507" s="15" t="str">
        <f t="shared" si="23"/>
        <v>0111</v>
      </c>
      <c r="L507" t="s">
        <v>2073</v>
      </c>
      <c r="M507">
        <v>1</v>
      </c>
      <c r="N507">
        <v>6</v>
      </c>
      <c r="O507">
        <v>6.7</v>
      </c>
      <c r="P507">
        <v>223</v>
      </c>
    </row>
    <row r="508" spans="1:16">
      <c r="A508" t="s">
        <v>1847</v>
      </c>
      <c r="B508">
        <v>1</v>
      </c>
      <c r="C508">
        <v>6</v>
      </c>
      <c r="D508">
        <v>6.9</v>
      </c>
      <c r="E508">
        <v>12</v>
      </c>
      <c r="F508" t="s">
        <v>78</v>
      </c>
      <c r="G508" t="s">
        <v>245</v>
      </c>
      <c r="I508" s="15">
        <f t="shared" si="24"/>
        <v>1111</v>
      </c>
      <c r="J508" s="15" t="str">
        <f t="shared" si="22"/>
        <v>11</v>
      </c>
      <c r="K508" s="15" t="str">
        <f t="shared" si="23"/>
        <v>0111</v>
      </c>
      <c r="L508" t="s">
        <v>2073</v>
      </c>
      <c r="M508">
        <v>1</v>
      </c>
      <c r="N508">
        <v>6</v>
      </c>
      <c r="O508">
        <v>6.9</v>
      </c>
      <c r="P508">
        <v>12</v>
      </c>
    </row>
    <row r="509" spans="1:16">
      <c r="A509" t="s">
        <v>1847</v>
      </c>
      <c r="B509">
        <v>0</v>
      </c>
      <c r="C509">
        <v>6</v>
      </c>
      <c r="D509">
        <v>6.9</v>
      </c>
      <c r="E509">
        <v>10</v>
      </c>
      <c r="F509" t="s">
        <v>78</v>
      </c>
      <c r="G509" t="s">
        <v>245</v>
      </c>
      <c r="I509" s="15">
        <f t="shared" si="24"/>
        <v>1111</v>
      </c>
      <c r="J509" s="15" t="str">
        <f t="shared" si="22"/>
        <v>11</v>
      </c>
      <c r="K509" s="15" t="str">
        <f t="shared" si="23"/>
        <v>0111</v>
      </c>
      <c r="L509" t="s">
        <v>2073</v>
      </c>
      <c r="M509">
        <v>0</v>
      </c>
      <c r="N509">
        <v>6</v>
      </c>
      <c r="O509">
        <v>6.9</v>
      </c>
      <c r="P509">
        <v>10</v>
      </c>
    </row>
    <row r="510" spans="1:16">
      <c r="A510" t="s">
        <v>1927</v>
      </c>
      <c r="B510">
        <v>0</v>
      </c>
      <c r="C510">
        <v>2</v>
      </c>
      <c r="D510">
        <v>6.7</v>
      </c>
      <c r="E510">
        <v>12</v>
      </c>
      <c r="F510" t="s">
        <v>54</v>
      </c>
      <c r="G510" t="s">
        <v>200</v>
      </c>
      <c r="I510" s="15">
        <f t="shared" si="24"/>
        <v>1113</v>
      </c>
      <c r="J510" s="15" t="str">
        <f t="shared" si="22"/>
        <v>11</v>
      </c>
      <c r="K510" s="15" t="str">
        <f t="shared" si="23"/>
        <v>0111</v>
      </c>
      <c r="L510" t="s">
        <v>2073</v>
      </c>
      <c r="M510">
        <v>0</v>
      </c>
      <c r="N510">
        <v>2</v>
      </c>
      <c r="O510">
        <v>6.7</v>
      </c>
      <c r="P510">
        <v>12</v>
      </c>
    </row>
    <row r="511" spans="1:16">
      <c r="A511" t="s">
        <v>1870</v>
      </c>
      <c r="B511">
        <v>0</v>
      </c>
      <c r="C511">
        <v>3</v>
      </c>
      <c r="D511">
        <v>6.5</v>
      </c>
      <c r="E511">
        <v>11</v>
      </c>
      <c r="F511" t="s">
        <v>234</v>
      </c>
      <c r="G511" t="s">
        <v>235</v>
      </c>
      <c r="I511" s="15">
        <f t="shared" si="24"/>
        <v>1117</v>
      </c>
      <c r="J511" s="15" t="str">
        <f t="shared" si="22"/>
        <v>11</v>
      </c>
      <c r="K511" s="15" t="str">
        <f t="shared" si="23"/>
        <v>0111</v>
      </c>
      <c r="L511" t="s">
        <v>2073</v>
      </c>
      <c r="M511">
        <v>0</v>
      </c>
      <c r="N511">
        <v>3</v>
      </c>
      <c r="O511">
        <v>6.5</v>
      </c>
      <c r="P511">
        <v>11</v>
      </c>
    </row>
    <row r="512" spans="1:16">
      <c r="A512" t="s">
        <v>1827</v>
      </c>
      <c r="B512">
        <v>1</v>
      </c>
      <c r="C512">
        <v>5</v>
      </c>
      <c r="D512">
        <v>6.8</v>
      </c>
      <c r="E512">
        <v>12.59</v>
      </c>
      <c r="F512" t="s">
        <v>25</v>
      </c>
      <c r="G512" t="s">
        <v>26</v>
      </c>
      <c r="I512" s="15">
        <f t="shared" si="24"/>
        <v>1118</v>
      </c>
      <c r="J512" s="15" t="str">
        <f t="shared" si="22"/>
        <v>11</v>
      </c>
      <c r="K512" s="15" t="str">
        <f t="shared" si="23"/>
        <v>0111</v>
      </c>
      <c r="L512" t="s">
        <v>2073</v>
      </c>
      <c r="M512">
        <v>1</v>
      </c>
      <c r="N512">
        <v>5</v>
      </c>
      <c r="O512">
        <v>6.8</v>
      </c>
      <c r="P512">
        <v>12.59</v>
      </c>
    </row>
    <row r="513" spans="1:16">
      <c r="A513" t="s">
        <v>2010</v>
      </c>
      <c r="B513">
        <v>1</v>
      </c>
      <c r="C513">
        <v>6</v>
      </c>
      <c r="D513">
        <v>7.6</v>
      </c>
      <c r="E513">
        <v>606.21</v>
      </c>
      <c r="F513" t="s">
        <v>78</v>
      </c>
      <c r="G513" t="s">
        <v>83</v>
      </c>
      <c r="I513" s="15">
        <f t="shared" si="24"/>
        <v>1124</v>
      </c>
      <c r="J513" s="15" t="str">
        <f t="shared" si="22"/>
        <v>11</v>
      </c>
      <c r="K513" s="15" t="str">
        <f t="shared" si="23"/>
        <v>0111</v>
      </c>
      <c r="L513" t="s">
        <v>2073</v>
      </c>
      <c r="M513">
        <v>1</v>
      </c>
      <c r="N513">
        <v>6</v>
      </c>
      <c r="O513">
        <v>7.6</v>
      </c>
      <c r="P513">
        <v>606.21</v>
      </c>
    </row>
    <row r="514" spans="1:16">
      <c r="A514" t="s">
        <v>2010</v>
      </c>
      <c r="B514">
        <v>0</v>
      </c>
      <c r="C514">
        <v>6</v>
      </c>
      <c r="D514">
        <v>7.6</v>
      </c>
      <c r="E514">
        <v>620.55999999999995</v>
      </c>
      <c r="F514" t="s">
        <v>78</v>
      </c>
      <c r="G514" t="s">
        <v>83</v>
      </c>
      <c r="I514" s="15">
        <f t="shared" si="24"/>
        <v>1124</v>
      </c>
      <c r="J514" s="15" t="str">
        <f t="shared" si="22"/>
        <v>11</v>
      </c>
      <c r="K514" s="15" t="str">
        <f t="shared" si="23"/>
        <v>0111</v>
      </c>
      <c r="L514" t="s">
        <v>2073</v>
      </c>
      <c r="M514">
        <v>0</v>
      </c>
      <c r="N514">
        <v>6</v>
      </c>
      <c r="O514">
        <v>7.6</v>
      </c>
      <c r="P514">
        <v>620.55999999999995</v>
      </c>
    </row>
    <row r="515" spans="1:16">
      <c r="A515" t="s">
        <v>1850</v>
      </c>
      <c r="B515">
        <v>0</v>
      </c>
      <c r="C515">
        <v>6</v>
      </c>
      <c r="D515">
        <v>6.7</v>
      </c>
      <c r="E515">
        <v>602.75</v>
      </c>
      <c r="F515" t="s">
        <v>78</v>
      </c>
      <c r="G515" t="s">
        <v>79</v>
      </c>
      <c r="I515" s="15">
        <f t="shared" si="24"/>
        <v>1126</v>
      </c>
      <c r="J515" s="15" t="str">
        <f t="shared" ref="J515:J578" si="25">LEFT(L515,2)</f>
        <v>11</v>
      </c>
      <c r="K515" s="15" t="str">
        <f t="shared" ref="K515:K578" si="26">TEXT(J515,"MMDD")</f>
        <v>0111</v>
      </c>
      <c r="L515" t="s">
        <v>2073</v>
      </c>
      <c r="M515">
        <v>0</v>
      </c>
      <c r="N515">
        <v>6</v>
      </c>
      <c r="O515">
        <v>6.7</v>
      </c>
      <c r="P515">
        <v>602.75</v>
      </c>
    </row>
    <row r="516" spans="1:16">
      <c r="A516" t="s">
        <v>1917</v>
      </c>
      <c r="B516">
        <v>0</v>
      </c>
      <c r="C516">
        <v>2</v>
      </c>
      <c r="D516">
        <v>7.3</v>
      </c>
      <c r="E516">
        <v>15</v>
      </c>
      <c r="F516" t="s">
        <v>54</v>
      </c>
      <c r="G516" t="s">
        <v>756</v>
      </c>
      <c r="I516" s="15">
        <f t="shared" si="24"/>
        <v>1205</v>
      </c>
      <c r="J516" s="15" t="str">
        <f t="shared" si="25"/>
        <v>12</v>
      </c>
      <c r="K516" s="15" t="str">
        <f t="shared" si="26"/>
        <v>0112</v>
      </c>
      <c r="L516" t="s">
        <v>2074</v>
      </c>
      <c r="M516">
        <v>0</v>
      </c>
      <c r="N516">
        <v>2</v>
      </c>
      <c r="O516">
        <v>7.3</v>
      </c>
      <c r="P516">
        <v>15</v>
      </c>
    </row>
    <row r="517" spans="1:16">
      <c r="A517" t="s">
        <v>1917</v>
      </c>
      <c r="B517">
        <v>1</v>
      </c>
      <c r="C517">
        <v>2</v>
      </c>
      <c r="D517">
        <v>6.8</v>
      </c>
      <c r="E517">
        <v>35</v>
      </c>
      <c r="F517" t="s">
        <v>54</v>
      </c>
      <c r="G517" t="s">
        <v>200</v>
      </c>
      <c r="I517" s="15">
        <f t="shared" si="24"/>
        <v>1205</v>
      </c>
      <c r="J517" s="15" t="str">
        <f t="shared" si="25"/>
        <v>12</v>
      </c>
      <c r="K517" s="15" t="str">
        <f t="shared" si="26"/>
        <v>0112</v>
      </c>
      <c r="L517" t="s">
        <v>2074</v>
      </c>
      <c r="M517">
        <v>1</v>
      </c>
      <c r="N517">
        <v>2</v>
      </c>
      <c r="O517">
        <v>6.8</v>
      </c>
      <c r="P517">
        <v>35</v>
      </c>
    </row>
    <row r="518" spans="1:16">
      <c r="A518" t="s">
        <v>1928</v>
      </c>
      <c r="B518">
        <v>1</v>
      </c>
      <c r="C518">
        <v>5</v>
      </c>
      <c r="D518">
        <v>6.5</v>
      </c>
      <c r="E518">
        <v>6.43</v>
      </c>
      <c r="F518" t="s">
        <v>25</v>
      </c>
      <c r="G518" t="s">
        <v>26</v>
      </c>
      <c r="I518" s="15">
        <f t="shared" si="24"/>
        <v>1208</v>
      </c>
      <c r="J518" s="15" t="str">
        <f t="shared" si="25"/>
        <v>12</v>
      </c>
      <c r="K518" s="15" t="str">
        <f t="shared" si="26"/>
        <v>0112</v>
      </c>
      <c r="L518" t="s">
        <v>2074</v>
      </c>
      <c r="M518">
        <v>1</v>
      </c>
      <c r="N518">
        <v>5</v>
      </c>
      <c r="O518">
        <v>6.5</v>
      </c>
      <c r="P518">
        <v>6.43</v>
      </c>
    </row>
    <row r="519" spans="1:16">
      <c r="A519" t="s">
        <v>2011</v>
      </c>
      <c r="B519">
        <v>1</v>
      </c>
      <c r="C519">
        <v>4</v>
      </c>
      <c r="D519">
        <v>6.6</v>
      </c>
      <c r="E519">
        <v>85</v>
      </c>
      <c r="F519" t="s">
        <v>47</v>
      </c>
      <c r="G519" t="s">
        <v>48</v>
      </c>
      <c r="I519" s="15">
        <f t="shared" si="24"/>
        <v>1217</v>
      </c>
      <c r="J519" s="15" t="str">
        <f t="shared" si="25"/>
        <v>12</v>
      </c>
      <c r="K519" s="15" t="str">
        <f t="shared" si="26"/>
        <v>0112</v>
      </c>
      <c r="L519" t="s">
        <v>2074</v>
      </c>
      <c r="M519">
        <v>1</v>
      </c>
      <c r="N519">
        <v>4</v>
      </c>
      <c r="O519">
        <v>6.6</v>
      </c>
      <c r="P519">
        <v>85</v>
      </c>
    </row>
    <row r="520" spans="1:16">
      <c r="A520" t="s">
        <v>2012</v>
      </c>
      <c r="B520">
        <v>0</v>
      </c>
      <c r="C520">
        <v>2</v>
      </c>
      <c r="D520">
        <v>6.6</v>
      </c>
      <c r="E520">
        <v>50</v>
      </c>
      <c r="F520" t="s">
        <v>54</v>
      </c>
      <c r="G520" t="s">
        <v>108</v>
      </c>
      <c r="I520" s="15">
        <f t="shared" si="24"/>
        <v>106</v>
      </c>
      <c r="J520" s="15" t="str">
        <f t="shared" si="25"/>
        <v>01</v>
      </c>
      <c r="K520" s="15" t="str">
        <f t="shared" si="26"/>
        <v>0101</v>
      </c>
      <c r="L520" t="s">
        <v>2064</v>
      </c>
      <c r="M520">
        <v>0</v>
      </c>
      <c r="N520">
        <v>2</v>
      </c>
      <c r="O520">
        <v>6.6</v>
      </c>
      <c r="P520">
        <v>50</v>
      </c>
    </row>
    <row r="521" spans="1:16">
      <c r="A521" t="s">
        <v>1872</v>
      </c>
      <c r="B521">
        <v>1</v>
      </c>
      <c r="C521">
        <v>5</v>
      </c>
      <c r="D521">
        <v>7</v>
      </c>
      <c r="E521">
        <v>19</v>
      </c>
      <c r="F521" t="s">
        <v>25</v>
      </c>
      <c r="G521" t="s">
        <v>594</v>
      </c>
      <c r="I521" s="15">
        <f t="shared" si="24"/>
        <v>109</v>
      </c>
      <c r="J521" s="15" t="str">
        <f t="shared" si="25"/>
        <v>01</v>
      </c>
      <c r="K521" s="15" t="str">
        <f t="shared" si="26"/>
        <v>0101</v>
      </c>
      <c r="L521" t="s">
        <v>2064</v>
      </c>
      <c r="M521">
        <v>1</v>
      </c>
      <c r="N521">
        <v>5</v>
      </c>
      <c r="O521">
        <v>7</v>
      </c>
      <c r="P521">
        <v>19</v>
      </c>
    </row>
    <row r="522" spans="1:16">
      <c r="A522" t="s">
        <v>2013</v>
      </c>
      <c r="B522">
        <v>1</v>
      </c>
      <c r="C522">
        <v>2</v>
      </c>
      <c r="D522">
        <v>6.7</v>
      </c>
      <c r="E522">
        <v>46</v>
      </c>
      <c r="F522" t="s">
        <v>54</v>
      </c>
      <c r="G522" t="s">
        <v>200</v>
      </c>
      <c r="I522" s="15">
        <f t="shared" si="24"/>
        <v>114</v>
      </c>
      <c r="J522" s="15" t="str">
        <f t="shared" si="25"/>
        <v>01</v>
      </c>
      <c r="K522" s="15" t="str">
        <f t="shared" si="26"/>
        <v>0101</v>
      </c>
      <c r="L522" t="s">
        <v>2064</v>
      </c>
      <c r="M522">
        <v>1</v>
      </c>
      <c r="N522">
        <v>2</v>
      </c>
      <c r="O522">
        <v>6.7</v>
      </c>
      <c r="P522">
        <v>46</v>
      </c>
    </row>
    <row r="523" spans="1:16">
      <c r="A523" t="s">
        <v>1808</v>
      </c>
      <c r="B523">
        <v>1</v>
      </c>
      <c r="C523">
        <v>4</v>
      </c>
      <c r="D523">
        <v>6.6</v>
      </c>
      <c r="E523">
        <v>10</v>
      </c>
      <c r="F523" t="s">
        <v>47</v>
      </c>
      <c r="G523" t="s">
        <v>48</v>
      </c>
      <c r="I523" s="15">
        <f t="shared" si="24"/>
        <v>121</v>
      </c>
      <c r="J523" s="15" t="str">
        <f t="shared" si="25"/>
        <v>01</v>
      </c>
      <c r="K523" s="15" t="str">
        <f t="shared" si="26"/>
        <v>0101</v>
      </c>
      <c r="L523" t="s">
        <v>2064</v>
      </c>
      <c r="M523">
        <v>1</v>
      </c>
      <c r="N523">
        <v>4</v>
      </c>
      <c r="O523">
        <v>6.6</v>
      </c>
      <c r="P523">
        <v>10</v>
      </c>
    </row>
    <row r="524" spans="1:16">
      <c r="A524" t="s">
        <v>2014</v>
      </c>
      <c r="B524">
        <v>1</v>
      </c>
      <c r="C524">
        <v>4</v>
      </c>
      <c r="D524">
        <v>7.1</v>
      </c>
      <c r="E524">
        <v>125.6</v>
      </c>
      <c r="F524" t="s">
        <v>47</v>
      </c>
      <c r="G524" t="s">
        <v>1754</v>
      </c>
      <c r="I524" s="15">
        <f t="shared" si="24"/>
        <v>124</v>
      </c>
      <c r="J524" s="15" t="str">
        <f t="shared" si="25"/>
        <v>01</v>
      </c>
      <c r="K524" s="15" t="str">
        <f t="shared" si="26"/>
        <v>0101</v>
      </c>
      <c r="L524" t="s">
        <v>2064</v>
      </c>
      <c r="M524">
        <v>1</v>
      </c>
      <c r="N524">
        <v>4</v>
      </c>
      <c r="O524">
        <v>7.1</v>
      </c>
      <c r="P524">
        <v>125.6</v>
      </c>
    </row>
    <row r="525" spans="1:16">
      <c r="A525" t="s">
        <v>1970</v>
      </c>
      <c r="B525">
        <v>1</v>
      </c>
      <c r="C525">
        <v>2</v>
      </c>
      <c r="D525">
        <v>7.2</v>
      </c>
      <c r="E525">
        <v>177</v>
      </c>
      <c r="F525" t="s">
        <v>54</v>
      </c>
      <c r="G525" t="s">
        <v>295</v>
      </c>
      <c r="I525" s="15">
        <f t="shared" si="24"/>
        <v>130</v>
      </c>
      <c r="J525" s="15" t="str">
        <f t="shared" si="25"/>
        <v>01</v>
      </c>
      <c r="K525" s="15" t="str">
        <f t="shared" si="26"/>
        <v>0101</v>
      </c>
      <c r="L525" t="s">
        <v>2064</v>
      </c>
      <c r="M525">
        <v>1</v>
      </c>
      <c r="N525">
        <v>2</v>
      </c>
      <c r="O525">
        <v>7.2</v>
      </c>
      <c r="P525">
        <v>177</v>
      </c>
    </row>
    <row r="526" spans="1:16">
      <c r="A526" t="s">
        <v>1854</v>
      </c>
      <c r="B526">
        <v>0</v>
      </c>
      <c r="C526">
        <v>2</v>
      </c>
      <c r="D526">
        <v>7.8</v>
      </c>
      <c r="E526">
        <v>24</v>
      </c>
      <c r="F526" t="s">
        <v>54</v>
      </c>
      <c r="G526" t="s">
        <v>108</v>
      </c>
      <c r="I526" s="15">
        <f t="shared" si="24"/>
        <v>203</v>
      </c>
      <c r="J526" s="15" t="str">
        <f t="shared" si="25"/>
        <v>02</v>
      </c>
      <c r="K526" s="15" t="str">
        <f t="shared" si="26"/>
        <v>0102</v>
      </c>
      <c r="L526" t="s">
        <v>2065</v>
      </c>
      <c r="M526">
        <v>0</v>
      </c>
      <c r="N526">
        <v>2</v>
      </c>
      <c r="O526">
        <v>7.8</v>
      </c>
      <c r="P526">
        <v>24</v>
      </c>
    </row>
    <row r="527" spans="1:16">
      <c r="A527" t="s">
        <v>1786</v>
      </c>
      <c r="B527">
        <v>0</v>
      </c>
      <c r="C527">
        <v>2</v>
      </c>
      <c r="D527">
        <v>6.7</v>
      </c>
      <c r="E527">
        <v>55</v>
      </c>
      <c r="F527" t="s">
        <v>54</v>
      </c>
      <c r="G527" t="s">
        <v>671</v>
      </c>
      <c r="I527" s="15">
        <f t="shared" si="24"/>
        <v>301</v>
      </c>
      <c r="J527" s="15" t="str">
        <f t="shared" si="25"/>
        <v>03</v>
      </c>
      <c r="K527" s="15" t="str">
        <f t="shared" si="26"/>
        <v>0103</v>
      </c>
      <c r="L527" t="s">
        <v>2066</v>
      </c>
      <c r="M527">
        <v>0</v>
      </c>
      <c r="N527">
        <v>2</v>
      </c>
      <c r="O527">
        <v>6.7</v>
      </c>
      <c r="P527">
        <v>55</v>
      </c>
    </row>
    <row r="528" spans="1:16">
      <c r="A528" t="s">
        <v>1987</v>
      </c>
      <c r="B528">
        <v>1</v>
      </c>
      <c r="C528">
        <v>5</v>
      </c>
      <c r="D528">
        <v>6.9</v>
      </c>
      <c r="E528">
        <v>26</v>
      </c>
      <c r="F528" t="s">
        <v>25</v>
      </c>
      <c r="G528" t="s">
        <v>163</v>
      </c>
      <c r="I528" s="15">
        <f t="shared" si="24"/>
        <v>304</v>
      </c>
      <c r="J528" s="15" t="str">
        <f t="shared" si="25"/>
        <v>03</v>
      </c>
      <c r="K528" s="15" t="str">
        <f t="shared" si="26"/>
        <v>0103</v>
      </c>
      <c r="L528" t="s">
        <v>2066</v>
      </c>
      <c r="M528">
        <v>1</v>
      </c>
      <c r="N528">
        <v>5</v>
      </c>
      <c r="O528">
        <v>6.9</v>
      </c>
      <c r="P528">
        <v>26</v>
      </c>
    </row>
    <row r="529" spans="1:16">
      <c r="A529" t="s">
        <v>1935</v>
      </c>
      <c r="B529">
        <v>0</v>
      </c>
      <c r="C529">
        <v>2</v>
      </c>
      <c r="D529">
        <v>6.9</v>
      </c>
      <c r="E529">
        <v>136</v>
      </c>
      <c r="F529" t="s">
        <v>54</v>
      </c>
      <c r="G529" t="s">
        <v>620</v>
      </c>
      <c r="I529" s="15">
        <f t="shared" si="24"/>
        <v>413</v>
      </c>
      <c r="J529" s="15" t="str">
        <f t="shared" si="25"/>
        <v>04</v>
      </c>
      <c r="K529" s="15" t="str">
        <f t="shared" si="26"/>
        <v>0104</v>
      </c>
      <c r="L529" t="s">
        <v>2067</v>
      </c>
      <c r="M529">
        <v>0</v>
      </c>
      <c r="N529">
        <v>2</v>
      </c>
      <c r="O529">
        <v>6.9</v>
      </c>
      <c r="P529">
        <v>136</v>
      </c>
    </row>
    <row r="530" spans="1:16">
      <c r="A530" t="s">
        <v>2015</v>
      </c>
      <c r="B530">
        <v>1</v>
      </c>
      <c r="C530">
        <v>2</v>
      </c>
      <c r="D530">
        <v>7</v>
      </c>
      <c r="E530">
        <v>10</v>
      </c>
      <c r="F530" t="s">
        <v>54</v>
      </c>
      <c r="G530" t="s">
        <v>200</v>
      </c>
      <c r="I530" s="15">
        <f t="shared" si="24"/>
        <v>415</v>
      </c>
      <c r="J530" s="15" t="str">
        <f t="shared" si="25"/>
        <v>04</v>
      </c>
      <c r="K530" s="15" t="str">
        <f t="shared" si="26"/>
        <v>0104</v>
      </c>
      <c r="L530" t="s">
        <v>2067</v>
      </c>
      <c r="M530">
        <v>1</v>
      </c>
      <c r="N530">
        <v>2</v>
      </c>
      <c r="O530">
        <v>7</v>
      </c>
      <c r="P530">
        <v>10</v>
      </c>
    </row>
    <row r="531" spans="1:16">
      <c r="A531" t="s">
        <v>1973</v>
      </c>
      <c r="B531">
        <v>1</v>
      </c>
      <c r="C531">
        <v>6</v>
      </c>
      <c r="D531">
        <v>7.8</v>
      </c>
      <c r="E531">
        <v>20.59</v>
      </c>
      <c r="F531" t="s">
        <v>78</v>
      </c>
      <c r="G531" t="s">
        <v>371</v>
      </c>
      <c r="I531" s="15">
        <f t="shared" si="24"/>
        <v>416</v>
      </c>
      <c r="J531" s="15" t="str">
        <f t="shared" si="25"/>
        <v>04</v>
      </c>
      <c r="K531" s="15" t="str">
        <f t="shared" si="26"/>
        <v>0104</v>
      </c>
      <c r="L531" t="s">
        <v>2067</v>
      </c>
      <c r="M531">
        <v>1</v>
      </c>
      <c r="N531">
        <v>6</v>
      </c>
      <c r="O531">
        <v>7.8</v>
      </c>
      <c r="P531">
        <v>20.59</v>
      </c>
    </row>
    <row r="532" spans="1:16">
      <c r="A532" t="s">
        <v>1961</v>
      </c>
      <c r="B532">
        <v>1</v>
      </c>
      <c r="C532">
        <v>5</v>
      </c>
      <c r="D532">
        <v>7</v>
      </c>
      <c r="E532">
        <v>24</v>
      </c>
      <c r="F532" t="s">
        <v>25</v>
      </c>
      <c r="G532" t="s">
        <v>163</v>
      </c>
      <c r="I532" s="15">
        <f t="shared" si="24"/>
        <v>428</v>
      </c>
      <c r="J532" s="15" t="str">
        <f t="shared" si="25"/>
        <v>04</v>
      </c>
      <c r="K532" s="15" t="str">
        <f t="shared" si="26"/>
        <v>0104</v>
      </c>
      <c r="L532" t="s">
        <v>2067</v>
      </c>
      <c r="M532">
        <v>1</v>
      </c>
      <c r="N532">
        <v>5</v>
      </c>
      <c r="O532">
        <v>7</v>
      </c>
      <c r="P532">
        <v>24</v>
      </c>
    </row>
    <row r="533" spans="1:16">
      <c r="A533" t="s">
        <v>2016</v>
      </c>
      <c r="B533">
        <v>1</v>
      </c>
      <c r="C533">
        <v>6</v>
      </c>
      <c r="D533">
        <v>6.7</v>
      </c>
      <c r="E533">
        <v>16</v>
      </c>
      <c r="F533" t="s">
        <v>78</v>
      </c>
      <c r="G533" t="s">
        <v>371</v>
      </c>
      <c r="I533" s="15">
        <f t="shared" si="24"/>
        <v>518</v>
      </c>
      <c r="J533" s="15" t="str">
        <f t="shared" si="25"/>
        <v>05</v>
      </c>
      <c r="K533" s="15" t="str">
        <f t="shared" si="26"/>
        <v>0105</v>
      </c>
      <c r="L533" t="s">
        <v>2068</v>
      </c>
      <c r="M533">
        <v>1</v>
      </c>
      <c r="N533">
        <v>6</v>
      </c>
      <c r="O533">
        <v>6.7</v>
      </c>
      <c r="P533">
        <v>16</v>
      </c>
    </row>
    <row r="534" spans="1:16">
      <c r="A534" t="s">
        <v>2016</v>
      </c>
      <c r="B534">
        <v>1</v>
      </c>
      <c r="C534">
        <v>6</v>
      </c>
      <c r="D534">
        <v>6.9</v>
      </c>
      <c r="E534">
        <v>29.95</v>
      </c>
      <c r="F534" t="s">
        <v>78</v>
      </c>
      <c r="G534" t="s">
        <v>371</v>
      </c>
      <c r="I534" s="15">
        <f t="shared" si="24"/>
        <v>518</v>
      </c>
      <c r="J534" s="15" t="str">
        <f t="shared" si="25"/>
        <v>05</v>
      </c>
      <c r="K534" s="15" t="str">
        <f t="shared" si="26"/>
        <v>0105</v>
      </c>
      <c r="L534" t="s">
        <v>2068</v>
      </c>
      <c r="M534">
        <v>1</v>
      </c>
      <c r="N534">
        <v>6</v>
      </c>
      <c r="O534">
        <v>6.9</v>
      </c>
      <c r="P534">
        <v>29.95</v>
      </c>
    </row>
    <row r="535" spans="1:16">
      <c r="A535" t="s">
        <v>1881</v>
      </c>
      <c r="B535">
        <v>1</v>
      </c>
      <c r="C535">
        <v>8</v>
      </c>
      <c r="D535">
        <v>6.9</v>
      </c>
      <c r="E535">
        <v>405.69</v>
      </c>
      <c r="F535" t="s">
        <v>1749</v>
      </c>
      <c r="G535" t="s">
        <v>1750</v>
      </c>
      <c r="I535" s="15">
        <f t="shared" si="24"/>
        <v>528</v>
      </c>
      <c r="J535" s="15" t="str">
        <f t="shared" si="25"/>
        <v>05</v>
      </c>
      <c r="K535" s="15" t="str">
        <f t="shared" si="26"/>
        <v>0105</v>
      </c>
      <c r="L535" t="s">
        <v>2068</v>
      </c>
      <c r="M535">
        <v>1</v>
      </c>
      <c r="N535">
        <v>8</v>
      </c>
      <c r="O535">
        <v>6.9</v>
      </c>
      <c r="P535">
        <v>405.69</v>
      </c>
    </row>
    <row r="536" spans="1:16">
      <c r="A536" t="s">
        <v>1881</v>
      </c>
      <c r="B536">
        <v>1</v>
      </c>
      <c r="C536">
        <v>7</v>
      </c>
      <c r="D536">
        <v>7.2</v>
      </c>
      <c r="E536">
        <v>78</v>
      </c>
      <c r="F536" t="s">
        <v>157</v>
      </c>
      <c r="G536" t="s">
        <v>1750</v>
      </c>
      <c r="I536" s="15">
        <f t="shared" si="24"/>
        <v>528</v>
      </c>
      <c r="J536" s="15" t="str">
        <f t="shared" si="25"/>
        <v>05</v>
      </c>
      <c r="K536" s="15" t="str">
        <f t="shared" si="26"/>
        <v>0105</v>
      </c>
      <c r="L536" t="s">
        <v>2068</v>
      </c>
      <c r="M536">
        <v>1</v>
      </c>
      <c r="N536">
        <v>7</v>
      </c>
      <c r="O536">
        <v>7.2</v>
      </c>
      <c r="P536">
        <v>78</v>
      </c>
    </row>
    <row r="537" spans="1:16">
      <c r="A537" t="s">
        <v>1938</v>
      </c>
      <c r="B537">
        <v>1</v>
      </c>
      <c r="C537">
        <v>5</v>
      </c>
      <c r="D537">
        <v>6.7</v>
      </c>
      <c r="E537">
        <v>24</v>
      </c>
      <c r="F537" t="s">
        <v>25</v>
      </c>
      <c r="G537" t="s">
        <v>163</v>
      </c>
      <c r="I537" s="15">
        <f t="shared" si="24"/>
        <v>604</v>
      </c>
      <c r="J537" s="15" t="str">
        <f t="shared" si="25"/>
        <v>06</v>
      </c>
      <c r="K537" s="15" t="str">
        <f t="shared" si="26"/>
        <v>0106</v>
      </c>
      <c r="L537" t="s">
        <v>2069</v>
      </c>
      <c r="M537">
        <v>1</v>
      </c>
      <c r="N537">
        <v>5</v>
      </c>
      <c r="O537">
        <v>6.7</v>
      </c>
      <c r="P537">
        <v>24</v>
      </c>
    </row>
    <row r="538" spans="1:16">
      <c r="A538" t="s">
        <v>1839</v>
      </c>
      <c r="B538">
        <v>0</v>
      </c>
      <c r="C538">
        <v>2</v>
      </c>
      <c r="D538">
        <v>6.5</v>
      </c>
      <c r="E538">
        <v>13</v>
      </c>
      <c r="F538" t="s">
        <v>54</v>
      </c>
      <c r="G538" t="s">
        <v>108</v>
      </c>
      <c r="I538" s="15">
        <f t="shared" si="24"/>
        <v>612</v>
      </c>
      <c r="J538" s="15" t="str">
        <f t="shared" si="25"/>
        <v>06</v>
      </c>
      <c r="K538" s="15" t="str">
        <f t="shared" si="26"/>
        <v>0106</v>
      </c>
      <c r="L538" t="s">
        <v>2069</v>
      </c>
      <c r="M538">
        <v>0</v>
      </c>
      <c r="N538">
        <v>2</v>
      </c>
      <c r="O538">
        <v>6.5</v>
      </c>
      <c r="P538">
        <v>13</v>
      </c>
    </row>
    <row r="539" spans="1:16">
      <c r="A539" t="s">
        <v>1882</v>
      </c>
      <c r="B539">
        <v>1</v>
      </c>
      <c r="C539">
        <v>5</v>
      </c>
      <c r="D539">
        <v>6.7</v>
      </c>
      <c r="E539">
        <v>27.59</v>
      </c>
      <c r="F539" t="s">
        <v>25</v>
      </c>
      <c r="G539" t="s">
        <v>163</v>
      </c>
      <c r="I539" s="15">
        <f t="shared" si="24"/>
        <v>704</v>
      </c>
      <c r="J539" s="15" t="str">
        <f t="shared" si="25"/>
        <v>07</v>
      </c>
      <c r="K539" s="15" t="str">
        <f t="shared" si="26"/>
        <v>0107</v>
      </c>
      <c r="L539" t="s">
        <v>2070</v>
      </c>
      <c r="M539">
        <v>1</v>
      </c>
      <c r="N539">
        <v>5</v>
      </c>
      <c r="O539">
        <v>6.7</v>
      </c>
      <c r="P539">
        <v>27.59</v>
      </c>
    </row>
    <row r="540" spans="1:16">
      <c r="A540" t="s">
        <v>2017</v>
      </c>
      <c r="B540">
        <v>1</v>
      </c>
      <c r="C540">
        <v>5</v>
      </c>
      <c r="D540">
        <v>7.7</v>
      </c>
      <c r="E540">
        <v>196</v>
      </c>
      <c r="F540" t="s">
        <v>25</v>
      </c>
      <c r="G540" t="s">
        <v>1750</v>
      </c>
      <c r="I540" s="15">
        <f t="shared" si="24"/>
        <v>729</v>
      </c>
      <c r="J540" s="15" t="str">
        <f t="shared" si="25"/>
        <v>07</v>
      </c>
      <c r="K540" s="15" t="str">
        <f t="shared" si="26"/>
        <v>0107</v>
      </c>
      <c r="L540" t="s">
        <v>2070</v>
      </c>
      <c r="M540">
        <v>1</v>
      </c>
      <c r="N540">
        <v>5</v>
      </c>
      <c r="O540">
        <v>7.7</v>
      </c>
      <c r="P540">
        <v>196</v>
      </c>
    </row>
    <row r="541" spans="1:16">
      <c r="A541" t="s">
        <v>1992</v>
      </c>
      <c r="B541">
        <v>1</v>
      </c>
      <c r="C541">
        <v>4</v>
      </c>
      <c r="D541">
        <v>6.6</v>
      </c>
      <c r="E541">
        <v>8.4499999999999993</v>
      </c>
      <c r="F541" t="s">
        <v>47</v>
      </c>
      <c r="G541" t="s">
        <v>1754</v>
      </c>
      <c r="I541" s="15">
        <f t="shared" si="24"/>
        <v>812</v>
      </c>
      <c r="J541" s="15" t="str">
        <f t="shared" si="25"/>
        <v>08</v>
      </c>
      <c r="K541" s="15" t="str">
        <f t="shared" si="26"/>
        <v>0108</v>
      </c>
      <c r="L541" t="s">
        <v>2075</v>
      </c>
      <c r="M541">
        <v>1</v>
      </c>
      <c r="N541">
        <v>4</v>
      </c>
      <c r="O541">
        <v>6.6</v>
      </c>
      <c r="P541">
        <v>8.4499999999999993</v>
      </c>
    </row>
    <row r="542" spans="1:16">
      <c r="A542" t="s">
        <v>1992</v>
      </c>
      <c r="B542">
        <v>1</v>
      </c>
      <c r="C542">
        <v>5</v>
      </c>
      <c r="D542">
        <v>7.8</v>
      </c>
      <c r="E542">
        <v>40</v>
      </c>
      <c r="F542" t="s">
        <v>25</v>
      </c>
      <c r="G542" t="s">
        <v>26</v>
      </c>
      <c r="I542" s="15">
        <f t="shared" si="24"/>
        <v>812</v>
      </c>
      <c r="J542" s="15" t="str">
        <f t="shared" si="25"/>
        <v>08</v>
      </c>
      <c r="K542" s="15" t="str">
        <f t="shared" si="26"/>
        <v>0108</v>
      </c>
      <c r="L542" t="s">
        <v>2075</v>
      </c>
      <c r="M542">
        <v>1</v>
      </c>
      <c r="N542">
        <v>5</v>
      </c>
      <c r="O542">
        <v>7.8</v>
      </c>
      <c r="P542">
        <v>40</v>
      </c>
    </row>
    <row r="543" spans="1:16">
      <c r="A543" t="s">
        <v>1992</v>
      </c>
      <c r="B543">
        <v>0</v>
      </c>
      <c r="C543">
        <v>5</v>
      </c>
      <c r="D543">
        <v>6.5</v>
      </c>
      <c r="E543">
        <v>12.26</v>
      </c>
      <c r="F543" t="s">
        <v>25</v>
      </c>
      <c r="G543" t="s">
        <v>26</v>
      </c>
      <c r="I543" s="15">
        <f t="shared" si="24"/>
        <v>812</v>
      </c>
      <c r="J543" s="15" t="str">
        <f t="shared" si="25"/>
        <v>08</v>
      </c>
      <c r="K543" s="15" t="str">
        <f t="shared" si="26"/>
        <v>0108</v>
      </c>
      <c r="L543" t="s">
        <v>2075</v>
      </c>
      <c r="M543">
        <v>0</v>
      </c>
      <c r="N543">
        <v>5</v>
      </c>
      <c r="O543">
        <v>6.5</v>
      </c>
      <c r="P543">
        <v>12.26</v>
      </c>
    </row>
    <row r="544" spans="1:16">
      <c r="A544" t="s">
        <v>1887</v>
      </c>
      <c r="B544">
        <v>0</v>
      </c>
      <c r="C544">
        <v>2</v>
      </c>
      <c r="D544">
        <v>6.8</v>
      </c>
      <c r="E544">
        <v>82</v>
      </c>
      <c r="F544" t="s">
        <v>54</v>
      </c>
      <c r="G544" t="s">
        <v>620</v>
      </c>
      <c r="I544" s="15">
        <f t="shared" si="24"/>
        <v>824</v>
      </c>
      <c r="J544" s="15" t="str">
        <f t="shared" si="25"/>
        <v>08</v>
      </c>
      <c r="K544" s="15" t="str">
        <f t="shared" si="26"/>
        <v>0108</v>
      </c>
      <c r="L544" t="s">
        <v>2075</v>
      </c>
      <c r="M544">
        <v>0</v>
      </c>
      <c r="N544">
        <v>2</v>
      </c>
      <c r="O544">
        <v>6.8</v>
      </c>
      <c r="P544">
        <v>82</v>
      </c>
    </row>
    <row r="545" spans="1:16">
      <c r="A545" t="s">
        <v>1966</v>
      </c>
      <c r="B545">
        <v>1</v>
      </c>
      <c r="C545">
        <v>5</v>
      </c>
      <c r="D545">
        <v>6.8</v>
      </c>
      <c r="E545">
        <v>476</v>
      </c>
      <c r="F545" t="s">
        <v>25</v>
      </c>
      <c r="G545" t="s">
        <v>64</v>
      </c>
      <c r="I545" s="15">
        <f t="shared" si="24"/>
        <v>831</v>
      </c>
      <c r="J545" s="15" t="str">
        <f t="shared" si="25"/>
        <v>08</v>
      </c>
      <c r="K545" s="15" t="str">
        <f t="shared" si="26"/>
        <v>0108</v>
      </c>
      <c r="L545" t="s">
        <v>2075</v>
      </c>
      <c r="M545">
        <v>1</v>
      </c>
      <c r="N545">
        <v>5</v>
      </c>
      <c r="O545">
        <v>6.8</v>
      </c>
      <c r="P545">
        <v>476</v>
      </c>
    </row>
    <row r="546" spans="1:16">
      <c r="A546" t="s">
        <v>2007</v>
      </c>
      <c r="B546">
        <v>1</v>
      </c>
      <c r="C546">
        <v>5</v>
      </c>
      <c r="D546">
        <v>6.9</v>
      </c>
      <c r="E546">
        <v>19.73</v>
      </c>
      <c r="F546" t="s">
        <v>25</v>
      </c>
      <c r="G546" t="s">
        <v>26</v>
      </c>
      <c r="I546" s="15">
        <f t="shared" si="24"/>
        <v>912</v>
      </c>
      <c r="J546" s="15" t="str">
        <f t="shared" si="25"/>
        <v>09</v>
      </c>
      <c r="K546" s="15" t="str">
        <f t="shared" si="26"/>
        <v>0109</v>
      </c>
      <c r="L546" t="s">
        <v>2071</v>
      </c>
      <c r="M546">
        <v>1</v>
      </c>
      <c r="N546">
        <v>5</v>
      </c>
      <c r="O546">
        <v>6.9</v>
      </c>
      <c r="P546">
        <v>19.73</v>
      </c>
    </row>
    <row r="547" spans="1:16">
      <c r="A547" t="s">
        <v>1981</v>
      </c>
      <c r="B547">
        <v>1</v>
      </c>
      <c r="C547">
        <v>5</v>
      </c>
      <c r="D547">
        <v>6.9</v>
      </c>
      <c r="E547">
        <v>596.4</v>
      </c>
      <c r="F547" t="s">
        <v>25</v>
      </c>
      <c r="G547" t="s">
        <v>31</v>
      </c>
      <c r="I547" s="15">
        <f t="shared" si="24"/>
        <v>924</v>
      </c>
      <c r="J547" s="15" t="str">
        <f t="shared" si="25"/>
        <v>09</v>
      </c>
      <c r="K547" s="15" t="str">
        <f t="shared" si="26"/>
        <v>0109</v>
      </c>
      <c r="L547" t="s">
        <v>2071</v>
      </c>
      <c r="M547">
        <v>1</v>
      </c>
      <c r="N547">
        <v>5</v>
      </c>
      <c r="O547">
        <v>6.9</v>
      </c>
      <c r="P547">
        <v>596.4</v>
      </c>
    </row>
    <row r="548" spans="1:16">
      <c r="A548" t="s">
        <v>1869</v>
      </c>
      <c r="B548">
        <v>0</v>
      </c>
      <c r="C548">
        <v>2</v>
      </c>
      <c r="D548">
        <v>6.6</v>
      </c>
      <c r="E548">
        <v>212</v>
      </c>
      <c r="F548" t="s">
        <v>54</v>
      </c>
      <c r="G548" t="s">
        <v>649</v>
      </c>
      <c r="I548" s="15">
        <f t="shared" si="24"/>
        <v>1004</v>
      </c>
      <c r="J548" s="15" t="str">
        <f t="shared" si="25"/>
        <v>10</v>
      </c>
      <c r="K548" s="15" t="str">
        <f t="shared" si="26"/>
        <v>0110</v>
      </c>
      <c r="L548" t="s">
        <v>2072</v>
      </c>
      <c r="M548">
        <v>0</v>
      </c>
      <c r="N548">
        <v>2</v>
      </c>
      <c r="O548">
        <v>6.6</v>
      </c>
      <c r="P548">
        <v>212</v>
      </c>
    </row>
    <row r="549" spans="1:16">
      <c r="A549" t="s">
        <v>1889</v>
      </c>
      <c r="B549">
        <v>1</v>
      </c>
      <c r="C549">
        <v>5</v>
      </c>
      <c r="D549">
        <v>6.8</v>
      </c>
      <c r="E549">
        <v>42</v>
      </c>
      <c r="F549" t="s">
        <v>25</v>
      </c>
      <c r="G549" t="s">
        <v>64</v>
      </c>
      <c r="I549" s="15">
        <f t="shared" ref="I549:I612" si="27">TRUNC(A549,6)</f>
        <v>1017</v>
      </c>
      <c r="J549" s="15" t="str">
        <f t="shared" si="25"/>
        <v>10</v>
      </c>
      <c r="K549" s="15" t="str">
        <f t="shared" si="26"/>
        <v>0110</v>
      </c>
      <c r="L549" t="s">
        <v>2072</v>
      </c>
      <c r="M549">
        <v>1</v>
      </c>
      <c r="N549">
        <v>5</v>
      </c>
      <c r="O549">
        <v>6.8</v>
      </c>
      <c r="P549">
        <v>42</v>
      </c>
    </row>
    <row r="550" spans="1:16">
      <c r="A550" t="s">
        <v>1777</v>
      </c>
      <c r="B550">
        <v>0</v>
      </c>
      <c r="C550">
        <v>2</v>
      </c>
      <c r="D550">
        <v>6.6</v>
      </c>
      <c r="E550">
        <v>614</v>
      </c>
      <c r="F550" t="s">
        <v>54</v>
      </c>
      <c r="G550" t="s">
        <v>108</v>
      </c>
      <c r="I550" s="15">
        <f t="shared" si="27"/>
        <v>1019</v>
      </c>
      <c r="J550" s="15" t="str">
        <f t="shared" si="25"/>
        <v>10</v>
      </c>
      <c r="K550" s="15" t="str">
        <f t="shared" si="26"/>
        <v>0110</v>
      </c>
      <c r="L550" t="s">
        <v>2072</v>
      </c>
      <c r="M550">
        <v>0</v>
      </c>
      <c r="N550">
        <v>2</v>
      </c>
      <c r="O550">
        <v>6.6</v>
      </c>
      <c r="P550">
        <v>614</v>
      </c>
    </row>
    <row r="551" spans="1:16">
      <c r="A551" t="s">
        <v>1925</v>
      </c>
      <c r="B551">
        <v>0</v>
      </c>
      <c r="C551">
        <v>3</v>
      </c>
      <c r="D551">
        <v>6.6</v>
      </c>
      <c r="E551">
        <v>8</v>
      </c>
      <c r="F551" t="s">
        <v>234</v>
      </c>
      <c r="G551" t="s">
        <v>603</v>
      </c>
      <c r="I551" s="15">
        <f t="shared" si="27"/>
        <v>1030</v>
      </c>
      <c r="J551" s="15" t="str">
        <f t="shared" si="25"/>
        <v>10</v>
      </c>
      <c r="K551" s="15" t="str">
        <f t="shared" si="26"/>
        <v>0110</v>
      </c>
      <c r="L551" t="s">
        <v>2072</v>
      </c>
      <c r="M551">
        <v>0</v>
      </c>
      <c r="N551">
        <v>3</v>
      </c>
      <c r="O551">
        <v>6.6</v>
      </c>
      <c r="P551">
        <v>8</v>
      </c>
    </row>
    <row r="552" spans="1:16">
      <c r="A552" t="s">
        <v>2018</v>
      </c>
      <c r="B552">
        <v>1</v>
      </c>
      <c r="C552">
        <v>2</v>
      </c>
      <c r="D552">
        <v>6.5</v>
      </c>
      <c r="E552">
        <v>13</v>
      </c>
      <c r="F552" t="s">
        <v>54</v>
      </c>
      <c r="G552" t="s">
        <v>108</v>
      </c>
      <c r="I552" s="15">
        <f t="shared" si="27"/>
        <v>1101</v>
      </c>
      <c r="J552" s="15" t="str">
        <f t="shared" si="25"/>
        <v>11</v>
      </c>
      <c r="K552" s="15" t="str">
        <f t="shared" si="26"/>
        <v>0111</v>
      </c>
      <c r="L552" t="s">
        <v>2073</v>
      </c>
      <c r="M552">
        <v>1</v>
      </c>
      <c r="N552">
        <v>2</v>
      </c>
      <c r="O552">
        <v>6.5</v>
      </c>
      <c r="P552">
        <v>13</v>
      </c>
    </row>
    <row r="553" spans="1:16">
      <c r="A553" t="s">
        <v>1927</v>
      </c>
      <c r="B553">
        <v>1</v>
      </c>
      <c r="C553">
        <v>5</v>
      </c>
      <c r="D553">
        <v>7.8</v>
      </c>
      <c r="E553">
        <v>15.11</v>
      </c>
      <c r="F553" t="s">
        <v>25</v>
      </c>
      <c r="G553" t="s">
        <v>594</v>
      </c>
      <c r="I553" s="15">
        <f t="shared" si="27"/>
        <v>1113</v>
      </c>
      <c r="J553" s="15" t="str">
        <f t="shared" si="25"/>
        <v>11</v>
      </c>
      <c r="K553" s="15" t="str">
        <f t="shared" si="26"/>
        <v>0111</v>
      </c>
      <c r="L553" t="s">
        <v>2073</v>
      </c>
      <c r="M553">
        <v>1</v>
      </c>
      <c r="N553">
        <v>5</v>
      </c>
      <c r="O553">
        <v>7.8</v>
      </c>
      <c r="P553">
        <v>15.11</v>
      </c>
    </row>
    <row r="554" spans="1:16">
      <c r="A554" t="s">
        <v>1927</v>
      </c>
      <c r="B554">
        <v>1</v>
      </c>
      <c r="C554">
        <v>5</v>
      </c>
      <c r="D554">
        <v>6.5</v>
      </c>
      <c r="E554">
        <v>10</v>
      </c>
      <c r="F554" t="s">
        <v>25</v>
      </c>
      <c r="G554" t="s">
        <v>594</v>
      </c>
      <c r="I554" s="15">
        <f t="shared" si="27"/>
        <v>1113</v>
      </c>
      <c r="J554" s="15" t="str">
        <f t="shared" si="25"/>
        <v>11</v>
      </c>
      <c r="K554" s="15" t="str">
        <f t="shared" si="26"/>
        <v>0111</v>
      </c>
      <c r="L554" t="s">
        <v>2073</v>
      </c>
      <c r="M554">
        <v>1</v>
      </c>
      <c r="N554">
        <v>5</v>
      </c>
      <c r="O554">
        <v>6.5</v>
      </c>
      <c r="P554">
        <v>10</v>
      </c>
    </row>
    <row r="555" spans="1:16">
      <c r="A555" t="s">
        <v>1780</v>
      </c>
      <c r="B555">
        <v>1</v>
      </c>
      <c r="C555">
        <v>5</v>
      </c>
      <c r="D555">
        <v>6.5</v>
      </c>
      <c r="E555">
        <v>9</v>
      </c>
      <c r="F555" t="s">
        <v>25</v>
      </c>
      <c r="G555" t="s">
        <v>594</v>
      </c>
      <c r="I555" s="15">
        <f t="shared" si="27"/>
        <v>1114</v>
      </c>
      <c r="J555" s="15" t="str">
        <f t="shared" si="25"/>
        <v>11</v>
      </c>
      <c r="K555" s="15" t="str">
        <f t="shared" si="26"/>
        <v>0111</v>
      </c>
      <c r="L555" t="s">
        <v>2073</v>
      </c>
      <c r="M555">
        <v>1</v>
      </c>
      <c r="N555">
        <v>5</v>
      </c>
      <c r="O555">
        <v>6.5</v>
      </c>
      <c r="P555">
        <v>9</v>
      </c>
    </row>
    <row r="556" spans="1:16">
      <c r="A556" t="s">
        <v>1995</v>
      </c>
      <c r="B556">
        <v>1</v>
      </c>
      <c r="C556">
        <v>2</v>
      </c>
      <c r="D556">
        <v>6.9</v>
      </c>
      <c r="E556">
        <v>9</v>
      </c>
      <c r="F556" t="s">
        <v>54</v>
      </c>
      <c r="G556" t="s">
        <v>200</v>
      </c>
      <c r="I556" s="15">
        <f t="shared" si="27"/>
        <v>1121</v>
      </c>
      <c r="J556" s="15" t="str">
        <f t="shared" si="25"/>
        <v>11</v>
      </c>
      <c r="K556" s="15" t="str">
        <f t="shared" si="26"/>
        <v>0111</v>
      </c>
      <c r="L556" t="s">
        <v>2073</v>
      </c>
      <c r="M556">
        <v>1</v>
      </c>
      <c r="N556">
        <v>2</v>
      </c>
      <c r="O556">
        <v>6.9</v>
      </c>
      <c r="P556">
        <v>9</v>
      </c>
    </row>
    <row r="557" spans="1:16">
      <c r="A557" t="s">
        <v>2010</v>
      </c>
      <c r="B557">
        <v>1</v>
      </c>
      <c r="C557">
        <v>4</v>
      </c>
      <c r="D557">
        <v>6.9</v>
      </c>
      <c r="E557">
        <v>10</v>
      </c>
      <c r="F557" t="s">
        <v>47</v>
      </c>
      <c r="G557" t="s">
        <v>1723</v>
      </c>
      <c r="I557" s="15">
        <f t="shared" si="27"/>
        <v>1124</v>
      </c>
      <c r="J557" s="15" t="str">
        <f t="shared" si="25"/>
        <v>11</v>
      </c>
      <c r="K557" s="15" t="str">
        <f t="shared" si="26"/>
        <v>0111</v>
      </c>
      <c r="L557" t="s">
        <v>2073</v>
      </c>
      <c r="M557">
        <v>1</v>
      </c>
      <c r="N557">
        <v>4</v>
      </c>
      <c r="O557">
        <v>6.9</v>
      </c>
      <c r="P557">
        <v>10</v>
      </c>
    </row>
    <row r="558" spans="1:16">
      <c r="A558" t="s">
        <v>1828</v>
      </c>
      <c r="B558">
        <v>0</v>
      </c>
      <c r="C558">
        <v>2</v>
      </c>
      <c r="D558">
        <v>6.6</v>
      </c>
      <c r="E558">
        <v>17</v>
      </c>
      <c r="F558" t="s">
        <v>54</v>
      </c>
      <c r="G558" t="s">
        <v>678</v>
      </c>
      <c r="I558" s="15">
        <f t="shared" si="27"/>
        <v>1125</v>
      </c>
      <c r="J558" s="15" t="str">
        <f t="shared" si="25"/>
        <v>11</v>
      </c>
      <c r="K558" s="15" t="str">
        <f t="shared" si="26"/>
        <v>0111</v>
      </c>
      <c r="L558" t="s">
        <v>2073</v>
      </c>
      <c r="M558">
        <v>0</v>
      </c>
      <c r="N558">
        <v>2</v>
      </c>
      <c r="O558">
        <v>6.6</v>
      </c>
      <c r="P558">
        <v>17</v>
      </c>
    </row>
    <row r="559" spans="1:16">
      <c r="A559" t="s">
        <v>1928</v>
      </c>
      <c r="B559">
        <v>1</v>
      </c>
      <c r="C559">
        <v>5</v>
      </c>
      <c r="D559">
        <v>7.2</v>
      </c>
      <c r="E559">
        <v>16.37</v>
      </c>
      <c r="F559" t="s">
        <v>25</v>
      </c>
      <c r="G559" t="s">
        <v>1750</v>
      </c>
      <c r="I559" s="15">
        <f t="shared" si="27"/>
        <v>1208</v>
      </c>
      <c r="J559" s="15" t="str">
        <f t="shared" si="25"/>
        <v>12</v>
      </c>
      <c r="K559" s="15" t="str">
        <f t="shared" si="26"/>
        <v>0112</v>
      </c>
      <c r="L559" t="s">
        <v>2074</v>
      </c>
      <c r="M559">
        <v>1</v>
      </c>
      <c r="N559">
        <v>5</v>
      </c>
      <c r="O559">
        <v>7.2</v>
      </c>
      <c r="P559">
        <v>16.37</v>
      </c>
    </row>
    <row r="560" spans="1:16">
      <c r="A560" t="s">
        <v>2011</v>
      </c>
      <c r="B560">
        <v>1</v>
      </c>
      <c r="C560">
        <v>5</v>
      </c>
      <c r="D560">
        <v>7.9</v>
      </c>
      <c r="E560">
        <v>94.54</v>
      </c>
      <c r="F560" t="s">
        <v>25</v>
      </c>
      <c r="G560" t="s">
        <v>64</v>
      </c>
      <c r="I560" s="15">
        <f t="shared" si="27"/>
        <v>1217</v>
      </c>
      <c r="J560" s="15" t="str">
        <f t="shared" si="25"/>
        <v>12</v>
      </c>
      <c r="K560" s="15" t="str">
        <f t="shared" si="26"/>
        <v>0112</v>
      </c>
      <c r="L560" t="s">
        <v>2074</v>
      </c>
      <c r="M560">
        <v>1</v>
      </c>
      <c r="N560">
        <v>5</v>
      </c>
      <c r="O560">
        <v>7.9</v>
      </c>
      <c r="P560">
        <v>94.54</v>
      </c>
    </row>
    <row r="561" spans="1:16">
      <c r="A561" t="s">
        <v>1968</v>
      </c>
      <c r="B561">
        <v>0</v>
      </c>
      <c r="C561">
        <v>2</v>
      </c>
      <c r="D561">
        <v>6.7</v>
      </c>
      <c r="E561">
        <v>152</v>
      </c>
      <c r="F561" t="s">
        <v>54</v>
      </c>
      <c r="G561" t="s">
        <v>108</v>
      </c>
      <c r="I561" s="15">
        <f t="shared" si="27"/>
        <v>1221</v>
      </c>
      <c r="J561" s="15" t="str">
        <f t="shared" si="25"/>
        <v>12</v>
      </c>
      <c r="K561" s="15" t="str">
        <f t="shared" si="26"/>
        <v>0112</v>
      </c>
      <c r="L561" t="s">
        <v>2074</v>
      </c>
      <c r="M561">
        <v>0</v>
      </c>
      <c r="N561">
        <v>2</v>
      </c>
      <c r="O561">
        <v>6.7</v>
      </c>
      <c r="P561">
        <v>152</v>
      </c>
    </row>
    <row r="562" spans="1:16">
      <c r="A562" t="s">
        <v>1830</v>
      </c>
      <c r="B562">
        <v>1</v>
      </c>
      <c r="C562">
        <v>6</v>
      </c>
      <c r="D562">
        <v>7.6</v>
      </c>
      <c r="E562">
        <v>38</v>
      </c>
      <c r="F562" t="s">
        <v>78</v>
      </c>
      <c r="G562" t="s">
        <v>245</v>
      </c>
      <c r="I562" s="15">
        <f t="shared" si="27"/>
        <v>1225</v>
      </c>
      <c r="J562" s="15" t="str">
        <f t="shared" si="25"/>
        <v>12</v>
      </c>
      <c r="K562" s="15" t="str">
        <f t="shared" si="26"/>
        <v>0112</v>
      </c>
      <c r="L562" t="s">
        <v>2074</v>
      </c>
      <c r="M562">
        <v>1</v>
      </c>
      <c r="N562">
        <v>6</v>
      </c>
      <c r="O562">
        <v>7.6</v>
      </c>
      <c r="P562">
        <v>38</v>
      </c>
    </row>
    <row r="563" spans="1:16">
      <c r="A563" t="s">
        <v>1985</v>
      </c>
      <c r="B563">
        <v>1</v>
      </c>
      <c r="C563">
        <v>5</v>
      </c>
      <c r="D563">
        <v>6.6</v>
      </c>
      <c r="E563">
        <v>22</v>
      </c>
      <c r="F563" t="s">
        <v>25</v>
      </c>
      <c r="G563" t="s">
        <v>1744</v>
      </c>
      <c r="I563" s="15">
        <f t="shared" si="27"/>
        <v>111</v>
      </c>
      <c r="J563" s="15" t="str">
        <f t="shared" si="25"/>
        <v>01</v>
      </c>
      <c r="K563" s="15" t="str">
        <f t="shared" si="26"/>
        <v>0101</v>
      </c>
      <c r="L563" t="s">
        <v>2064</v>
      </c>
      <c r="M563">
        <v>1</v>
      </c>
      <c r="N563">
        <v>5</v>
      </c>
      <c r="O563">
        <v>6.6</v>
      </c>
      <c r="P563">
        <v>22</v>
      </c>
    </row>
    <row r="564" spans="1:16">
      <c r="A564" t="s">
        <v>1853</v>
      </c>
      <c r="B564">
        <v>1</v>
      </c>
      <c r="C564">
        <v>5</v>
      </c>
      <c r="D564">
        <v>6.5</v>
      </c>
      <c r="E564">
        <v>36</v>
      </c>
      <c r="F564" t="s">
        <v>25</v>
      </c>
      <c r="G564" t="s">
        <v>26</v>
      </c>
      <c r="I564" s="15">
        <f t="shared" si="27"/>
        <v>119</v>
      </c>
      <c r="J564" s="15" t="str">
        <f t="shared" si="25"/>
        <v>01</v>
      </c>
      <c r="K564" s="15" t="str">
        <f t="shared" si="26"/>
        <v>0101</v>
      </c>
      <c r="L564" t="s">
        <v>2064</v>
      </c>
      <c r="M564">
        <v>1</v>
      </c>
      <c r="N564">
        <v>5</v>
      </c>
      <c r="O564">
        <v>6.5</v>
      </c>
      <c r="P564">
        <v>36</v>
      </c>
    </row>
    <row r="565" spans="1:16">
      <c r="A565" t="s">
        <v>1809</v>
      </c>
      <c r="B565">
        <v>1</v>
      </c>
      <c r="C565">
        <v>5</v>
      </c>
      <c r="D565">
        <v>7.9</v>
      </c>
      <c r="E565">
        <v>135</v>
      </c>
      <c r="F565" t="s">
        <v>25</v>
      </c>
      <c r="G565" t="s">
        <v>64</v>
      </c>
      <c r="I565" s="15">
        <f t="shared" si="27"/>
        <v>122</v>
      </c>
      <c r="J565" s="15" t="str">
        <f t="shared" si="25"/>
        <v>01</v>
      </c>
      <c r="K565" s="15" t="str">
        <f t="shared" si="26"/>
        <v>0101</v>
      </c>
      <c r="L565" t="s">
        <v>2064</v>
      </c>
      <c r="M565">
        <v>1</v>
      </c>
      <c r="N565">
        <v>5</v>
      </c>
      <c r="O565">
        <v>7.9</v>
      </c>
      <c r="P565">
        <v>135</v>
      </c>
    </row>
    <row r="566" spans="1:16">
      <c r="A566" t="s">
        <v>2019</v>
      </c>
      <c r="B566">
        <v>1</v>
      </c>
      <c r="C566">
        <v>4</v>
      </c>
      <c r="D566">
        <v>6.8</v>
      </c>
      <c r="E566">
        <v>5</v>
      </c>
      <c r="F566" t="s">
        <v>47</v>
      </c>
      <c r="G566" t="s">
        <v>1754</v>
      </c>
      <c r="I566" s="15">
        <f t="shared" si="27"/>
        <v>206</v>
      </c>
      <c r="J566" s="15" t="str">
        <f t="shared" si="25"/>
        <v>02</v>
      </c>
      <c r="K566" s="15" t="str">
        <f t="shared" si="26"/>
        <v>0102</v>
      </c>
      <c r="L566" t="s">
        <v>2065</v>
      </c>
      <c r="M566">
        <v>1</v>
      </c>
      <c r="N566">
        <v>4</v>
      </c>
      <c r="O566">
        <v>6.8</v>
      </c>
      <c r="P566">
        <v>5</v>
      </c>
    </row>
    <row r="567" spans="1:16">
      <c r="A567" t="s">
        <v>2020</v>
      </c>
      <c r="B567">
        <v>0</v>
      </c>
      <c r="C567">
        <v>6</v>
      </c>
      <c r="D567">
        <v>6.5</v>
      </c>
      <c r="E567">
        <v>595.98</v>
      </c>
      <c r="F567" t="s">
        <v>78</v>
      </c>
      <c r="G567" t="s">
        <v>460</v>
      </c>
      <c r="I567" s="15">
        <f t="shared" si="27"/>
        <v>221</v>
      </c>
      <c r="J567" s="15" t="str">
        <f t="shared" si="25"/>
        <v>02</v>
      </c>
      <c r="K567" s="15" t="str">
        <f t="shared" si="26"/>
        <v>0102</v>
      </c>
      <c r="L567" t="s">
        <v>2065</v>
      </c>
      <c r="M567">
        <v>0</v>
      </c>
      <c r="N567">
        <v>6</v>
      </c>
      <c r="O567">
        <v>6.5</v>
      </c>
      <c r="P567">
        <v>595.98</v>
      </c>
    </row>
    <row r="568" spans="1:16">
      <c r="A568" t="s">
        <v>1764</v>
      </c>
      <c r="B568">
        <v>1</v>
      </c>
      <c r="C568">
        <v>5</v>
      </c>
      <c r="D568">
        <v>6.9</v>
      </c>
      <c r="E568">
        <v>414.5</v>
      </c>
      <c r="F568" t="s">
        <v>25</v>
      </c>
      <c r="G568" t="s">
        <v>31</v>
      </c>
      <c r="I568" s="15">
        <f t="shared" si="27"/>
        <v>224</v>
      </c>
      <c r="J568" s="15" t="str">
        <f t="shared" si="25"/>
        <v>02</v>
      </c>
      <c r="K568" s="15" t="str">
        <f t="shared" si="26"/>
        <v>0102</v>
      </c>
      <c r="L568" t="s">
        <v>2065</v>
      </c>
      <c r="M568">
        <v>1</v>
      </c>
      <c r="N568">
        <v>5</v>
      </c>
      <c r="O568">
        <v>6.9</v>
      </c>
      <c r="P568">
        <v>414.5</v>
      </c>
    </row>
    <row r="569" spans="1:16">
      <c r="A569" t="s">
        <v>1786</v>
      </c>
      <c r="B569">
        <v>1</v>
      </c>
      <c r="C569">
        <v>5</v>
      </c>
      <c r="D569">
        <v>6.9</v>
      </c>
      <c r="E569">
        <v>12</v>
      </c>
      <c r="F569" t="s">
        <v>25</v>
      </c>
      <c r="G569" t="s">
        <v>31</v>
      </c>
      <c r="I569" s="15">
        <f t="shared" si="27"/>
        <v>301</v>
      </c>
      <c r="J569" s="15" t="str">
        <f t="shared" si="25"/>
        <v>03</v>
      </c>
      <c r="K569" s="15" t="str">
        <f t="shared" si="26"/>
        <v>0103</v>
      </c>
      <c r="L569" t="s">
        <v>2066</v>
      </c>
      <c r="M569">
        <v>1</v>
      </c>
      <c r="N569">
        <v>5</v>
      </c>
      <c r="O569">
        <v>6.9</v>
      </c>
      <c r="P569">
        <v>12</v>
      </c>
    </row>
    <row r="570" spans="1:16">
      <c r="A570" t="s">
        <v>1987</v>
      </c>
      <c r="B570">
        <v>0</v>
      </c>
      <c r="C570">
        <v>1</v>
      </c>
      <c r="D570">
        <v>6.5</v>
      </c>
      <c r="E570">
        <v>29</v>
      </c>
      <c r="F570" t="s">
        <v>549</v>
      </c>
      <c r="G570" t="s">
        <v>550</v>
      </c>
      <c r="I570" s="15">
        <f t="shared" si="27"/>
        <v>304</v>
      </c>
      <c r="J570" s="15" t="str">
        <f t="shared" si="25"/>
        <v>03</v>
      </c>
      <c r="K570" s="15" t="str">
        <f t="shared" si="26"/>
        <v>0103</v>
      </c>
      <c r="L570" t="s">
        <v>2066</v>
      </c>
      <c r="M570">
        <v>0</v>
      </c>
      <c r="N570">
        <v>1</v>
      </c>
      <c r="O570">
        <v>6.5</v>
      </c>
      <c r="P570">
        <v>29</v>
      </c>
    </row>
    <row r="571" spans="1:16">
      <c r="A571" t="s">
        <v>1998</v>
      </c>
      <c r="B571">
        <v>1</v>
      </c>
      <c r="C571">
        <v>2</v>
      </c>
      <c r="D571">
        <v>6.6</v>
      </c>
      <c r="E571">
        <v>17</v>
      </c>
      <c r="F571" t="s">
        <v>54</v>
      </c>
      <c r="G571" t="s">
        <v>295</v>
      </c>
      <c r="I571" s="15">
        <f t="shared" si="27"/>
        <v>329</v>
      </c>
      <c r="J571" s="15" t="str">
        <f t="shared" si="25"/>
        <v>03</v>
      </c>
      <c r="K571" s="15" t="str">
        <f t="shared" si="26"/>
        <v>0103</v>
      </c>
      <c r="L571" t="s">
        <v>2066</v>
      </c>
      <c r="M571">
        <v>1</v>
      </c>
      <c r="N571">
        <v>2</v>
      </c>
      <c r="O571">
        <v>6.6</v>
      </c>
      <c r="P571">
        <v>17</v>
      </c>
    </row>
    <row r="572" spans="1:16">
      <c r="A572" t="s">
        <v>1999</v>
      </c>
      <c r="B572">
        <v>1</v>
      </c>
      <c r="C572">
        <v>5</v>
      </c>
      <c r="D572">
        <v>6.8</v>
      </c>
      <c r="E572">
        <v>10</v>
      </c>
      <c r="F572" t="s">
        <v>25</v>
      </c>
      <c r="G572" t="s">
        <v>1022</v>
      </c>
      <c r="I572" s="15">
        <f t="shared" si="27"/>
        <v>411</v>
      </c>
      <c r="J572" s="15" t="str">
        <f t="shared" si="25"/>
        <v>04</v>
      </c>
      <c r="K572" s="15" t="str">
        <f t="shared" si="26"/>
        <v>0104</v>
      </c>
      <c r="L572" t="s">
        <v>2067</v>
      </c>
      <c r="M572">
        <v>1</v>
      </c>
      <c r="N572">
        <v>5</v>
      </c>
      <c r="O572">
        <v>6.8</v>
      </c>
      <c r="P572">
        <v>10</v>
      </c>
    </row>
    <row r="573" spans="1:16">
      <c r="A573" t="s">
        <v>1989</v>
      </c>
      <c r="B573">
        <v>1</v>
      </c>
      <c r="C573">
        <v>6</v>
      </c>
      <c r="D573">
        <v>6.9</v>
      </c>
      <c r="E573">
        <v>28</v>
      </c>
      <c r="F573" t="s">
        <v>78</v>
      </c>
      <c r="G573" t="s">
        <v>245</v>
      </c>
      <c r="I573" s="15">
        <f t="shared" si="27"/>
        <v>424</v>
      </c>
      <c r="J573" s="15" t="str">
        <f t="shared" si="25"/>
        <v>04</v>
      </c>
      <c r="K573" s="15" t="str">
        <f t="shared" si="26"/>
        <v>0104</v>
      </c>
      <c r="L573" t="s">
        <v>2067</v>
      </c>
      <c r="M573">
        <v>1</v>
      </c>
      <c r="N573">
        <v>6</v>
      </c>
      <c r="O573">
        <v>6.9</v>
      </c>
      <c r="P573">
        <v>28</v>
      </c>
    </row>
    <row r="574" spans="1:16">
      <c r="A574" t="s">
        <v>1961</v>
      </c>
      <c r="B574">
        <v>1</v>
      </c>
      <c r="C574">
        <v>2</v>
      </c>
      <c r="D574">
        <v>6.9</v>
      </c>
      <c r="E574">
        <v>26</v>
      </c>
      <c r="F574" t="s">
        <v>54</v>
      </c>
      <c r="G574" t="s">
        <v>75</v>
      </c>
      <c r="I574" s="15">
        <f t="shared" si="27"/>
        <v>428</v>
      </c>
      <c r="J574" s="15" t="str">
        <f t="shared" si="25"/>
        <v>04</v>
      </c>
      <c r="K574" s="15" t="str">
        <f t="shared" si="26"/>
        <v>0104</v>
      </c>
      <c r="L574" t="s">
        <v>2067</v>
      </c>
      <c r="M574">
        <v>1</v>
      </c>
      <c r="N574">
        <v>2</v>
      </c>
      <c r="O574">
        <v>6.9</v>
      </c>
      <c r="P574">
        <v>26</v>
      </c>
    </row>
    <row r="575" spans="1:16">
      <c r="A575" t="s">
        <v>2003</v>
      </c>
      <c r="B575">
        <v>0</v>
      </c>
      <c r="C575">
        <v>2</v>
      </c>
      <c r="D575">
        <v>6.6</v>
      </c>
      <c r="E575">
        <v>12</v>
      </c>
      <c r="F575" t="s">
        <v>54</v>
      </c>
      <c r="G575" t="s">
        <v>108</v>
      </c>
      <c r="I575" s="15">
        <f t="shared" si="27"/>
        <v>529</v>
      </c>
      <c r="J575" s="15" t="str">
        <f t="shared" si="25"/>
        <v>05</v>
      </c>
      <c r="K575" s="15" t="str">
        <f t="shared" si="26"/>
        <v>0105</v>
      </c>
      <c r="L575" t="s">
        <v>2068</v>
      </c>
      <c r="M575">
        <v>0</v>
      </c>
      <c r="N575">
        <v>2</v>
      </c>
      <c r="O575">
        <v>6.6</v>
      </c>
      <c r="P575">
        <v>12</v>
      </c>
    </row>
    <row r="576" spans="1:16">
      <c r="A576" t="s">
        <v>1948</v>
      </c>
      <c r="B576">
        <v>1</v>
      </c>
      <c r="C576">
        <v>2</v>
      </c>
      <c r="D576">
        <v>6.5</v>
      </c>
      <c r="E576">
        <v>9</v>
      </c>
      <c r="F576" t="s">
        <v>54</v>
      </c>
      <c r="G576" t="s">
        <v>75</v>
      </c>
      <c r="I576" s="15">
        <f t="shared" si="27"/>
        <v>607</v>
      </c>
      <c r="J576" s="15" t="str">
        <f t="shared" si="25"/>
        <v>06</v>
      </c>
      <c r="K576" s="15" t="str">
        <f t="shared" si="26"/>
        <v>0106</v>
      </c>
      <c r="L576" t="s">
        <v>2069</v>
      </c>
      <c r="M576">
        <v>1</v>
      </c>
      <c r="N576">
        <v>2</v>
      </c>
      <c r="O576">
        <v>6.5</v>
      </c>
      <c r="P576">
        <v>9</v>
      </c>
    </row>
    <row r="577" spans="1:16">
      <c r="A577" t="s">
        <v>2021</v>
      </c>
      <c r="B577">
        <v>1</v>
      </c>
      <c r="C577">
        <v>4</v>
      </c>
      <c r="D577">
        <v>6.9</v>
      </c>
      <c r="E577">
        <v>93</v>
      </c>
      <c r="F577" t="s">
        <v>47</v>
      </c>
      <c r="G577" t="s">
        <v>534</v>
      </c>
      <c r="I577" s="15">
        <f t="shared" si="27"/>
        <v>614</v>
      </c>
      <c r="J577" s="15" t="str">
        <f t="shared" si="25"/>
        <v>06</v>
      </c>
      <c r="K577" s="15" t="str">
        <f t="shared" si="26"/>
        <v>0106</v>
      </c>
      <c r="L577" t="s">
        <v>2069</v>
      </c>
      <c r="M577">
        <v>1</v>
      </c>
      <c r="N577">
        <v>4</v>
      </c>
      <c r="O577">
        <v>6.9</v>
      </c>
      <c r="P577">
        <v>93</v>
      </c>
    </row>
    <row r="578" spans="1:16">
      <c r="A578" t="s">
        <v>1798</v>
      </c>
      <c r="B578">
        <v>1</v>
      </c>
      <c r="C578">
        <v>6</v>
      </c>
      <c r="D578">
        <v>6.8</v>
      </c>
      <c r="E578">
        <v>38.119999999999997</v>
      </c>
      <c r="F578" t="s">
        <v>78</v>
      </c>
      <c r="G578" t="s">
        <v>534</v>
      </c>
      <c r="I578" s="15">
        <f t="shared" si="27"/>
        <v>622</v>
      </c>
      <c r="J578" s="15" t="str">
        <f t="shared" si="25"/>
        <v>06</v>
      </c>
      <c r="K578" s="15" t="str">
        <f t="shared" si="26"/>
        <v>0106</v>
      </c>
      <c r="L578" t="s">
        <v>2069</v>
      </c>
      <c r="M578">
        <v>1</v>
      </c>
      <c r="N578">
        <v>6</v>
      </c>
      <c r="O578">
        <v>6.8</v>
      </c>
      <c r="P578">
        <v>38.119999999999997</v>
      </c>
    </row>
    <row r="579" spans="1:16">
      <c r="A579" t="s">
        <v>1884</v>
      </c>
      <c r="B579">
        <v>1</v>
      </c>
      <c r="C579">
        <v>5</v>
      </c>
      <c r="D579">
        <v>6.5</v>
      </c>
      <c r="E579">
        <v>110.57</v>
      </c>
      <c r="F579" t="s">
        <v>25</v>
      </c>
      <c r="G579" t="s">
        <v>64</v>
      </c>
      <c r="I579" s="15">
        <f t="shared" si="27"/>
        <v>711</v>
      </c>
      <c r="J579" s="15" t="str">
        <f t="shared" ref="J579:J642" si="28">LEFT(L579,2)</f>
        <v>07</v>
      </c>
      <c r="K579" s="15" t="str">
        <f t="shared" ref="K579:K642" si="29">TEXT(J579,"MMDD")</f>
        <v>0107</v>
      </c>
      <c r="L579" t="s">
        <v>2070</v>
      </c>
      <c r="M579">
        <v>1</v>
      </c>
      <c r="N579">
        <v>5</v>
      </c>
      <c r="O579">
        <v>6.5</v>
      </c>
      <c r="P579">
        <v>110.57</v>
      </c>
    </row>
    <row r="580" spans="1:16">
      <c r="A580" t="s">
        <v>1885</v>
      </c>
      <c r="B580">
        <v>1</v>
      </c>
      <c r="C580">
        <v>2</v>
      </c>
      <c r="D580">
        <v>7.7</v>
      </c>
      <c r="E580">
        <v>10</v>
      </c>
      <c r="F580" t="s">
        <v>54</v>
      </c>
      <c r="G580" t="s">
        <v>295</v>
      </c>
      <c r="I580" s="15">
        <f t="shared" si="27"/>
        <v>717</v>
      </c>
      <c r="J580" s="15" t="str">
        <f t="shared" si="28"/>
        <v>07</v>
      </c>
      <c r="K580" s="15" t="str">
        <f t="shared" si="29"/>
        <v>0107</v>
      </c>
      <c r="L580" t="s">
        <v>2070</v>
      </c>
      <c r="M580">
        <v>1</v>
      </c>
      <c r="N580">
        <v>2</v>
      </c>
      <c r="O580">
        <v>7.7</v>
      </c>
      <c r="P580">
        <v>10</v>
      </c>
    </row>
    <row r="581" spans="1:16">
      <c r="A581" t="s">
        <v>2022</v>
      </c>
      <c r="B581">
        <v>0</v>
      </c>
      <c r="C581">
        <v>2</v>
      </c>
      <c r="D581">
        <v>6.6</v>
      </c>
      <c r="E581">
        <v>7</v>
      </c>
      <c r="F581" t="s">
        <v>54</v>
      </c>
      <c r="G581" t="s">
        <v>302</v>
      </c>
      <c r="I581" s="15">
        <f t="shared" si="27"/>
        <v>720</v>
      </c>
      <c r="J581" s="15" t="str">
        <f t="shared" si="28"/>
        <v>07</v>
      </c>
      <c r="K581" s="15" t="str">
        <f t="shared" si="29"/>
        <v>0107</v>
      </c>
      <c r="L581" t="s">
        <v>2070</v>
      </c>
      <c r="M581">
        <v>0</v>
      </c>
      <c r="N581">
        <v>2</v>
      </c>
      <c r="O581">
        <v>6.6</v>
      </c>
      <c r="P581">
        <v>7</v>
      </c>
    </row>
    <row r="582" spans="1:16">
      <c r="A582" t="s">
        <v>1896</v>
      </c>
      <c r="B582">
        <v>0</v>
      </c>
      <c r="C582">
        <v>2</v>
      </c>
      <c r="D582">
        <v>6.5</v>
      </c>
      <c r="E582">
        <v>9</v>
      </c>
      <c r="F582" t="s">
        <v>54</v>
      </c>
      <c r="G582" t="s">
        <v>1752</v>
      </c>
      <c r="I582" s="15">
        <f t="shared" si="27"/>
        <v>808</v>
      </c>
      <c r="J582" s="15" t="str">
        <f t="shared" si="28"/>
        <v>08</v>
      </c>
      <c r="K582" s="15" t="str">
        <f t="shared" si="29"/>
        <v>0108</v>
      </c>
      <c r="L582" t="s">
        <v>2075</v>
      </c>
      <c r="M582">
        <v>0</v>
      </c>
      <c r="N582">
        <v>2</v>
      </c>
      <c r="O582">
        <v>6.5</v>
      </c>
      <c r="P582">
        <v>9</v>
      </c>
    </row>
    <row r="583" spans="1:16">
      <c r="A583" t="s">
        <v>1800</v>
      </c>
      <c r="B583">
        <v>1</v>
      </c>
      <c r="C583">
        <v>4</v>
      </c>
      <c r="D583">
        <v>8.1999999999999993</v>
      </c>
      <c r="E583">
        <v>47.39</v>
      </c>
      <c r="F583" t="s">
        <v>47</v>
      </c>
      <c r="G583" t="s">
        <v>48</v>
      </c>
      <c r="I583" s="15">
        <f t="shared" si="27"/>
        <v>809</v>
      </c>
      <c r="J583" s="15" t="str">
        <f t="shared" si="28"/>
        <v>08</v>
      </c>
      <c r="K583" s="15" t="str">
        <f t="shared" si="29"/>
        <v>0108</v>
      </c>
      <c r="L583" t="s">
        <v>2075</v>
      </c>
      <c r="M583">
        <v>1</v>
      </c>
      <c r="N583">
        <v>4</v>
      </c>
      <c r="O583">
        <v>8.1999999999999993</v>
      </c>
      <c r="P583">
        <v>47.39</v>
      </c>
    </row>
    <row r="584" spans="1:16">
      <c r="A584" t="s">
        <v>1819</v>
      </c>
      <c r="B584">
        <v>1</v>
      </c>
      <c r="C584">
        <v>4</v>
      </c>
      <c r="D584">
        <v>6.5</v>
      </c>
      <c r="E584">
        <v>119</v>
      </c>
      <c r="F584" t="s">
        <v>47</v>
      </c>
      <c r="G584" t="s">
        <v>1754</v>
      </c>
      <c r="I584" s="15">
        <f t="shared" si="27"/>
        <v>810</v>
      </c>
      <c r="J584" s="15" t="str">
        <f t="shared" si="28"/>
        <v>08</v>
      </c>
      <c r="K584" s="15" t="str">
        <f t="shared" si="29"/>
        <v>0108</v>
      </c>
      <c r="L584" t="s">
        <v>2075</v>
      </c>
      <c r="M584">
        <v>1</v>
      </c>
      <c r="N584">
        <v>4</v>
      </c>
      <c r="O584">
        <v>6.5</v>
      </c>
      <c r="P584">
        <v>119</v>
      </c>
    </row>
    <row r="585" spans="1:16">
      <c r="A585" t="s">
        <v>1941</v>
      </c>
      <c r="B585">
        <v>1</v>
      </c>
      <c r="C585">
        <v>5</v>
      </c>
      <c r="D585">
        <v>6.8</v>
      </c>
      <c r="E585">
        <v>169</v>
      </c>
      <c r="F585" t="s">
        <v>25</v>
      </c>
      <c r="G585" t="s">
        <v>163</v>
      </c>
      <c r="I585" s="15">
        <f t="shared" si="27"/>
        <v>905</v>
      </c>
      <c r="J585" s="15" t="str">
        <f t="shared" si="28"/>
        <v>09</v>
      </c>
      <c r="K585" s="15" t="str">
        <f t="shared" si="29"/>
        <v>0109</v>
      </c>
      <c r="L585" t="s">
        <v>2071</v>
      </c>
      <c r="M585">
        <v>1</v>
      </c>
      <c r="N585">
        <v>5</v>
      </c>
      <c r="O585">
        <v>6.8</v>
      </c>
      <c r="P585">
        <v>169</v>
      </c>
    </row>
    <row r="586" spans="1:16">
      <c r="A586" t="s">
        <v>2023</v>
      </c>
      <c r="B586">
        <v>0</v>
      </c>
      <c r="C586">
        <v>4</v>
      </c>
      <c r="D586">
        <v>7.1</v>
      </c>
      <c r="E586">
        <v>48</v>
      </c>
      <c r="F586" t="s">
        <v>47</v>
      </c>
      <c r="G586" t="s">
        <v>48</v>
      </c>
      <c r="I586" s="15">
        <f t="shared" si="27"/>
        <v>919</v>
      </c>
      <c r="J586" s="15" t="str">
        <f t="shared" si="28"/>
        <v>09</v>
      </c>
      <c r="K586" s="15" t="str">
        <f t="shared" si="29"/>
        <v>0109</v>
      </c>
      <c r="L586" t="s">
        <v>2071</v>
      </c>
      <c r="M586">
        <v>0</v>
      </c>
      <c r="N586">
        <v>4</v>
      </c>
      <c r="O586">
        <v>7.1</v>
      </c>
      <c r="P586">
        <v>48</v>
      </c>
    </row>
    <row r="587" spans="1:16">
      <c r="A587" t="s">
        <v>1776</v>
      </c>
      <c r="B587">
        <v>1</v>
      </c>
      <c r="C587">
        <v>2</v>
      </c>
      <c r="D587">
        <v>7.3</v>
      </c>
      <c r="E587">
        <v>627.16999999999996</v>
      </c>
      <c r="F587" t="s">
        <v>54</v>
      </c>
      <c r="G587" t="s">
        <v>1740</v>
      </c>
      <c r="I587" s="15">
        <f t="shared" si="27"/>
        <v>1001</v>
      </c>
      <c r="J587" s="15" t="str">
        <f t="shared" si="28"/>
        <v>10</v>
      </c>
      <c r="K587" s="15" t="str">
        <f t="shared" si="29"/>
        <v>0110</v>
      </c>
      <c r="L587" t="s">
        <v>2072</v>
      </c>
      <c r="M587">
        <v>1</v>
      </c>
      <c r="N587">
        <v>2</v>
      </c>
      <c r="O587">
        <v>7.3</v>
      </c>
      <c r="P587">
        <v>627.16999999999996</v>
      </c>
    </row>
    <row r="588" spans="1:16">
      <c r="A588" t="s">
        <v>2024</v>
      </c>
      <c r="B588">
        <v>1</v>
      </c>
      <c r="C588">
        <v>2</v>
      </c>
      <c r="D588">
        <v>6.5</v>
      </c>
      <c r="E588">
        <v>15</v>
      </c>
      <c r="F588" t="s">
        <v>54</v>
      </c>
      <c r="G588" t="s">
        <v>75</v>
      </c>
      <c r="I588" s="15">
        <f t="shared" si="27"/>
        <v>1002</v>
      </c>
      <c r="J588" s="15" t="str">
        <f t="shared" si="28"/>
        <v>10</v>
      </c>
      <c r="K588" s="15" t="str">
        <f t="shared" si="29"/>
        <v>0110</v>
      </c>
      <c r="L588" t="s">
        <v>2072</v>
      </c>
      <c r="M588">
        <v>1</v>
      </c>
      <c r="N588">
        <v>2</v>
      </c>
      <c r="O588">
        <v>6.5</v>
      </c>
      <c r="P588">
        <v>15</v>
      </c>
    </row>
    <row r="589" spans="1:16">
      <c r="A589" t="s">
        <v>1953</v>
      </c>
      <c r="B589">
        <v>1</v>
      </c>
      <c r="C589">
        <v>7</v>
      </c>
      <c r="D589">
        <v>6.5</v>
      </c>
      <c r="E589">
        <v>15</v>
      </c>
      <c r="F589" t="s">
        <v>157</v>
      </c>
      <c r="G589" t="s">
        <v>1750</v>
      </c>
      <c r="I589" s="15">
        <f t="shared" si="27"/>
        <v>1005</v>
      </c>
      <c r="J589" s="15" t="str">
        <f t="shared" si="28"/>
        <v>10</v>
      </c>
      <c r="K589" s="15" t="str">
        <f t="shared" si="29"/>
        <v>0110</v>
      </c>
      <c r="L589" t="s">
        <v>2072</v>
      </c>
      <c r="M589">
        <v>1</v>
      </c>
      <c r="N589">
        <v>7</v>
      </c>
      <c r="O589">
        <v>6.5</v>
      </c>
      <c r="P589">
        <v>15</v>
      </c>
    </row>
    <row r="590" spans="1:16">
      <c r="A590" t="s">
        <v>1900</v>
      </c>
      <c r="B590">
        <v>0</v>
      </c>
      <c r="C590">
        <v>2</v>
      </c>
      <c r="D590">
        <v>6.7</v>
      </c>
      <c r="E590">
        <v>553.80999999999995</v>
      </c>
      <c r="F590" t="s">
        <v>54</v>
      </c>
      <c r="G590" t="s">
        <v>108</v>
      </c>
      <c r="I590" s="15">
        <f t="shared" si="27"/>
        <v>1024</v>
      </c>
      <c r="J590" s="15" t="str">
        <f t="shared" si="28"/>
        <v>10</v>
      </c>
      <c r="K590" s="15" t="str">
        <f t="shared" si="29"/>
        <v>0110</v>
      </c>
      <c r="L590" t="s">
        <v>2072</v>
      </c>
      <c r="M590">
        <v>0</v>
      </c>
      <c r="N590">
        <v>2</v>
      </c>
      <c r="O590">
        <v>6.7</v>
      </c>
      <c r="P590">
        <v>553.80999999999995</v>
      </c>
    </row>
    <row r="591" spans="1:16">
      <c r="A591" t="s">
        <v>1778</v>
      </c>
      <c r="B591">
        <v>1</v>
      </c>
      <c r="C591">
        <v>5</v>
      </c>
      <c r="D591">
        <v>6.7</v>
      </c>
      <c r="E591">
        <v>24</v>
      </c>
      <c r="F591" t="s">
        <v>25</v>
      </c>
      <c r="G591" t="s">
        <v>1744</v>
      </c>
      <c r="I591" s="15">
        <f t="shared" si="27"/>
        <v>1031</v>
      </c>
      <c r="J591" s="15" t="str">
        <f t="shared" si="28"/>
        <v>10</v>
      </c>
      <c r="K591" s="15" t="str">
        <f t="shared" si="29"/>
        <v>0110</v>
      </c>
      <c r="L591" t="s">
        <v>2072</v>
      </c>
      <c r="M591">
        <v>1</v>
      </c>
      <c r="N591">
        <v>5</v>
      </c>
      <c r="O591">
        <v>6.7</v>
      </c>
      <c r="P591">
        <v>24</v>
      </c>
    </row>
    <row r="592" spans="1:16">
      <c r="A592" t="s">
        <v>1994</v>
      </c>
      <c r="B592">
        <v>1</v>
      </c>
      <c r="C592">
        <v>5</v>
      </c>
      <c r="D592">
        <v>6.6</v>
      </c>
      <c r="E592">
        <v>10</v>
      </c>
      <c r="F592" t="s">
        <v>25</v>
      </c>
      <c r="G592" t="s">
        <v>594</v>
      </c>
      <c r="I592" s="15">
        <f t="shared" si="27"/>
        <v>1107</v>
      </c>
      <c r="J592" s="15" t="str">
        <f t="shared" si="28"/>
        <v>11</v>
      </c>
      <c r="K592" s="15" t="str">
        <f t="shared" si="29"/>
        <v>0111</v>
      </c>
      <c r="L592" t="s">
        <v>2073</v>
      </c>
      <c r="M592">
        <v>1</v>
      </c>
      <c r="N592">
        <v>5</v>
      </c>
      <c r="O592">
        <v>6.6</v>
      </c>
      <c r="P592">
        <v>10</v>
      </c>
    </row>
    <row r="593" spans="1:16">
      <c r="A593" t="s">
        <v>1927</v>
      </c>
      <c r="B593">
        <v>1</v>
      </c>
      <c r="C593">
        <v>4</v>
      </c>
      <c r="D593">
        <v>6.5</v>
      </c>
      <c r="E593">
        <v>19.36</v>
      </c>
      <c r="F593" t="s">
        <v>47</v>
      </c>
      <c r="G593" t="s">
        <v>495</v>
      </c>
      <c r="I593" s="15">
        <f t="shared" si="27"/>
        <v>1113</v>
      </c>
      <c r="J593" s="15" t="str">
        <f t="shared" si="28"/>
        <v>11</v>
      </c>
      <c r="K593" s="15" t="str">
        <f t="shared" si="29"/>
        <v>0111</v>
      </c>
      <c r="L593" t="s">
        <v>2073</v>
      </c>
      <c r="M593">
        <v>1</v>
      </c>
      <c r="N593">
        <v>4</v>
      </c>
      <c r="O593">
        <v>6.5</v>
      </c>
      <c r="P593">
        <v>19.36</v>
      </c>
    </row>
    <row r="594" spans="1:16">
      <c r="A594" t="s">
        <v>1871</v>
      </c>
      <c r="B594">
        <v>1</v>
      </c>
      <c r="C594">
        <v>5</v>
      </c>
      <c r="D594">
        <v>6.6</v>
      </c>
      <c r="E594">
        <v>13</v>
      </c>
      <c r="F594" t="s">
        <v>25</v>
      </c>
      <c r="G594" t="s">
        <v>1744</v>
      </c>
      <c r="I594" s="15">
        <f t="shared" si="27"/>
        <v>1119</v>
      </c>
      <c r="J594" s="15" t="str">
        <f t="shared" si="28"/>
        <v>11</v>
      </c>
      <c r="K594" s="15" t="str">
        <f t="shared" si="29"/>
        <v>0111</v>
      </c>
      <c r="L594" t="s">
        <v>2073</v>
      </c>
      <c r="M594">
        <v>1</v>
      </c>
      <c r="N594">
        <v>5</v>
      </c>
      <c r="O594">
        <v>6.6</v>
      </c>
      <c r="P594">
        <v>13</v>
      </c>
    </row>
    <row r="595" spans="1:16">
      <c r="A595" t="s">
        <v>1871</v>
      </c>
      <c r="B595">
        <v>1</v>
      </c>
      <c r="C595">
        <v>5</v>
      </c>
      <c r="D595">
        <v>7</v>
      </c>
      <c r="E595">
        <v>10</v>
      </c>
      <c r="F595" t="s">
        <v>25</v>
      </c>
      <c r="G595" t="s">
        <v>1744</v>
      </c>
      <c r="I595" s="15">
        <f t="shared" si="27"/>
        <v>1119</v>
      </c>
      <c r="J595" s="15" t="str">
        <f t="shared" si="28"/>
        <v>11</v>
      </c>
      <c r="K595" s="15" t="str">
        <f t="shared" si="29"/>
        <v>0111</v>
      </c>
      <c r="L595" t="s">
        <v>2073</v>
      </c>
      <c r="M595">
        <v>1</v>
      </c>
      <c r="N595">
        <v>5</v>
      </c>
      <c r="O595">
        <v>7</v>
      </c>
      <c r="P595">
        <v>10</v>
      </c>
    </row>
    <row r="596" spans="1:16">
      <c r="A596" t="s">
        <v>2025</v>
      </c>
      <c r="B596">
        <v>0</v>
      </c>
      <c r="C596">
        <v>2</v>
      </c>
      <c r="D596">
        <v>7.3</v>
      </c>
      <c r="E596">
        <v>19</v>
      </c>
      <c r="F596" t="s">
        <v>54</v>
      </c>
      <c r="G596" t="s">
        <v>498</v>
      </c>
      <c r="I596" s="15">
        <f t="shared" si="27"/>
        <v>1211</v>
      </c>
      <c r="J596" s="15" t="str">
        <f t="shared" si="28"/>
        <v>12</v>
      </c>
      <c r="K596" s="15" t="str">
        <f t="shared" si="29"/>
        <v>0112</v>
      </c>
      <c r="L596" t="s">
        <v>2074</v>
      </c>
      <c r="M596">
        <v>0</v>
      </c>
      <c r="N596">
        <v>2</v>
      </c>
      <c r="O596">
        <v>7.3</v>
      </c>
      <c r="P596">
        <v>19</v>
      </c>
    </row>
    <row r="597" spans="1:16">
      <c r="A597" t="s">
        <v>2026</v>
      </c>
      <c r="B597">
        <v>1</v>
      </c>
      <c r="C597">
        <v>7</v>
      </c>
      <c r="D597">
        <v>6.5</v>
      </c>
      <c r="E597">
        <v>17</v>
      </c>
      <c r="F597" t="s">
        <v>157</v>
      </c>
      <c r="G597" t="s">
        <v>1750</v>
      </c>
      <c r="I597" s="15">
        <f t="shared" si="27"/>
        <v>1213</v>
      </c>
      <c r="J597" s="15" t="str">
        <f t="shared" si="28"/>
        <v>12</v>
      </c>
      <c r="K597" s="15" t="str">
        <f t="shared" si="29"/>
        <v>0112</v>
      </c>
      <c r="L597" t="s">
        <v>2074</v>
      </c>
      <c r="M597">
        <v>1</v>
      </c>
      <c r="N597">
        <v>7</v>
      </c>
      <c r="O597">
        <v>6.5</v>
      </c>
      <c r="P597">
        <v>17</v>
      </c>
    </row>
    <row r="598" spans="1:16">
      <c r="A598" t="s">
        <v>2027</v>
      </c>
      <c r="B598">
        <v>0</v>
      </c>
      <c r="C598">
        <v>2</v>
      </c>
      <c r="D598">
        <v>6.5</v>
      </c>
      <c r="E598">
        <v>90</v>
      </c>
      <c r="F598" t="s">
        <v>54</v>
      </c>
      <c r="G598" t="s">
        <v>108</v>
      </c>
      <c r="I598" s="15">
        <f t="shared" si="27"/>
        <v>1215</v>
      </c>
      <c r="J598" s="15" t="str">
        <f t="shared" si="28"/>
        <v>12</v>
      </c>
      <c r="K598" s="15" t="str">
        <f t="shared" si="29"/>
        <v>0112</v>
      </c>
      <c r="L598" t="s">
        <v>2074</v>
      </c>
      <c r="M598">
        <v>0</v>
      </c>
      <c r="N598">
        <v>2</v>
      </c>
      <c r="O598">
        <v>6.5</v>
      </c>
      <c r="P598">
        <v>90</v>
      </c>
    </row>
    <row r="599" spans="1:16">
      <c r="A599" t="s">
        <v>2013</v>
      </c>
      <c r="B599">
        <v>1</v>
      </c>
      <c r="C599">
        <v>6</v>
      </c>
      <c r="D599">
        <v>7.1</v>
      </c>
      <c r="E599">
        <v>39</v>
      </c>
      <c r="F599" t="s">
        <v>78</v>
      </c>
      <c r="G599" t="s">
        <v>83</v>
      </c>
      <c r="I599" s="15">
        <f t="shared" si="27"/>
        <v>114</v>
      </c>
      <c r="J599" s="15" t="str">
        <f t="shared" si="28"/>
        <v>01</v>
      </c>
      <c r="K599" s="15" t="str">
        <f t="shared" si="29"/>
        <v>0101</v>
      </c>
      <c r="L599" t="s">
        <v>2064</v>
      </c>
      <c r="M599">
        <v>1</v>
      </c>
      <c r="N599">
        <v>6</v>
      </c>
      <c r="O599">
        <v>7.1</v>
      </c>
      <c r="P599">
        <v>39</v>
      </c>
    </row>
    <row r="600" spans="1:16">
      <c r="A600" t="s">
        <v>1996</v>
      </c>
      <c r="B600">
        <v>1</v>
      </c>
      <c r="C600">
        <v>4</v>
      </c>
      <c r="D600">
        <v>7.9</v>
      </c>
      <c r="E600">
        <v>14.06</v>
      </c>
      <c r="F600" t="s">
        <v>47</v>
      </c>
      <c r="G600" t="s">
        <v>1754</v>
      </c>
      <c r="I600" s="15">
        <f t="shared" si="27"/>
        <v>123</v>
      </c>
      <c r="J600" s="15" t="str">
        <f t="shared" si="28"/>
        <v>01</v>
      </c>
      <c r="K600" s="15" t="str">
        <f t="shared" si="29"/>
        <v>0101</v>
      </c>
      <c r="L600" t="s">
        <v>2064</v>
      </c>
      <c r="M600">
        <v>1</v>
      </c>
      <c r="N600">
        <v>4</v>
      </c>
      <c r="O600">
        <v>7.9</v>
      </c>
      <c r="P600">
        <v>14.06</v>
      </c>
    </row>
    <row r="601" spans="1:16">
      <c r="A601" t="s">
        <v>2028</v>
      </c>
      <c r="B601">
        <v>0</v>
      </c>
      <c r="C601">
        <v>6</v>
      </c>
      <c r="D601">
        <v>6.8</v>
      </c>
      <c r="E601">
        <v>559</v>
      </c>
      <c r="F601" t="s">
        <v>78</v>
      </c>
      <c r="G601" t="s">
        <v>460</v>
      </c>
      <c r="I601" s="15">
        <f t="shared" si="27"/>
        <v>204</v>
      </c>
      <c r="J601" s="15" t="str">
        <f t="shared" si="28"/>
        <v>02</v>
      </c>
      <c r="K601" s="15" t="str">
        <f t="shared" si="29"/>
        <v>0102</v>
      </c>
      <c r="L601" t="s">
        <v>2065</v>
      </c>
      <c r="M601">
        <v>0</v>
      </c>
      <c r="N601">
        <v>6</v>
      </c>
      <c r="O601">
        <v>6.8</v>
      </c>
      <c r="P601">
        <v>559</v>
      </c>
    </row>
    <row r="602" spans="1:16">
      <c r="A602" t="s">
        <v>1997</v>
      </c>
      <c r="B602">
        <v>1</v>
      </c>
      <c r="C602">
        <v>4</v>
      </c>
      <c r="D602">
        <v>7.2</v>
      </c>
      <c r="E602">
        <v>22</v>
      </c>
      <c r="F602" t="s">
        <v>47</v>
      </c>
      <c r="G602" t="s">
        <v>48</v>
      </c>
      <c r="I602" s="15">
        <f t="shared" si="27"/>
        <v>216</v>
      </c>
      <c r="J602" s="15" t="str">
        <f t="shared" si="28"/>
        <v>02</v>
      </c>
      <c r="K602" s="15" t="str">
        <f t="shared" si="29"/>
        <v>0102</v>
      </c>
      <c r="L602" t="s">
        <v>2065</v>
      </c>
      <c r="M602">
        <v>1</v>
      </c>
      <c r="N602">
        <v>4</v>
      </c>
      <c r="O602">
        <v>7.2</v>
      </c>
      <c r="P602">
        <v>22</v>
      </c>
    </row>
    <row r="603" spans="1:16">
      <c r="A603" t="s">
        <v>1908</v>
      </c>
      <c r="B603">
        <v>1</v>
      </c>
      <c r="C603">
        <v>5</v>
      </c>
      <c r="D603">
        <v>7.5</v>
      </c>
      <c r="E603">
        <v>25.21</v>
      </c>
      <c r="F603" t="s">
        <v>25</v>
      </c>
      <c r="G603" t="s">
        <v>64</v>
      </c>
      <c r="I603" s="15">
        <f t="shared" si="27"/>
        <v>225</v>
      </c>
      <c r="J603" s="15" t="str">
        <f t="shared" si="28"/>
        <v>02</v>
      </c>
      <c r="K603" s="15" t="str">
        <f t="shared" si="29"/>
        <v>0102</v>
      </c>
      <c r="L603" t="s">
        <v>2065</v>
      </c>
      <c r="M603">
        <v>1</v>
      </c>
      <c r="N603">
        <v>5</v>
      </c>
      <c r="O603">
        <v>7.5</v>
      </c>
      <c r="P603">
        <v>25.21</v>
      </c>
    </row>
    <row r="604" spans="1:16">
      <c r="A604" t="s">
        <v>2029</v>
      </c>
      <c r="B604">
        <v>1</v>
      </c>
      <c r="C604">
        <v>5</v>
      </c>
      <c r="D604">
        <v>6.7</v>
      </c>
      <c r="E604">
        <v>40</v>
      </c>
      <c r="F604" t="s">
        <v>25</v>
      </c>
      <c r="G604" t="s">
        <v>64</v>
      </c>
      <c r="I604" s="15">
        <f t="shared" si="27"/>
        <v>326</v>
      </c>
      <c r="J604" s="15" t="str">
        <f t="shared" si="28"/>
        <v>03</v>
      </c>
      <c r="K604" s="15" t="str">
        <f t="shared" si="29"/>
        <v>0103</v>
      </c>
      <c r="L604" t="s">
        <v>2066</v>
      </c>
      <c r="M604">
        <v>1</v>
      </c>
      <c r="N604">
        <v>5</v>
      </c>
      <c r="O604">
        <v>6.7</v>
      </c>
      <c r="P604">
        <v>40</v>
      </c>
    </row>
    <row r="605" spans="1:16">
      <c r="A605" t="s">
        <v>1998</v>
      </c>
      <c r="B605">
        <v>1</v>
      </c>
      <c r="C605">
        <v>5</v>
      </c>
      <c r="D605">
        <v>6.9</v>
      </c>
      <c r="E605">
        <v>35</v>
      </c>
      <c r="F605" t="s">
        <v>25</v>
      </c>
      <c r="G605" t="s">
        <v>64</v>
      </c>
      <c r="I605" s="15">
        <f t="shared" si="27"/>
        <v>329</v>
      </c>
      <c r="J605" s="15" t="str">
        <f t="shared" si="28"/>
        <v>03</v>
      </c>
      <c r="K605" s="15" t="str">
        <f t="shared" si="29"/>
        <v>0103</v>
      </c>
      <c r="L605" t="s">
        <v>2066</v>
      </c>
      <c r="M605">
        <v>1</v>
      </c>
      <c r="N605">
        <v>5</v>
      </c>
      <c r="O605">
        <v>6.9</v>
      </c>
      <c r="P605">
        <v>35</v>
      </c>
    </row>
    <row r="606" spans="1:16">
      <c r="A606" t="s">
        <v>2030</v>
      </c>
      <c r="B606">
        <v>1</v>
      </c>
      <c r="C606">
        <v>4</v>
      </c>
      <c r="D606">
        <v>6.9</v>
      </c>
      <c r="E606">
        <v>5.81</v>
      </c>
      <c r="F606" t="s">
        <v>47</v>
      </c>
      <c r="G606" t="s">
        <v>1754</v>
      </c>
      <c r="I606" s="15">
        <f t="shared" si="27"/>
        <v>405</v>
      </c>
      <c r="J606" s="15" t="str">
        <f t="shared" si="28"/>
        <v>04</v>
      </c>
      <c r="K606" s="15" t="str">
        <f t="shared" si="29"/>
        <v>0104</v>
      </c>
      <c r="L606" t="s">
        <v>2067</v>
      </c>
      <c r="M606">
        <v>1</v>
      </c>
      <c r="N606">
        <v>4</v>
      </c>
      <c r="O606">
        <v>6.9</v>
      </c>
      <c r="P606">
        <v>5.81</v>
      </c>
    </row>
    <row r="607" spans="1:16">
      <c r="A607" t="s">
        <v>2031</v>
      </c>
      <c r="B607">
        <v>0</v>
      </c>
      <c r="C607">
        <v>2</v>
      </c>
      <c r="D607">
        <v>6.9</v>
      </c>
      <c r="E607">
        <v>34</v>
      </c>
      <c r="F607" t="s">
        <v>54</v>
      </c>
      <c r="G607" t="s">
        <v>108</v>
      </c>
      <c r="I607" s="15">
        <f t="shared" si="27"/>
        <v>508</v>
      </c>
      <c r="J607" s="15" t="str">
        <f t="shared" si="28"/>
        <v>05</v>
      </c>
      <c r="K607" s="15" t="str">
        <f t="shared" si="29"/>
        <v>0105</v>
      </c>
      <c r="L607" t="s">
        <v>2068</v>
      </c>
      <c r="M607">
        <v>0</v>
      </c>
      <c r="N607">
        <v>2</v>
      </c>
      <c r="O607">
        <v>6.9</v>
      </c>
      <c r="P607">
        <v>34</v>
      </c>
    </row>
    <row r="608" spans="1:16">
      <c r="A608" t="s">
        <v>1837</v>
      </c>
      <c r="B608">
        <v>1</v>
      </c>
      <c r="C608">
        <v>2</v>
      </c>
      <c r="D608">
        <v>6.6</v>
      </c>
      <c r="E608">
        <v>35</v>
      </c>
      <c r="F608" t="s">
        <v>54</v>
      </c>
      <c r="G608" t="s">
        <v>200</v>
      </c>
      <c r="I608" s="15">
        <f t="shared" si="27"/>
        <v>509</v>
      </c>
      <c r="J608" s="15" t="str">
        <f t="shared" si="28"/>
        <v>05</v>
      </c>
      <c r="K608" s="15" t="str">
        <f t="shared" si="29"/>
        <v>0105</v>
      </c>
      <c r="L608" t="s">
        <v>2068</v>
      </c>
      <c r="M608">
        <v>1</v>
      </c>
      <c r="N608">
        <v>2</v>
      </c>
      <c r="O608">
        <v>6.6</v>
      </c>
      <c r="P608">
        <v>35</v>
      </c>
    </row>
    <row r="609" spans="1:16">
      <c r="A609" t="s">
        <v>1860</v>
      </c>
      <c r="B609">
        <v>1</v>
      </c>
      <c r="C609">
        <v>5</v>
      </c>
      <c r="D609">
        <v>7.5</v>
      </c>
      <c r="E609">
        <v>10</v>
      </c>
      <c r="F609" t="s">
        <v>25</v>
      </c>
      <c r="G609" t="s">
        <v>1744</v>
      </c>
      <c r="I609" s="15">
        <f t="shared" si="27"/>
        <v>512</v>
      </c>
      <c r="J609" s="15" t="str">
        <f t="shared" si="28"/>
        <v>05</v>
      </c>
      <c r="K609" s="15" t="str">
        <f t="shared" si="29"/>
        <v>0105</v>
      </c>
      <c r="L609" t="s">
        <v>2068</v>
      </c>
      <c r="M609">
        <v>1</v>
      </c>
      <c r="N609">
        <v>5</v>
      </c>
      <c r="O609">
        <v>7.5</v>
      </c>
      <c r="P609">
        <v>10</v>
      </c>
    </row>
    <row r="610" spans="1:16">
      <c r="A610" t="s">
        <v>1860</v>
      </c>
      <c r="B610">
        <v>1</v>
      </c>
      <c r="C610">
        <v>5</v>
      </c>
      <c r="D610">
        <v>6.6</v>
      </c>
      <c r="E610">
        <v>10</v>
      </c>
      <c r="F610" t="s">
        <v>25</v>
      </c>
      <c r="G610" t="s">
        <v>1744</v>
      </c>
      <c r="I610" s="15">
        <f t="shared" si="27"/>
        <v>512</v>
      </c>
      <c r="J610" s="15" t="str">
        <f t="shared" si="28"/>
        <v>05</v>
      </c>
      <c r="K610" s="15" t="str">
        <f t="shared" si="29"/>
        <v>0105</v>
      </c>
      <c r="L610" t="s">
        <v>2068</v>
      </c>
      <c r="M610">
        <v>1</v>
      </c>
      <c r="N610">
        <v>5</v>
      </c>
      <c r="O610">
        <v>6.6</v>
      </c>
      <c r="P610">
        <v>10</v>
      </c>
    </row>
    <row r="611" spans="1:16">
      <c r="A611" t="s">
        <v>2032</v>
      </c>
      <c r="B611">
        <v>1</v>
      </c>
      <c r="C611">
        <v>5</v>
      </c>
      <c r="D611">
        <v>6.7</v>
      </c>
      <c r="E611">
        <v>20.49</v>
      </c>
      <c r="F611" t="s">
        <v>25</v>
      </c>
      <c r="G611" t="s">
        <v>64</v>
      </c>
      <c r="I611" s="15">
        <f t="shared" si="27"/>
        <v>603</v>
      </c>
      <c r="J611" s="15" t="str">
        <f t="shared" si="28"/>
        <v>06</v>
      </c>
      <c r="K611" s="15" t="str">
        <f t="shared" si="29"/>
        <v>0106</v>
      </c>
      <c r="L611" t="s">
        <v>2069</v>
      </c>
      <c r="M611">
        <v>1</v>
      </c>
      <c r="N611">
        <v>5</v>
      </c>
      <c r="O611">
        <v>6.7</v>
      </c>
      <c r="P611">
        <v>20.49</v>
      </c>
    </row>
    <row r="612" spans="1:16">
      <c r="A612" t="s">
        <v>1838</v>
      </c>
      <c r="B612">
        <v>1</v>
      </c>
      <c r="C612">
        <v>5</v>
      </c>
      <c r="D612">
        <v>7.9</v>
      </c>
      <c r="E612">
        <v>670.81</v>
      </c>
      <c r="F612" t="s">
        <v>25</v>
      </c>
      <c r="G612" t="s">
        <v>31</v>
      </c>
      <c r="I612" s="15">
        <f t="shared" si="27"/>
        <v>609</v>
      </c>
      <c r="J612" s="15" t="str">
        <f t="shared" si="28"/>
        <v>06</v>
      </c>
      <c r="K612" s="15" t="str">
        <f t="shared" si="29"/>
        <v>0106</v>
      </c>
      <c r="L612" t="s">
        <v>2069</v>
      </c>
      <c r="M612">
        <v>1</v>
      </c>
      <c r="N612">
        <v>5</v>
      </c>
      <c r="O612">
        <v>7.9</v>
      </c>
      <c r="P612">
        <v>670.81</v>
      </c>
    </row>
    <row r="613" spans="1:16">
      <c r="A613" t="s">
        <v>2033</v>
      </c>
      <c r="B613">
        <v>1</v>
      </c>
      <c r="C613">
        <v>5</v>
      </c>
      <c r="D613">
        <v>6.8</v>
      </c>
      <c r="E613">
        <v>22.86</v>
      </c>
      <c r="F613" t="s">
        <v>25</v>
      </c>
      <c r="G613" t="s">
        <v>64</v>
      </c>
      <c r="I613" s="15">
        <f t="shared" ref="I613:I676" si="30">TRUNC(A613,6)</f>
        <v>803</v>
      </c>
      <c r="J613" s="15" t="str">
        <f t="shared" si="28"/>
        <v>08</v>
      </c>
      <c r="K613" s="15" t="str">
        <f t="shared" si="29"/>
        <v>0108</v>
      </c>
      <c r="L613" t="s">
        <v>2075</v>
      </c>
      <c r="M613">
        <v>1</v>
      </c>
      <c r="N613">
        <v>5</v>
      </c>
      <c r="O613">
        <v>6.8</v>
      </c>
      <c r="P613">
        <v>22.86</v>
      </c>
    </row>
    <row r="614" spans="1:16">
      <c r="A614" t="s">
        <v>1897</v>
      </c>
      <c r="B614">
        <v>1</v>
      </c>
      <c r="C614">
        <v>4</v>
      </c>
      <c r="D614">
        <v>6.5</v>
      </c>
      <c r="E614">
        <v>33.93</v>
      </c>
      <c r="F614" t="s">
        <v>47</v>
      </c>
      <c r="G614" t="s">
        <v>1754</v>
      </c>
      <c r="I614" s="15">
        <f t="shared" si="30"/>
        <v>815</v>
      </c>
      <c r="J614" s="15" t="str">
        <f t="shared" si="28"/>
        <v>08</v>
      </c>
      <c r="K614" s="15" t="str">
        <f t="shared" si="29"/>
        <v>0108</v>
      </c>
      <c r="L614" t="s">
        <v>2075</v>
      </c>
      <c r="M614">
        <v>1</v>
      </c>
      <c r="N614">
        <v>4</v>
      </c>
      <c r="O614">
        <v>6.5</v>
      </c>
      <c r="P614">
        <v>33.93</v>
      </c>
    </row>
    <row r="615" spans="1:16">
      <c r="A615" t="s">
        <v>2034</v>
      </c>
      <c r="B615">
        <v>0</v>
      </c>
      <c r="C615">
        <v>2</v>
      </c>
      <c r="D615">
        <v>6.5</v>
      </c>
      <c r="E615">
        <v>529</v>
      </c>
      <c r="F615" t="s">
        <v>54</v>
      </c>
      <c r="G615" t="s">
        <v>108</v>
      </c>
      <c r="I615" s="15">
        <f t="shared" si="30"/>
        <v>817</v>
      </c>
      <c r="J615" s="15" t="str">
        <f t="shared" si="28"/>
        <v>08</v>
      </c>
      <c r="K615" s="15" t="str">
        <f t="shared" si="29"/>
        <v>0108</v>
      </c>
      <c r="L615" t="s">
        <v>2075</v>
      </c>
      <c r="M615">
        <v>0</v>
      </c>
      <c r="N615">
        <v>2</v>
      </c>
      <c r="O615">
        <v>6.5</v>
      </c>
      <c r="P615">
        <v>529</v>
      </c>
    </row>
    <row r="616" spans="1:16">
      <c r="A616" t="s">
        <v>2035</v>
      </c>
      <c r="B616">
        <v>1</v>
      </c>
      <c r="C616">
        <v>5</v>
      </c>
      <c r="D616">
        <v>8.1999999999999993</v>
      </c>
      <c r="E616">
        <v>600</v>
      </c>
      <c r="F616" t="s">
        <v>25</v>
      </c>
      <c r="G616" t="s">
        <v>31</v>
      </c>
      <c r="I616" s="15">
        <f t="shared" si="30"/>
        <v>819</v>
      </c>
      <c r="J616" s="15" t="str">
        <f t="shared" si="28"/>
        <v>08</v>
      </c>
      <c r="K616" s="15" t="str">
        <f t="shared" si="29"/>
        <v>0108</v>
      </c>
      <c r="L616" t="s">
        <v>2075</v>
      </c>
      <c r="M616">
        <v>1</v>
      </c>
      <c r="N616">
        <v>5</v>
      </c>
      <c r="O616">
        <v>8.1999999999999993</v>
      </c>
      <c r="P616">
        <v>600</v>
      </c>
    </row>
    <row r="617" spans="1:16">
      <c r="A617" t="s">
        <v>2035</v>
      </c>
      <c r="B617">
        <v>0</v>
      </c>
      <c r="C617">
        <v>2</v>
      </c>
      <c r="D617">
        <v>6.9</v>
      </c>
      <c r="E617">
        <v>21</v>
      </c>
      <c r="F617" t="s">
        <v>54</v>
      </c>
      <c r="G617" t="s">
        <v>108</v>
      </c>
      <c r="I617" s="15">
        <f t="shared" si="30"/>
        <v>819</v>
      </c>
      <c r="J617" s="15" t="str">
        <f t="shared" si="28"/>
        <v>08</v>
      </c>
      <c r="K617" s="15" t="str">
        <f t="shared" si="29"/>
        <v>0108</v>
      </c>
      <c r="L617" t="s">
        <v>2075</v>
      </c>
      <c r="M617">
        <v>0</v>
      </c>
      <c r="N617">
        <v>2</v>
      </c>
      <c r="O617">
        <v>6.9</v>
      </c>
      <c r="P617">
        <v>21</v>
      </c>
    </row>
    <row r="618" spans="1:16">
      <c r="A618" t="s">
        <v>1820</v>
      </c>
      <c r="B618">
        <v>1</v>
      </c>
      <c r="C618">
        <v>6</v>
      </c>
      <c r="D618">
        <v>7.3</v>
      </c>
      <c r="E618">
        <v>146.82</v>
      </c>
      <c r="F618" t="s">
        <v>78</v>
      </c>
      <c r="G618" t="s">
        <v>442</v>
      </c>
      <c r="I618" s="15">
        <f t="shared" si="30"/>
        <v>821</v>
      </c>
      <c r="J618" s="15" t="str">
        <f t="shared" si="28"/>
        <v>08</v>
      </c>
      <c r="K618" s="15" t="str">
        <f t="shared" si="29"/>
        <v>0108</v>
      </c>
      <c r="L618" t="s">
        <v>2075</v>
      </c>
      <c r="M618">
        <v>1</v>
      </c>
      <c r="N618">
        <v>6</v>
      </c>
      <c r="O618">
        <v>7.3</v>
      </c>
      <c r="P618">
        <v>146.82</v>
      </c>
    </row>
    <row r="619" spans="1:16">
      <c r="A619" t="s">
        <v>1820</v>
      </c>
      <c r="B619">
        <v>1</v>
      </c>
      <c r="C619">
        <v>5</v>
      </c>
      <c r="D619">
        <v>6.5</v>
      </c>
      <c r="E619">
        <v>9</v>
      </c>
      <c r="F619" t="s">
        <v>25</v>
      </c>
      <c r="G619" t="s">
        <v>163</v>
      </c>
      <c r="I619" s="15">
        <f t="shared" si="30"/>
        <v>821</v>
      </c>
      <c r="J619" s="15" t="str">
        <f t="shared" si="28"/>
        <v>08</v>
      </c>
      <c r="K619" s="15" t="str">
        <f t="shared" si="29"/>
        <v>0108</v>
      </c>
      <c r="L619" t="s">
        <v>2075</v>
      </c>
      <c r="M619">
        <v>1</v>
      </c>
      <c r="N619">
        <v>5</v>
      </c>
      <c r="O619">
        <v>6.5</v>
      </c>
      <c r="P619">
        <v>9</v>
      </c>
    </row>
    <row r="620" spans="1:16">
      <c r="A620" t="s">
        <v>1887</v>
      </c>
      <c r="B620">
        <v>0</v>
      </c>
      <c r="C620">
        <v>6</v>
      </c>
      <c r="D620">
        <v>7.1</v>
      </c>
      <c r="E620">
        <v>630</v>
      </c>
      <c r="F620" t="s">
        <v>78</v>
      </c>
      <c r="G620" t="s">
        <v>83</v>
      </c>
      <c r="I620" s="15">
        <f t="shared" si="30"/>
        <v>824</v>
      </c>
      <c r="J620" s="15" t="str">
        <f t="shared" si="28"/>
        <v>08</v>
      </c>
      <c r="K620" s="15" t="str">
        <f t="shared" si="29"/>
        <v>0108</v>
      </c>
      <c r="L620" t="s">
        <v>2075</v>
      </c>
      <c r="M620">
        <v>0</v>
      </c>
      <c r="N620">
        <v>6</v>
      </c>
      <c r="O620">
        <v>7.1</v>
      </c>
      <c r="P620">
        <v>630</v>
      </c>
    </row>
    <row r="621" spans="1:16">
      <c r="A621" t="s">
        <v>2036</v>
      </c>
      <c r="B621">
        <v>1</v>
      </c>
      <c r="C621">
        <v>5</v>
      </c>
      <c r="D621">
        <v>7.1</v>
      </c>
      <c r="E621">
        <v>21.43</v>
      </c>
      <c r="F621" t="s">
        <v>25</v>
      </c>
      <c r="G621" t="s">
        <v>1744</v>
      </c>
      <c r="I621" s="15">
        <f t="shared" si="30"/>
        <v>829</v>
      </c>
      <c r="J621" s="15" t="str">
        <f t="shared" si="28"/>
        <v>08</v>
      </c>
      <c r="K621" s="15" t="str">
        <f t="shared" si="29"/>
        <v>0108</v>
      </c>
      <c r="L621" t="s">
        <v>2075</v>
      </c>
      <c r="M621">
        <v>1</v>
      </c>
      <c r="N621">
        <v>5</v>
      </c>
      <c r="O621">
        <v>7.1</v>
      </c>
      <c r="P621">
        <v>21.43</v>
      </c>
    </row>
    <row r="622" spans="1:16">
      <c r="A622" t="s">
        <v>1867</v>
      </c>
      <c r="B622">
        <v>1</v>
      </c>
      <c r="C622">
        <v>5</v>
      </c>
      <c r="D622">
        <v>6.5</v>
      </c>
      <c r="E622">
        <v>68</v>
      </c>
      <c r="F622" t="s">
        <v>25</v>
      </c>
      <c r="G622" t="s">
        <v>26</v>
      </c>
      <c r="I622" s="15">
        <f t="shared" si="30"/>
        <v>909</v>
      </c>
      <c r="J622" s="15" t="str">
        <f t="shared" si="28"/>
        <v>09</v>
      </c>
      <c r="K622" s="15" t="str">
        <f t="shared" si="29"/>
        <v>0109</v>
      </c>
      <c r="L622" t="s">
        <v>2071</v>
      </c>
      <c r="M622">
        <v>1</v>
      </c>
      <c r="N622">
        <v>5</v>
      </c>
      <c r="O622">
        <v>6.5</v>
      </c>
      <c r="P622">
        <v>68</v>
      </c>
    </row>
    <row r="623" spans="1:16">
      <c r="A623" t="s">
        <v>1922</v>
      </c>
      <c r="B623">
        <v>1</v>
      </c>
      <c r="C623">
        <v>8</v>
      </c>
      <c r="D623">
        <v>6.7</v>
      </c>
      <c r="E623">
        <v>10</v>
      </c>
      <c r="F623" t="s">
        <v>1749</v>
      </c>
      <c r="G623" t="s">
        <v>1750</v>
      </c>
      <c r="I623" s="15">
        <f t="shared" si="30"/>
        <v>911</v>
      </c>
      <c r="J623" s="15" t="str">
        <f t="shared" si="28"/>
        <v>09</v>
      </c>
      <c r="K623" s="15" t="str">
        <f t="shared" si="29"/>
        <v>0109</v>
      </c>
      <c r="L623" t="s">
        <v>2071</v>
      </c>
      <c r="M623">
        <v>1</v>
      </c>
      <c r="N623">
        <v>8</v>
      </c>
      <c r="O623">
        <v>6.7</v>
      </c>
      <c r="P623">
        <v>10</v>
      </c>
    </row>
    <row r="624" spans="1:16">
      <c r="A624" t="s">
        <v>1951</v>
      </c>
      <c r="B624">
        <v>0</v>
      </c>
      <c r="C624">
        <v>5</v>
      </c>
      <c r="D624">
        <v>6.5</v>
      </c>
      <c r="E624">
        <v>576</v>
      </c>
      <c r="F624" t="s">
        <v>25</v>
      </c>
      <c r="G624" t="s">
        <v>31</v>
      </c>
      <c r="I624" s="15">
        <f t="shared" si="30"/>
        <v>916</v>
      </c>
      <c r="J624" s="15" t="str">
        <f t="shared" si="28"/>
        <v>09</v>
      </c>
      <c r="K624" s="15" t="str">
        <f t="shared" si="29"/>
        <v>0109</v>
      </c>
      <c r="L624" t="s">
        <v>2071</v>
      </c>
      <c r="M624">
        <v>0</v>
      </c>
      <c r="N624">
        <v>5</v>
      </c>
      <c r="O624">
        <v>6.5</v>
      </c>
      <c r="P624">
        <v>576</v>
      </c>
    </row>
    <row r="625" spans="1:16">
      <c r="A625" t="s">
        <v>1888</v>
      </c>
      <c r="B625">
        <v>0</v>
      </c>
      <c r="C625">
        <v>2</v>
      </c>
      <c r="D625">
        <v>7.5</v>
      </c>
      <c r="E625">
        <v>20</v>
      </c>
      <c r="F625" t="s">
        <v>54</v>
      </c>
      <c r="G625" t="s">
        <v>108</v>
      </c>
      <c r="I625" s="15">
        <f t="shared" si="30"/>
        <v>928</v>
      </c>
      <c r="J625" s="15" t="str">
        <f t="shared" si="28"/>
        <v>09</v>
      </c>
      <c r="K625" s="15" t="str">
        <f t="shared" si="29"/>
        <v>0109</v>
      </c>
      <c r="L625" t="s">
        <v>2071</v>
      </c>
      <c r="M625">
        <v>0</v>
      </c>
      <c r="N625">
        <v>2</v>
      </c>
      <c r="O625">
        <v>7.5</v>
      </c>
      <c r="P625">
        <v>20</v>
      </c>
    </row>
    <row r="626" spans="1:16">
      <c r="A626" t="s">
        <v>1923</v>
      </c>
      <c r="B626">
        <v>1</v>
      </c>
      <c r="C626">
        <v>5</v>
      </c>
      <c r="D626">
        <v>6.7</v>
      </c>
      <c r="E626">
        <v>550</v>
      </c>
      <c r="F626" t="s">
        <v>25</v>
      </c>
      <c r="G626" t="s">
        <v>31</v>
      </c>
      <c r="I626" s="15">
        <f t="shared" si="30"/>
        <v>930</v>
      </c>
      <c r="J626" s="15" t="str">
        <f t="shared" si="28"/>
        <v>09</v>
      </c>
      <c r="K626" s="15" t="str">
        <f t="shared" si="29"/>
        <v>0109</v>
      </c>
      <c r="L626" t="s">
        <v>2071</v>
      </c>
      <c r="M626">
        <v>1</v>
      </c>
      <c r="N626">
        <v>5</v>
      </c>
      <c r="O626">
        <v>6.7</v>
      </c>
      <c r="P626">
        <v>550</v>
      </c>
    </row>
    <row r="627" spans="1:16">
      <c r="A627" t="s">
        <v>1776</v>
      </c>
      <c r="B627">
        <v>1</v>
      </c>
      <c r="C627">
        <v>4</v>
      </c>
      <c r="D627">
        <v>7.5</v>
      </c>
      <c r="E627">
        <v>19</v>
      </c>
      <c r="F627" t="s">
        <v>47</v>
      </c>
      <c r="G627" t="s">
        <v>1738</v>
      </c>
      <c r="I627" s="15">
        <f t="shared" si="30"/>
        <v>1001</v>
      </c>
      <c r="J627" s="15" t="str">
        <f t="shared" si="28"/>
        <v>10</v>
      </c>
      <c r="K627" s="15" t="str">
        <f t="shared" si="29"/>
        <v>0110</v>
      </c>
      <c r="L627" t="s">
        <v>2072</v>
      </c>
      <c r="M627">
        <v>1</v>
      </c>
      <c r="N627">
        <v>4</v>
      </c>
      <c r="O627">
        <v>7.5</v>
      </c>
      <c r="P627">
        <v>19</v>
      </c>
    </row>
    <row r="628" spans="1:16">
      <c r="A628" t="s">
        <v>1899</v>
      </c>
      <c r="B628">
        <v>0</v>
      </c>
      <c r="C628">
        <v>5</v>
      </c>
      <c r="D628">
        <v>6.9</v>
      </c>
      <c r="E628">
        <v>115</v>
      </c>
      <c r="F628" t="s">
        <v>25</v>
      </c>
      <c r="G628" t="s">
        <v>594</v>
      </c>
      <c r="I628" s="15">
        <f t="shared" si="30"/>
        <v>1009</v>
      </c>
      <c r="J628" s="15" t="str">
        <f t="shared" si="28"/>
        <v>10</v>
      </c>
      <c r="K628" s="15" t="str">
        <f t="shared" si="29"/>
        <v>0110</v>
      </c>
      <c r="L628" t="s">
        <v>2072</v>
      </c>
      <c r="M628">
        <v>0</v>
      </c>
      <c r="N628">
        <v>5</v>
      </c>
      <c r="O628">
        <v>6.9</v>
      </c>
      <c r="P628">
        <v>115</v>
      </c>
    </row>
    <row r="629" spans="1:16">
      <c r="A629" t="s">
        <v>1803</v>
      </c>
      <c r="B629">
        <v>1</v>
      </c>
      <c r="C629">
        <v>5</v>
      </c>
      <c r="D629">
        <v>7</v>
      </c>
      <c r="E629">
        <v>39</v>
      </c>
      <c r="F629" t="s">
        <v>25</v>
      </c>
      <c r="G629" t="s">
        <v>64</v>
      </c>
      <c r="I629" s="15">
        <f t="shared" si="30"/>
        <v>1010</v>
      </c>
      <c r="J629" s="15" t="str">
        <f t="shared" si="28"/>
        <v>10</v>
      </c>
      <c r="K629" s="15" t="str">
        <f t="shared" si="29"/>
        <v>0110</v>
      </c>
      <c r="L629" t="s">
        <v>2072</v>
      </c>
      <c r="M629">
        <v>1</v>
      </c>
      <c r="N629">
        <v>5</v>
      </c>
      <c r="O629">
        <v>7</v>
      </c>
      <c r="P629">
        <v>39</v>
      </c>
    </row>
    <row r="630" spans="1:16">
      <c r="A630" t="s">
        <v>1803</v>
      </c>
      <c r="B630">
        <v>1</v>
      </c>
      <c r="C630">
        <v>2</v>
      </c>
      <c r="D630">
        <v>6.5</v>
      </c>
      <c r="E630">
        <v>20</v>
      </c>
      <c r="F630" t="s">
        <v>54</v>
      </c>
      <c r="G630" t="s">
        <v>295</v>
      </c>
      <c r="I630" s="15">
        <f t="shared" si="30"/>
        <v>1010</v>
      </c>
      <c r="J630" s="15" t="str">
        <f t="shared" si="28"/>
        <v>10</v>
      </c>
      <c r="K630" s="15" t="str">
        <f t="shared" si="29"/>
        <v>0110</v>
      </c>
      <c r="L630" t="s">
        <v>2072</v>
      </c>
      <c r="M630">
        <v>1</v>
      </c>
      <c r="N630">
        <v>2</v>
      </c>
      <c r="O630">
        <v>6.5</v>
      </c>
      <c r="P630">
        <v>20</v>
      </c>
    </row>
    <row r="631" spans="1:16">
      <c r="A631" t="s">
        <v>2037</v>
      </c>
      <c r="B631">
        <v>1</v>
      </c>
      <c r="C631">
        <v>2</v>
      </c>
      <c r="D631">
        <v>6.7</v>
      </c>
      <c r="E631">
        <v>461</v>
      </c>
      <c r="F631" t="s">
        <v>54</v>
      </c>
      <c r="G631" t="s">
        <v>295</v>
      </c>
      <c r="I631" s="15">
        <f t="shared" si="30"/>
        <v>1013</v>
      </c>
      <c r="J631" s="15" t="str">
        <f t="shared" si="28"/>
        <v>10</v>
      </c>
      <c r="K631" s="15" t="str">
        <f t="shared" si="29"/>
        <v>0110</v>
      </c>
      <c r="L631" t="s">
        <v>2072</v>
      </c>
      <c r="M631">
        <v>1</v>
      </c>
      <c r="N631">
        <v>2</v>
      </c>
      <c r="O631">
        <v>6.7</v>
      </c>
      <c r="P631">
        <v>461</v>
      </c>
    </row>
    <row r="632" spans="1:16">
      <c r="A632" t="s">
        <v>1915</v>
      </c>
      <c r="B632">
        <v>1</v>
      </c>
      <c r="C632">
        <v>5</v>
      </c>
      <c r="D632">
        <v>6.5</v>
      </c>
      <c r="E632">
        <v>17</v>
      </c>
      <c r="F632" t="s">
        <v>25</v>
      </c>
      <c r="G632" t="s">
        <v>1744</v>
      </c>
      <c r="I632" s="15">
        <f t="shared" si="30"/>
        <v>1016</v>
      </c>
      <c r="J632" s="15" t="str">
        <f t="shared" si="28"/>
        <v>10</v>
      </c>
      <c r="K632" s="15" t="str">
        <f t="shared" si="29"/>
        <v>0110</v>
      </c>
      <c r="L632" t="s">
        <v>2072</v>
      </c>
      <c r="M632">
        <v>1</v>
      </c>
      <c r="N632">
        <v>5</v>
      </c>
      <c r="O632">
        <v>6.5</v>
      </c>
      <c r="P632">
        <v>17</v>
      </c>
    </row>
    <row r="633" spans="1:16">
      <c r="A633" t="s">
        <v>2038</v>
      </c>
      <c r="B633">
        <v>1</v>
      </c>
      <c r="C633">
        <v>4</v>
      </c>
      <c r="D633">
        <v>6.5</v>
      </c>
      <c r="E633">
        <v>10</v>
      </c>
      <c r="F633" t="s">
        <v>47</v>
      </c>
      <c r="G633" t="s">
        <v>998</v>
      </c>
      <c r="I633" s="15">
        <f t="shared" si="30"/>
        <v>1022</v>
      </c>
      <c r="J633" s="15" t="str">
        <f t="shared" si="28"/>
        <v>10</v>
      </c>
      <c r="K633" s="15" t="str">
        <f t="shared" si="29"/>
        <v>0110</v>
      </c>
      <c r="L633" t="s">
        <v>2072</v>
      </c>
      <c r="M633">
        <v>1</v>
      </c>
      <c r="N633">
        <v>4</v>
      </c>
      <c r="O633">
        <v>6.5</v>
      </c>
      <c r="P633">
        <v>10</v>
      </c>
    </row>
    <row r="634" spans="1:16">
      <c r="A634" t="s">
        <v>2038</v>
      </c>
      <c r="B634">
        <v>1</v>
      </c>
      <c r="C634">
        <v>4</v>
      </c>
      <c r="D634">
        <v>6.8</v>
      </c>
      <c r="E634">
        <v>10</v>
      </c>
      <c r="F634" t="s">
        <v>47</v>
      </c>
      <c r="G634" t="s">
        <v>998</v>
      </c>
      <c r="I634" s="15">
        <f t="shared" si="30"/>
        <v>1022</v>
      </c>
      <c r="J634" s="15" t="str">
        <f t="shared" si="28"/>
        <v>10</v>
      </c>
      <c r="K634" s="15" t="str">
        <f t="shared" si="29"/>
        <v>0110</v>
      </c>
      <c r="L634" t="s">
        <v>2072</v>
      </c>
      <c r="M634">
        <v>1</v>
      </c>
      <c r="N634">
        <v>4</v>
      </c>
      <c r="O634">
        <v>6.8</v>
      </c>
      <c r="P634">
        <v>10</v>
      </c>
    </row>
    <row r="635" spans="1:16">
      <c r="A635" t="s">
        <v>2038</v>
      </c>
      <c r="B635">
        <v>0</v>
      </c>
      <c r="C635">
        <v>4</v>
      </c>
      <c r="D635">
        <v>6.5</v>
      </c>
      <c r="E635">
        <v>10</v>
      </c>
      <c r="F635" t="s">
        <v>47</v>
      </c>
      <c r="G635" t="s">
        <v>998</v>
      </c>
      <c r="I635" s="15">
        <f t="shared" si="30"/>
        <v>1022</v>
      </c>
      <c r="J635" s="15" t="str">
        <f t="shared" si="28"/>
        <v>10</v>
      </c>
      <c r="K635" s="15" t="str">
        <f t="shared" si="29"/>
        <v>0110</v>
      </c>
      <c r="L635" t="s">
        <v>2072</v>
      </c>
      <c r="M635">
        <v>0</v>
      </c>
      <c r="N635">
        <v>4</v>
      </c>
      <c r="O635">
        <v>6.5</v>
      </c>
      <c r="P635">
        <v>10</v>
      </c>
    </row>
    <row r="636" spans="1:16">
      <c r="A636" t="s">
        <v>1943</v>
      </c>
      <c r="B636">
        <v>0</v>
      </c>
      <c r="C636">
        <v>3</v>
      </c>
      <c r="D636">
        <v>6.8</v>
      </c>
      <c r="E636">
        <v>14</v>
      </c>
      <c r="F636" t="s">
        <v>234</v>
      </c>
      <c r="G636" t="s">
        <v>235</v>
      </c>
      <c r="I636" s="15">
        <f t="shared" si="30"/>
        <v>1025</v>
      </c>
      <c r="J636" s="15" t="str">
        <f t="shared" si="28"/>
        <v>10</v>
      </c>
      <c r="K636" s="15" t="str">
        <f t="shared" si="29"/>
        <v>0110</v>
      </c>
      <c r="L636" t="s">
        <v>2072</v>
      </c>
      <c r="M636">
        <v>0</v>
      </c>
      <c r="N636">
        <v>3</v>
      </c>
      <c r="O636">
        <v>6.8</v>
      </c>
      <c r="P636">
        <v>14</v>
      </c>
    </row>
    <row r="637" spans="1:16">
      <c r="A637" t="s">
        <v>1956</v>
      </c>
      <c r="B637">
        <v>1</v>
      </c>
      <c r="C637">
        <v>7</v>
      </c>
      <c r="D637">
        <v>7.1</v>
      </c>
      <c r="E637">
        <v>133</v>
      </c>
      <c r="F637" t="s">
        <v>157</v>
      </c>
      <c r="G637" t="s">
        <v>1750</v>
      </c>
      <c r="I637" s="15">
        <f t="shared" si="30"/>
        <v>1112</v>
      </c>
      <c r="J637" s="15" t="str">
        <f t="shared" si="28"/>
        <v>11</v>
      </c>
      <c r="K637" s="15" t="str">
        <f t="shared" si="29"/>
        <v>0111</v>
      </c>
      <c r="L637" t="s">
        <v>2073</v>
      </c>
      <c r="M637">
        <v>1</v>
      </c>
      <c r="N637">
        <v>7</v>
      </c>
      <c r="O637">
        <v>7.1</v>
      </c>
      <c r="P637">
        <v>133</v>
      </c>
    </row>
    <row r="638" spans="1:16">
      <c r="A638" t="s">
        <v>1827</v>
      </c>
      <c r="B638">
        <v>1</v>
      </c>
      <c r="C638">
        <v>5</v>
      </c>
      <c r="D638">
        <v>6.8</v>
      </c>
      <c r="E638">
        <v>540</v>
      </c>
      <c r="F638" t="s">
        <v>25</v>
      </c>
      <c r="G638" t="s">
        <v>31</v>
      </c>
      <c r="I638" s="15">
        <f t="shared" si="30"/>
        <v>1118</v>
      </c>
      <c r="J638" s="15" t="str">
        <f t="shared" si="28"/>
        <v>11</v>
      </c>
      <c r="K638" s="15" t="str">
        <f t="shared" si="29"/>
        <v>0111</v>
      </c>
      <c r="L638" t="s">
        <v>2073</v>
      </c>
      <c r="M638">
        <v>1</v>
      </c>
      <c r="N638">
        <v>5</v>
      </c>
      <c r="O638">
        <v>6.8</v>
      </c>
      <c r="P638">
        <v>540</v>
      </c>
    </row>
    <row r="639" spans="1:16">
      <c r="A639" t="s">
        <v>2039</v>
      </c>
      <c r="B639">
        <v>1</v>
      </c>
      <c r="C639">
        <v>4</v>
      </c>
      <c r="D639">
        <v>7.1</v>
      </c>
      <c r="E639">
        <v>46.7</v>
      </c>
      <c r="F639" t="s">
        <v>47</v>
      </c>
      <c r="G639" t="s">
        <v>1754</v>
      </c>
      <c r="I639" s="15">
        <f t="shared" si="30"/>
        <v>1130</v>
      </c>
      <c r="J639" s="15" t="str">
        <f t="shared" si="28"/>
        <v>11</v>
      </c>
      <c r="K639" s="15" t="str">
        <f t="shared" si="29"/>
        <v>0111</v>
      </c>
      <c r="L639" t="s">
        <v>2073</v>
      </c>
      <c r="M639">
        <v>1</v>
      </c>
      <c r="N639">
        <v>4</v>
      </c>
      <c r="O639">
        <v>7.1</v>
      </c>
      <c r="P639">
        <v>46.7</v>
      </c>
    </row>
    <row r="640" spans="1:16">
      <c r="A640" t="s">
        <v>1906</v>
      </c>
      <c r="B640">
        <v>1</v>
      </c>
      <c r="C640">
        <v>2</v>
      </c>
      <c r="D640">
        <v>7.3</v>
      </c>
      <c r="E640">
        <v>16.559999999999999</v>
      </c>
      <c r="F640" t="s">
        <v>54</v>
      </c>
      <c r="G640" t="s">
        <v>295</v>
      </c>
      <c r="I640" s="15">
        <f t="shared" si="30"/>
        <v>1220</v>
      </c>
      <c r="J640" s="15" t="str">
        <f t="shared" si="28"/>
        <v>12</v>
      </c>
      <c r="K640" s="15" t="str">
        <f t="shared" si="29"/>
        <v>0112</v>
      </c>
      <c r="L640" t="s">
        <v>2074</v>
      </c>
      <c r="M640">
        <v>1</v>
      </c>
      <c r="N640">
        <v>2</v>
      </c>
      <c r="O640">
        <v>7.3</v>
      </c>
      <c r="P640">
        <v>16.559999999999999</v>
      </c>
    </row>
    <row r="641" spans="1:16">
      <c r="A641" t="s">
        <v>2040</v>
      </c>
      <c r="B641">
        <v>1</v>
      </c>
      <c r="C641">
        <v>2</v>
      </c>
      <c r="D641">
        <v>7</v>
      </c>
      <c r="E641">
        <v>60.21</v>
      </c>
      <c r="F641" t="s">
        <v>54</v>
      </c>
      <c r="G641" t="s">
        <v>75</v>
      </c>
      <c r="I641" s="15">
        <f t="shared" si="30"/>
        <v>1229</v>
      </c>
      <c r="J641" s="15" t="str">
        <f t="shared" si="28"/>
        <v>12</v>
      </c>
      <c r="K641" s="15" t="str">
        <f t="shared" si="29"/>
        <v>0112</v>
      </c>
      <c r="L641" t="s">
        <v>2074</v>
      </c>
      <c r="M641">
        <v>1</v>
      </c>
      <c r="N641">
        <v>2</v>
      </c>
      <c r="O641">
        <v>7</v>
      </c>
      <c r="P641">
        <v>60.21</v>
      </c>
    </row>
    <row r="642" spans="1:16">
      <c r="A642" t="s">
        <v>2041</v>
      </c>
      <c r="B642">
        <v>1</v>
      </c>
      <c r="C642">
        <v>4</v>
      </c>
      <c r="D642">
        <v>6.7</v>
      </c>
      <c r="E642">
        <v>66</v>
      </c>
      <c r="F642" t="s">
        <v>47</v>
      </c>
      <c r="G642" t="s">
        <v>48</v>
      </c>
      <c r="I642" s="15">
        <f t="shared" si="30"/>
        <v>102</v>
      </c>
      <c r="J642" s="15" t="str">
        <f t="shared" si="28"/>
        <v>01</v>
      </c>
      <c r="K642" s="15" t="str">
        <f t="shared" si="29"/>
        <v>0101</v>
      </c>
      <c r="L642" t="s">
        <v>2064</v>
      </c>
      <c r="M642">
        <v>1</v>
      </c>
      <c r="N642">
        <v>4</v>
      </c>
      <c r="O642">
        <v>6.7</v>
      </c>
      <c r="P642">
        <v>66</v>
      </c>
    </row>
    <row r="643" spans="1:16">
      <c r="A643" t="s">
        <v>1969</v>
      </c>
      <c r="B643">
        <v>1</v>
      </c>
      <c r="C643">
        <v>6</v>
      </c>
      <c r="D643">
        <v>7</v>
      </c>
      <c r="E643">
        <v>267</v>
      </c>
      <c r="F643" t="s">
        <v>78</v>
      </c>
      <c r="G643" t="s">
        <v>83</v>
      </c>
      <c r="I643" s="15">
        <f t="shared" si="30"/>
        <v>103</v>
      </c>
      <c r="J643" s="15" t="str">
        <f t="shared" ref="J643:J706" si="31">LEFT(L643,2)</f>
        <v>01</v>
      </c>
      <c r="K643" s="15" t="str">
        <f t="shared" ref="K643:K706" si="32">TEXT(J643,"MMDD")</f>
        <v>0101</v>
      </c>
      <c r="L643" t="s">
        <v>2064</v>
      </c>
      <c r="M643">
        <v>1</v>
      </c>
      <c r="N643">
        <v>6</v>
      </c>
      <c r="O643">
        <v>7</v>
      </c>
      <c r="P643">
        <v>267</v>
      </c>
    </row>
    <row r="644" spans="1:16">
      <c r="A644" t="s">
        <v>1892</v>
      </c>
      <c r="B644">
        <v>1</v>
      </c>
      <c r="C644">
        <v>6</v>
      </c>
      <c r="D644">
        <v>6.8</v>
      </c>
      <c r="E644">
        <v>25</v>
      </c>
      <c r="F644" t="s">
        <v>78</v>
      </c>
      <c r="G644" t="s">
        <v>245</v>
      </c>
      <c r="I644" s="15">
        <f t="shared" si="30"/>
        <v>108</v>
      </c>
      <c r="J644" s="15" t="str">
        <f t="shared" si="31"/>
        <v>01</v>
      </c>
      <c r="K644" s="15" t="str">
        <f t="shared" si="32"/>
        <v>0101</v>
      </c>
      <c r="L644" t="s">
        <v>2064</v>
      </c>
      <c r="M644">
        <v>1</v>
      </c>
      <c r="N644">
        <v>6</v>
      </c>
      <c r="O644">
        <v>6.8</v>
      </c>
      <c r="P644">
        <v>25</v>
      </c>
    </row>
    <row r="645" spans="1:16">
      <c r="A645" t="s">
        <v>1872</v>
      </c>
      <c r="B645">
        <v>1</v>
      </c>
      <c r="C645">
        <v>5</v>
      </c>
      <c r="D645">
        <v>6.6</v>
      </c>
      <c r="E645">
        <v>591</v>
      </c>
      <c r="F645" t="s">
        <v>25</v>
      </c>
      <c r="G645" t="s">
        <v>31</v>
      </c>
      <c r="I645" s="15">
        <f t="shared" si="30"/>
        <v>109</v>
      </c>
      <c r="J645" s="15" t="str">
        <f t="shared" si="31"/>
        <v>01</v>
      </c>
      <c r="K645" s="15" t="str">
        <f t="shared" si="32"/>
        <v>0101</v>
      </c>
      <c r="L645" t="s">
        <v>2064</v>
      </c>
      <c r="M645">
        <v>1</v>
      </c>
      <c r="N645">
        <v>5</v>
      </c>
      <c r="O645">
        <v>6.6</v>
      </c>
      <c r="P645">
        <v>591</v>
      </c>
    </row>
    <row r="646" spans="1:16">
      <c r="A646" t="s">
        <v>2042</v>
      </c>
      <c r="B646">
        <v>1</v>
      </c>
      <c r="C646">
        <v>5</v>
      </c>
      <c r="D646">
        <v>6.6</v>
      </c>
      <c r="E646">
        <v>35</v>
      </c>
      <c r="F646" t="s">
        <v>25</v>
      </c>
      <c r="G646" t="s">
        <v>163</v>
      </c>
      <c r="I646" s="15">
        <f t="shared" si="30"/>
        <v>115</v>
      </c>
      <c r="J646" s="15" t="str">
        <f t="shared" si="31"/>
        <v>01</v>
      </c>
      <c r="K646" s="15" t="str">
        <f t="shared" si="32"/>
        <v>0101</v>
      </c>
      <c r="L646" t="s">
        <v>2064</v>
      </c>
      <c r="M646">
        <v>1</v>
      </c>
      <c r="N646">
        <v>5</v>
      </c>
      <c r="O646">
        <v>6.6</v>
      </c>
      <c r="P646">
        <v>35</v>
      </c>
    </row>
    <row r="647" spans="1:16">
      <c r="A647" t="s">
        <v>1807</v>
      </c>
      <c r="B647">
        <v>1</v>
      </c>
      <c r="C647">
        <v>6</v>
      </c>
      <c r="D647">
        <v>6.7</v>
      </c>
      <c r="E647">
        <v>63</v>
      </c>
      <c r="F647" t="s">
        <v>78</v>
      </c>
      <c r="G647" t="s">
        <v>245</v>
      </c>
      <c r="I647" s="15">
        <f t="shared" si="30"/>
        <v>120</v>
      </c>
      <c r="J647" s="15" t="str">
        <f t="shared" si="31"/>
        <v>01</v>
      </c>
      <c r="K647" s="15" t="str">
        <f t="shared" si="32"/>
        <v>0101</v>
      </c>
      <c r="L647" t="s">
        <v>2064</v>
      </c>
      <c r="M647">
        <v>1</v>
      </c>
      <c r="N647">
        <v>6</v>
      </c>
      <c r="O647">
        <v>6.7</v>
      </c>
      <c r="P647">
        <v>63</v>
      </c>
    </row>
    <row r="648" spans="1:16">
      <c r="A648" t="s">
        <v>1809</v>
      </c>
      <c r="B648">
        <v>0</v>
      </c>
      <c r="C648">
        <v>4</v>
      </c>
      <c r="D648">
        <v>6.7</v>
      </c>
      <c r="E648">
        <v>13</v>
      </c>
      <c r="F648" t="s">
        <v>47</v>
      </c>
      <c r="G648" t="s">
        <v>1750</v>
      </c>
      <c r="I648" s="15">
        <f t="shared" si="30"/>
        <v>122</v>
      </c>
      <c r="J648" s="15" t="str">
        <f t="shared" si="31"/>
        <v>01</v>
      </c>
      <c r="K648" s="15" t="str">
        <f t="shared" si="32"/>
        <v>0101</v>
      </c>
      <c r="L648" t="s">
        <v>2064</v>
      </c>
      <c r="M648">
        <v>0</v>
      </c>
      <c r="N648">
        <v>4</v>
      </c>
      <c r="O648">
        <v>6.7</v>
      </c>
      <c r="P648">
        <v>13</v>
      </c>
    </row>
    <row r="649" spans="1:16">
      <c r="A649" t="s">
        <v>2043</v>
      </c>
      <c r="B649">
        <v>0</v>
      </c>
      <c r="C649">
        <v>2</v>
      </c>
      <c r="D649">
        <v>6.9</v>
      </c>
      <c r="E649">
        <v>49</v>
      </c>
      <c r="F649" t="s">
        <v>54</v>
      </c>
      <c r="G649" t="s">
        <v>108</v>
      </c>
      <c r="I649" s="15">
        <f t="shared" si="30"/>
        <v>208</v>
      </c>
      <c r="J649" s="15" t="str">
        <f t="shared" si="31"/>
        <v>02</v>
      </c>
      <c r="K649" s="15" t="str">
        <f t="shared" si="32"/>
        <v>0102</v>
      </c>
      <c r="L649" t="s">
        <v>2065</v>
      </c>
      <c r="M649">
        <v>0</v>
      </c>
      <c r="N649">
        <v>2</v>
      </c>
      <c r="O649">
        <v>6.9</v>
      </c>
      <c r="P649">
        <v>49</v>
      </c>
    </row>
    <row r="650" spans="1:16">
      <c r="A650" t="s">
        <v>1873</v>
      </c>
      <c r="B650">
        <v>1</v>
      </c>
      <c r="C650">
        <v>6</v>
      </c>
      <c r="D650">
        <v>7.5</v>
      </c>
      <c r="E650">
        <v>145</v>
      </c>
      <c r="F650" t="s">
        <v>78</v>
      </c>
      <c r="G650" t="s">
        <v>371</v>
      </c>
      <c r="I650" s="15">
        <f t="shared" si="30"/>
        <v>222</v>
      </c>
      <c r="J650" s="15" t="str">
        <f t="shared" si="31"/>
        <v>02</v>
      </c>
      <c r="K650" s="15" t="str">
        <f t="shared" si="32"/>
        <v>0102</v>
      </c>
      <c r="L650" t="s">
        <v>2065</v>
      </c>
      <c r="M650">
        <v>1</v>
      </c>
      <c r="N650">
        <v>6</v>
      </c>
      <c r="O650">
        <v>7.5</v>
      </c>
      <c r="P650">
        <v>145</v>
      </c>
    </row>
    <row r="651" spans="1:16">
      <c r="A651" t="s">
        <v>1999</v>
      </c>
      <c r="B651">
        <v>1</v>
      </c>
      <c r="C651">
        <v>5</v>
      </c>
      <c r="D651">
        <v>6.6</v>
      </c>
      <c r="E651">
        <v>10</v>
      </c>
      <c r="F651" t="s">
        <v>25</v>
      </c>
      <c r="G651" t="s">
        <v>1022</v>
      </c>
      <c r="I651" s="15">
        <f t="shared" si="30"/>
        <v>411</v>
      </c>
      <c r="J651" s="15" t="str">
        <f t="shared" si="31"/>
        <v>04</v>
      </c>
      <c r="K651" s="15" t="str">
        <f t="shared" si="32"/>
        <v>0104</v>
      </c>
      <c r="L651" t="s">
        <v>2067</v>
      </c>
      <c r="M651">
        <v>1</v>
      </c>
      <c r="N651">
        <v>5</v>
      </c>
      <c r="O651">
        <v>6.6</v>
      </c>
      <c r="P651">
        <v>10</v>
      </c>
    </row>
    <row r="652" spans="1:16">
      <c r="A652" t="s">
        <v>1936</v>
      </c>
      <c r="B652">
        <v>0</v>
      </c>
      <c r="C652">
        <v>6</v>
      </c>
      <c r="D652">
        <v>6.8</v>
      </c>
      <c r="E652">
        <v>570.41</v>
      </c>
      <c r="F652" t="s">
        <v>78</v>
      </c>
      <c r="G652" t="s">
        <v>79</v>
      </c>
      <c r="I652" s="15">
        <f t="shared" si="30"/>
        <v>501</v>
      </c>
      <c r="J652" s="15" t="str">
        <f t="shared" si="31"/>
        <v>05</v>
      </c>
      <c r="K652" s="15" t="str">
        <f t="shared" si="32"/>
        <v>0105</v>
      </c>
      <c r="L652" t="s">
        <v>2068</v>
      </c>
      <c r="M652">
        <v>0</v>
      </c>
      <c r="N652">
        <v>6</v>
      </c>
      <c r="O652">
        <v>6.8</v>
      </c>
      <c r="P652">
        <v>570.41</v>
      </c>
    </row>
    <row r="653" spans="1:16">
      <c r="A653" t="s">
        <v>1861</v>
      </c>
      <c r="B653">
        <v>1</v>
      </c>
      <c r="C653">
        <v>5</v>
      </c>
      <c r="D653">
        <v>7.6</v>
      </c>
      <c r="E653">
        <v>10</v>
      </c>
      <c r="F653" t="s">
        <v>25</v>
      </c>
      <c r="G653" t="s">
        <v>64</v>
      </c>
      <c r="I653" s="15">
        <f t="shared" si="30"/>
        <v>514</v>
      </c>
      <c r="J653" s="15" t="str">
        <f t="shared" si="31"/>
        <v>05</v>
      </c>
      <c r="K653" s="15" t="str">
        <f t="shared" si="32"/>
        <v>0105</v>
      </c>
      <c r="L653" t="s">
        <v>2068</v>
      </c>
      <c r="M653">
        <v>1</v>
      </c>
      <c r="N653">
        <v>5</v>
      </c>
      <c r="O653">
        <v>7.6</v>
      </c>
      <c r="P653">
        <v>10</v>
      </c>
    </row>
    <row r="654" spans="1:16">
      <c r="A654" t="s">
        <v>1813</v>
      </c>
      <c r="B654">
        <v>1</v>
      </c>
      <c r="C654">
        <v>6</v>
      </c>
      <c r="D654">
        <v>8</v>
      </c>
      <c r="E654">
        <v>122.57</v>
      </c>
      <c r="F654" t="s">
        <v>78</v>
      </c>
      <c r="G654" t="s">
        <v>83</v>
      </c>
      <c r="I654" s="15">
        <f t="shared" si="30"/>
        <v>526</v>
      </c>
      <c r="J654" s="15" t="str">
        <f t="shared" si="31"/>
        <v>05</v>
      </c>
      <c r="K654" s="15" t="str">
        <f t="shared" si="32"/>
        <v>0105</v>
      </c>
      <c r="L654" t="s">
        <v>2068</v>
      </c>
      <c r="M654">
        <v>1</v>
      </c>
      <c r="N654">
        <v>6</v>
      </c>
      <c r="O654">
        <v>8</v>
      </c>
      <c r="P654">
        <v>122.57</v>
      </c>
    </row>
    <row r="655" spans="1:16">
      <c r="A655" t="s">
        <v>2004</v>
      </c>
      <c r="B655">
        <v>1</v>
      </c>
      <c r="C655">
        <v>4</v>
      </c>
      <c r="D655">
        <v>6.6</v>
      </c>
      <c r="E655">
        <v>57.92</v>
      </c>
      <c r="F655" t="s">
        <v>47</v>
      </c>
      <c r="G655" t="s">
        <v>1723</v>
      </c>
      <c r="I655" s="15">
        <f t="shared" si="30"/>
        <v>530</v>
      </c>
      <c r="J655" s="15" t="str">
        <f t="shared" si="31"/>
        <v>05</v>
      </c>
      <c r="K655" s="15" t="str">
        <f t="shared" si="32"/>
        <v>0105</v>
      </c>
      <c r="L655" t="s">
        <v>2068</v>
      </c>
      <c r="M655">
        <v>1</v>
      </c>
      <c r="N655">
        <v>4</v>
      </c>
      <c r="O655">
        <v>6.6</v>
      </c>
      <c r="P655">
        <v>57.92</v>
      </c>
    </row>
    <row r="656" spans="1:16">
      <c r="A656" t="s">
        <v>2044</v>
      </c>
      <c r="B656">
        <v>1</v>
      </c>
      <c r="C656">
        <v>2</v>
      </c>
      <c r="D656">
        <v>6.6</v>
      </c>
      <c r="E656">
        <v>43.21</v>
      </c>
      <c r="F656" t="s">
        <v>54</v>
      </c>
      <c r="G656" t="s">
        <v>108</v>
      </c>
      <c r="I656" s="15">
        <f t="shared" si="30"/>
        <v>601</v>
      </c>
      <c r="J656" s="15" t="str">
        <f t="shared" si="31"/>
        <v>06</v>
      </c>
      <c r="K656" s="15" t="str">
        <f t="shared" si="32"/>
        <v>0106</v>
      </c>
      <c r="L656" t="s">
        <v>2069</v>
      </c>
      <c r="M656">
        <v>1</v>
      </c>
      <c r="N656">
        <v>2</v>
      </c>
      <c r="O656">
        <v>6.6</v>
      </c>
      <c r="P656">
        <v>43.21</v>
      </c>
    </row>
    <row r="657" spans="1:16">
      <c r="A657" t="s">
        <v>2045</v>
      </c>
      <c r="B657">
        <v>1</v>
      </c>
      <c r="C657">
        <v>5</v>
      </c>
      <c r="D657">
        <v>7.1</v>
      </c>
      <c r="E657">
        <v>146</v>
      </c>
      <c r="F657" t="s">
        <v>25</v>
      </c>
      <c r="G657" t="s">
        <v>64</v>
      </c>
      <c r="I657" s="15">
        <f t="shared" si="30"/>
        <v>605</v>
      </c>
      <c r="J657" s="15" t="str">
        <f t="shared" si="31"/>
        <v>06</v>
      </c>
      <c r="K657" s="15" t="str">
        <f t="shared" si="32"/>
        <v>0106</v>
      </c>
      <c r="L657" t="s">
        <v>2069</v>
      </c>
      <c r="M657">
        <v>1</v>
      </c>
      <c r="N657">
        <v>5</v>
      </c>
      <c r="O657">
        <v>7.1</v>
      </c>
      <c r="P657">
        <v>146</v>
      </c>
    </row>
    <row r="658" spans="1:16">
      <c r="A658" t="s">
        <v>1948</v>
      </c>
      <c r="B658">
        <v>0</v>
      </c>
      <c r="C658">
        <v>4</v>
      </c>
      <c r="D658">
        <v>7.1</v>
      </c>
      <c r="E658">
        <v>8</v>
      </c>
      <c r="F658" t="s">
        <v>47</v>
      </c>
      <c r="G658" t="s">
        <v>1754</v>
      </c>
      <c r="I658" s="15">
        <f t="shared" si="30"/>
        <v>607</v>
      </c>
      <c r="J658" s="15" t="str">
        <f t="shared" si="31"/>
        <v>06</v>
      </c>
      <c r="K658" s="15" t="str">
        <f t="shared" si="32"/>
        <v>0106</v>
      </c>
      <c r="L658" t="s">
        <v>2069</v>
      </c>
      <c r="M658">
        <v>0</v>
      </c>
      <c r="N658">
        <v>4</v>
      </c>
      <c r="O658">
        <v>7.1</v>
      </c>
      <c r="P658">
        <v>8</v>
      </c>
    </row>
    <row r="659" spans="1:16">
      <c r="A659" t="s">
        <v>1864</v>
      </c>
      <c r="B659">
        <v>1</v>
      </c>
      <c r="C659">
        <v>5</v>
      </c>
      <c r="D659">
        <v>7.3</v>
      </c>
      <c r="E659">
        <v>46</v>
      </c>
      <c r="F659" t="s">
        <v>25</v>
      </c>
      <c r="G659" t="s">
        <v>594</v>
      </c>
      <c r="I659" s="15">
        <f t="shared" si="30"/>
        <v>615</v>
      </c>
      <c r="J659" s="15" t="str">
        <f t="shared" si="31"/>
        <v>06</v>
      </c>
      <c r="K659" s="15" t="str">
        <f t="shared" si="32"/>
        <v>0106</v>
      </c>
      <c r="L659" t="s">
        <v>2069</v>
      </c>
      <c r="M659">
        <v>1</v>
      </c>
      <c r="N659">
        <v>5</v>
      </c>
      <c r="O659">
        <v>7.3</v>
      </c>
      <c r="P659">
        <v>46</v>
      </c>
    </row>
    <row r="660" spans="1:16">
      <c r="A660" t="s">
        <v>1976</v>
      </c>
      <c r="B660">
        <v>1</v>
      </c>
      <c r="C660">
        <v>2</v>
      </c>
      <c r="D660">
        <v>7.3</v>
      </c>
      <c r="E660">
        <v>212</v>
      </c>
      <c r="F660" t="s">
        <v>54</v>
      </c>
      <c r="G660" t="s">
        <v>108</v>
      </c>
      <c r="I660" s="15">
        <f t="shared" si="30"/>
        <v>624</v>
      </c>
      <c r="J660" s="15" t="str">
        <f t="shared" si="31"/>
        <v>06</v>
      </c>
      <c r="K660" s="15" t="str">
        <f t="shared" si="32"/>
        <v>0106</v>
      </c>
      <c r="L660" t="s">
        <v>2069</v>
      </c>
      <c r="M660">
        <v>1</v>
      </c>
      <c r="N660">
        <v>2</v>
      </c>
      <c r="O660">
        <v>7.3</v>
      </c>
      <c r="P660">
        <v>212</v>
      </c>
    </row>
    <row r="661" spans="1:16">
      <c r="A661" t="s">
        <v>1772</v>
      </c>
      <c r="B661">
        <v>0</v>
      </c>
      <c r="C661">
        <v>2</v>
      </c>
      <c r="D661">
        <v>6.9</v>
      </c>
      <c r="E661">
        <v>35</v>
      </c>
      <c r="F661" t="s">
        <v>54</v>
      </c>
      <c r="G661" t="s">
        <v>108</v>
      </c>
      <c r="I661" s="15">
        <f t="shared" si="30"/>
        <v>707</v>
      </c>
      <c r="J661" s="15" t="str">
        <f t="shared" si="31"/>
        <v>07</v>
      </c>
      <c r="K661" s="15" t="str">
        <f t="shared" si="32"/>
        <v>0107</v>
      </c>
      <c r="L661" t="s">
        <v>2070</v>
      </c>
      <c r="M661">
        <v>0</v>
      </c>
      <c r="N661">
        <v>2</v>
      </c>
      <c r="O661">
        <v>6.9</v>
      </c>
      <c r="P661">
        <v>35</v>
      </c>
    </row>
    <row r="662" spans="1:16">
      <c r="A662" t="s">
        <v>1939</v>
      </c>
      <c r="B662">
        <v>1</v>
      </c>
      <c r="C662">
        <v>2</v>
      </c>
      <c r="D662">
        <v>7.2</v>
      </c>
      <c r="E662">
        <v>18.98</v>
      </c>
      <c r="F662" t="s">
        <v>54</v>
      </c>
      <c r="G662" t="s">
        <v>108</v>
      </c>
      <c r="I662" s="15">
        <f t="shared" si="30"/>
        <v>714</v>
      </c>
      <c r="J662" s="15" t="str">
        <f t="shared" si="31"/>
        <v>07</v>
      </c>
      <c r="K662" s="15" t="str">
        <f t="shared" si="32"/>
        <v>0107</v>
      </c>
      <c r="L662" t="s">
        <v>2070</v>
      </c>
      <c r="M662">
        <v>1</v>
      </c>
      <c r="N662">
        <v>2</v>
      </c>
      <c r="O662">
        <v>7.2</v>
      </c>
      <c r="P662">
        <v>18.98</v>
      </c>
    </row>
    <row r="663" spans="1:16">
      <c r="A663" t="s">
        <v>1939</v>
      </c>
      <c r="B663">
        <v>0</v>
      </c>
      <c r="C663">
        <v>5</v>
      </c>
      <c r="D663">
        <v>6.6</v>
      </c>
      <c r="E663">
        <v>10</v>
      </c>
      <c r="F663" t="s">
        <v>25</v>
      </c>
      <c r="G663" t="s">
        <v>1737</v>
      </c>
      <c r="I663" s="15">
        <f t="shared" si="30"/>
        <v>714</v>
      </c>
      <c r="J663" s="15" t="str">
        <f t="shared" si="31"/>
        <v>07</v>
      </c>
      <c r="K663" s="15" t="str">
        <f t="shared" si="32"/>
        <v>0107</v>
      </c>
      <c r="L663" t="s">
        <v>2070</v>
      </c>
      <c r="M663">
        <v>0</v>
      </c>
      <c r="N663">
        <v>5</v>
      </c>
      <c r="O663">
        <v>6.6</v>
      </c>
      <c r="P663">
        <v>10</v>
      </c>
    </row>
    <row r="664" spans="1:16">
      <c r="A664" t="s">
        <v>1799</v>
      </c>
      <c r="B664">
        <v>1</v>
      </c>
      <c r="C664">
        <v>5</v>
      </c>
      <c r="D664">
        <v>6.6</v>
      </c>
      <c r="E664">
        <v>181</v>
      </c>
      <c r="F664" t="s">
        <v>25</v>
      </c>
      <c r="G664" t="s">
        <v>163</v>
      </c>
      <c r="I664" s="15">
        <f t="shared" si="30"/>
        <v>731</v>
      </c>
      <c r="J664" s="15" t="str">
        <f t="shared" si="31"/>
        <v>07</v>
      </c>
      <c r="K664" s="15" t="str">
        <f t="shared" si="32"/>
        <v>0107</v>
      </c>
      <c r="L664" t="s">
        <v>2070</v>
      </c>
      <c r="M664">
        <v>1</v>
      </c>
      <c r="N664">
        <v>5</v>
      </c>
      <c r="O664">
        <v>6.6</v>
      </c>
      <c r="P664">
        <v>181</v>
      </c>
    </row>
    <row r="665" spans="1:16">
      <c r="A665" t="s">
        <v>1920</v>
      </c>
      <c r="B665">
        <v>0</v>
      </c>
      <c r="C665">
        <v>5</v>
      </c>
      <c r="D665">
        <v>6.5</v>
      </c>
      <c r="E665">
        <v>577</v>
      </c>
      <c r="F665" t="s">
        <v>25</v>
      </c>
      <c r="G665" t="s">
        <v>31</v>
      </c>
      <c r="I665" s="15">
        <f t="shared" si="30"/>
        <v>811</v>
      </c>
      <c r="J665" s="15" t="str">
        <f t="shared" si="31"/>
        <v>08</v>
      </c>
      <c r="K665" s="15" t="str">
        <f t="shared" si="32"/>
        <v>0108</v>
      </c>
      <c r="L665" t="s">
        <v>2075</v>
      </c>
      <c r="M665">
        <v>0</v>
      </c>
      <c r="N665">
        <v>5</v>
      </c>
      <c r="O665">
        <v>6.5</v>
      </c>
      <c r="P665">
        <v>577</v>
      </c>
    </row>
    <row r="666" spans="1:16">
      <c r="A666" t="s">
        <v>1965</v>
      </c>
      <c r="B666">
        <v>1</v>
      </c>
      <c r="C666">
        <v>3</v>
      </c>
      <c r="D666">
        <v>6.6</v>
      </c>
      <c r="E666">
        <v>16</v>
      </c>
      <c r="F666" t="s">
        <v>234</v>
      </c>
      <c r="G666" t="s">
        <v>1753</v>
      </c>
      <c r="I666" s="15">
        <f t="shared" si="30"/>
        <v>827</v>
      </c>
      <c r="J666" s="15" t="str">
        <f t="shared" si="31"/>
        <v>08</v>
      </c>
      <c r="K666" s="15" t="str">
        <f t="shared" si="32"/>
        <v>0108</v>
      </c>
      <c r="L666" t="s">
        <v>2075</v>
      </c>
      <c r="M666">
        <v>1</v>
      </c>
      <c r="N666">
        <v>3</v>
      </c>
      <c r="O666">
        <v>6.6</v>
      </c>
      <c r="P666">
        <v>16</v>
      </c>
    </row>
    <row r="667" spans="1:16">
      <c r="A667" t="s">
        <v>1843</v>
      </c>
      <c r="B667">
        <v>1</v>
      </c>
      <c r="C667">
        <v>3</v>
      </c>
      <c r="D667">
        <v>6.5</v>
      </c>
      <c r="E667">
        <v>38</v>
      </c>
      <c r="F667" t="s">
        <v>234</v>
      </c>
      <c r="G667" t="s">
        <v>1753</v>
      </c>
      <c r="I667" s="15">
        <f t="shared" si="30"/>
        <v>904</v>
      </c>
      <c r="J667" s="15" t="str">
        <f t="shared" si="31"/>
        <v>09</v>
      </c>
      <c r="K667" s="15" t="str">
        <f t="shared" si="32"/>
        <v>0109</v>
      </c>
      <c r="L667" t="s">
        <v>2071</v>
      </c>
      <c r="M667">
        <v>1</v>
      </c>
      <c r="N667">
        <v>3</v>
      </c>
      <c r="O667">
        <v>6.5</v>
      </c>
      <c r="P667">
        <v>38</v>
      </c>
    </row>
    <row r="668" spans="1:16">
      <c r="A668" t="s">
        <v>1822</v>
      </c>
      <c r="B668">
        <v>1</v>
      </c>
      <c r="C668">
        <v>2</v>
      </c>
      <c r="D668">
        <v>6.5</v>
      </c>
      <c r="E668">
        <v>12.26</v>
      </c>
      <c r="F668" t="s">
        <v>54</v>
      </c>
      <c r="G668" t="s">
        <v>108</v>
      </c>
      <c r="I668" s="15">
        <f t="shared" si="30"/>
        <v>925</v>
      </c>
      <c r="J668" s="15" t="str">
        <f t="shared" si="31"/>
        <v>09</v>
      </c>
      <c r="K668" s="15" t="str">
        <f t="shared" si="32"/>
        <v>0109</v>
      </c>
      <c r="L668" t="s">
        <v>2071</v>
      </c>
      <c r="M668">
        <v>1</v>
      </c>
      <c r="N668">
        <v>2</v>
      </c>
      <c r="O668">
        <v>6.5</v>
      </c>
      <c r="P668">
        <v>12.26</v>
      </c>
    </row>
    <row r="669" spans="1:16">
      <c r="A669" t="s">
        <v>1824</v>
      </c>
      <c r="B669">
        <v>1</v>
      </c>
      <c r="C669">
        <v>6</v>
      </c>
      <c r="D669">
        <v>6.7</v>
      </c>
      <c r="E669">
        <v>11</v>
      </c>
      <c r="F669" t="s">
        <v>78</v>
      </c>
      <c r="G669" t="s">
        <v>245</v>
      </c>
      <c r="I669" s="15">
        <f t="shared" si="30"/>
        <v>929</v>
      </c>
      <c r="J669" s="15" t="str">
        <f t="shared" si="31"/>
        <v>09</v>
      </c>
      <c r="K669" s="15" t="str">
        <f t="shared" si="32"/>
        <v>0109</v>
      </c>
      <c r="L669" t="s">
        <v>2071</v>
      </c>
      <c r="M669">
        <v>1</v>
      </c>
      <c r="N669">
        <v>6</v>
      </c>
      <c r="O669">
        <v>6.7</v>
      </c>
      <c r="P669">
        <v>11</v>
      </c>
    </row>
    <row r="670" spans="1:16">
      <c r="A670" t="s">
        <v>2046</v>
      </c>
      <c r="B670">
        <v>1</v>
      </c>
      <c r="C670">
        <v>2</v>
      </c>
      <c r="D670">
        <v>6.6</v>
      </c>
      <c r="E670">
        <v>15</v>
      </c>
      <c r="F670" t="s">
        <v>54</v>
      </c>
      <c r="G670" t="s">
        <v>75</v>
      </c>
      <c r="I670" s="15">
        <f t="shared" si="30"/>
        <v>1029</v>
      </c>
      <c r="J670" s="15" t="str">
        <f t="shared" si="31"/>
        <v>10</v>
      </c>
      <c r="K670" s="15" t="str">
        <f t="shared" si="32"/>
        <v>0110</v>
      </c>
      <c r="L670" t="s">
        <v>2072</v>
      </c>
      <c r="M670">
        <v>1</v>
      </c>
      <c r="N670">
        <v>2</v>
      </c>
      <c r="O670">
        <v>6.6</v>
      </c>
      <c r="P670">
        <v>15</v>
      </c>
    </row>
    <row r="671" spans="1:16">
      <c r="A671" t="s">
        <v>1778</v>
      </c>
      <c r="B671">
        <v>1</v>
      </c>
      <c r="C671">
        <v>2</v>
      </c>
      <c r="D671">
        <v>6.5</v>
      </c>
      <c r="E671">
        <v>10</v>
      </c>
      <c r="F671" t="s">
        <v>54</v>
      </c>
      <c r="G671" t="s">
        <v>75</v>
      </c>
      <c r="I671" s="15">
        <f t="shared" si="30"/>
        <v>1031</v>
      </c>
      <c r="J671" s="15" t="str">
        <f t="shared" si="31"/>
        <v>10</v>
      </c>
      <c r="K671" s="15" t="str">
        <f t="shared" si="32"/>
        <v>0110</v>
      </c>
      <c r="L671" t="s">
        <v>2072</v>
      </c>
      <c r="M671">
        <v>1</v>
      </c>
      <c r="N671">
        <v>2</v>
      </c>
      <c r="O671">
        <v>6.5</v>
      </c>
      <c r="P671">
        <v>10</v>
      </c>
    </row>
    <row r="672" spans="1:16">
      <c r="A672" t="s">
        <v>1780</v>
      </c>
      <c r="B672">
        <v>1</v>
      </c>
      <c r="C672">
        <v>2</v>
      </c>
      <c r="D672">
        <v>7.1</v>
      </c>
      <c r="E672">
        <v>33</v>
      </c>
      <c r="F672" t="s">
        <v>54</v>
      </c>
      <c r="G672" t="s">
        <v>108</v>
      </c>
      <c r="I672" s="15">
        <f t="shared" si="30"/>
        <v>1114</v>
      </c>
      <c r="J672" s="15" t="str">
        <f t="shared" si="31"/>
        <v>11</v>
      </c>
      <c r="K672" s="15" t="str">
        <f t="shared" si="32"/>
        <v>0111</v>
      </c>
      <c r="L672" t="s">
        <v>2073</v>
      </c>
      <c r="M672">
        <v>1</v>
      </c>
      <c r="N672">
        <v>2</v>
      </c>
      <c r="O672">
        <v>7.1</v>
      </c>
      <c r="P672">
        <v>33</v>
      </c>
    </row>
    <row r="673" spans="1:16">
      <c r="A673" t="s">
        <v>1967</v>
      </c>
      <c r="B673">
        <v>1</v>
      </c>
      <c r="C673">
        <v>2</v>
      </c>
      <c r="D673">
        <v>6.8</v>
      </c>
      <c r="E673">
        <v>15.46</v>
      </c>
      <c r="F673" t="s">
        <v>54</v>
      </c>
      <c r="G673" t="s">
        <v>108</v>
      </c>
      <c r="I673" s="15">
        <f t="shared" si="30"/>
        <v>1204</v>
      </c>
      <c r="J673" s="15" t="str">
        <f t="shared" si="31"/>
        <v>12</v>
      </c>
      <c r="K673" s="15" t="str">
        <f t="shared" si="32"/>
        <v>0112</v>
      </c>
      <c r="L673" t="s">
        <v>2074</v>
      </c>
      <c r="M673">
        <v>1</v>
      </c>
      <c r="N673">
        <v>2</v>
      </c>
      <c r="O673">
        <v>6.8</v>
      </c>
      <c r="P673">
        <v>15.46</v>
      </c>
    </row>
    <row r="674" spans="1:16">
      <c r="A674" t="s">
        <v>2027</v>
      </c>
      <c r="B674">
        <v>1</v>
      </c>
      <c r="C674">
        <v>2</v>
      </c>
      <c r="D674">
        <v>6.8</v>
      </c>
      <c r="E674">
        <v>18</v>
      </c>
      <c r="F674" t="s">
        <v>54</v>
      </c>
      <c r="G674" t="s">
        <v>75</v>
      </c>
      <c r="I674" s="15">
        <f t="shared" si="30"/>
        <v>1215</v>
      </c>
      <c r="J674" s="15" t="str">
        <f t="shared" si="31"/>
        <v>12</v>
      </c>
      <c r="K674" s="15" t="str">
        <f t="shared" si="32"/>
        <v>0112</v>
      </c>
      <c r="L674" t="s">
        <v>2074</v>
      </c>
      <c r="M674">
        <v>1</v>
      </c>
      <c r="N674">
        <v>2</v>
      </c>
      <c r="O674">
        <v>6.8</v>
      </c>
      <c r="P674">
        <v>18</v>
      </c>
    </row>
    <row r="675" spans="1:16">
      <c r="A675" t="s">
        <v>1872</v>
      </c>
      <c r="B675">
        <v>1</v>
      </c>
      <c r="C675">
        <v>6</v>
      </c>
      <c r="D675">
        <v>6.8</v>
      </c>
      <c r="E675">
        <v>21</v>
      </c>
      <c r="F675" t="s">
        <v>78</v>
      </c>
      <c r="G675" t="s">
        <v>245</v>
      </c>
      <c r="I675" s="15">
        <f t="shared" si="30"/>
        <v>109</v>
      </c>
      <c r="J675" s="15" t="str">
        <f t="shared" si="31"/>
        <v>01</v>
      </c>
      <c r="K675" s="15" t="str">
        <f t="shared" si="32"/>
        <v>0101</v>
      </c>
      <c r="L675" t="s">
        <v>2064</v>
      </c>
      <c r="M675">
        <v>1</v>
      </c>
      <c r="N675">
        <v>6</v>
      </c>
      <c r="O675">
        <v>6.8</v>
      </c>
      <c r="P675">
        <v>21</v>
      </c>
    </row>
    <row r="676" spans="1:16">
      <c r="A676" t="s">
        <v>1872</v>
      </c>
      <c r="B676">
        <v>0</v>
      </c>
      <c r="C676">
        <v>6</v>
      </c>
      <c r="D676">
        <v>6.5</v>
      </c>
      <c r="E676">
        <v>16</v>
      </c>
      <c r="F676" t="s">
        <v>78</v>
      </c>
      <c r="G676" t="s">
        <v>245</v>
      </c>
      <c r="I676" s="15">
        <f t="shared" si="30"/>
        <v>109</v>
      </c>
      <c r="J676" s="15" t="str">
        <f t="shared" si="31"/>
        <v>01</v>
      </c>
      <c r="K676" s="15" t="str">
        <f t="shared" si="32"/>
        <v>0101</v>
      </c>
      <c r="L676" t="s">
        <v>2064</v>
      </c>
      <c r="M676">
        <v>0</v>
      </c>
      <c r="N676">
        <v>6</v>
      </c>
      <c r="O676">
        <v>6.5</v>
      </c>
      <c r="P676">
        <v>16</v>
      </c>
    </row>
    <row r="677" spans="1:16">
      <c r="A677" t="s">
        <v>2014</v>
      </c>
      <c r="B677">
        <v>0</v>
      </c>
      <c r="C677">
        <v>2</v>
      </c>
      <c r="D677">
        <v>6.7</v>
      </c>
      <c r="E677">
        <v>10</v>
      </c>
      <c r="F677" t="s">
        <v>54</v>
      </c>
      <c r="G677" t="s">
        <v>302</v>
      </c>
      <c r="I677" s="15">
        <f t="shared" ref="I677:I740" si="33">TRUNC(A677,6)</f>
        <v>124</v>
      </c>
      <c r="J677" s="15" t="str">
        <f t="shared" si="31"/>
        <v>01</v>
      </c>
      <c r="K677" s="15" t="str">
        <f t="shared" si="32"/>
        <v>0101</v>
      </c>
      <c r="L677" t="s">
        <v>2064</v>
      </c>
      <c r="M677">
        <v>0</v>
      </c>
      <c r="N677">
        <v>2</v>
      </c>
      <c r="O677">
        <v>6.7</v>
      </c>
      <c r="P677">
        <v>10</v>
      </c>
    </row>
    <row r="678" spans="1:16">
      <c r="A678" t="s">
        <v>1833</v>
      </c>
      <c r="B678">
        <v>1</v>
      </c>
      <c r="C678">
        <v>4</v>
      </c>
      <c r="D678">
        <v>7.7</v>
      </c>
      <c r="E678">
        <v>14.86</v>
      </c>
      <c r="F678" t="s">
        <v>47</v>
      </c>
      <c r="G678" t="s">
        <v>1742</v>
      </c>
      <c r="I678" s="15">
        <f t="shared" si="33"/>
        <v>128</v>
      </c>
      <c r="J678" s="15" t="str">
        <f t="shared" si="31"/>
        <v>01</v>
      </c>
      <c r="K678" s="15" t="str">
        <f t="shared" si="32"/>
        <v>0101</v>
      </c>
      <c r="L678" t="s">
        <v>2064</v>
      </c>
      <c r="M678">
        <v>1</v>
      </c>
      <c r="N678">
        <v>4</v>
      </c>
      <c r="O678">
        <v>7.7</v>
      </c>
      <c r="P678">
        <v>14.86</v>
      </c>
    </row>
    <row r="679" spans="1:16">
      <c r="A679" t="s">
        <v>2047</v>
      </c>
      <c r="B679">
        <v>0</v>
      </c>
      <c r="C679">
        <v>3</v>
      </c>
      <c r="D679">
        <v>6.5</v>
      </c>
      <c r="E679">
        <v>10</v>
      </c>
      <c r="F679" t="s">
        <v>234</v>
      </c>
      <c r="G679" t="s">
        <v>235</v>
      </c>
      <c r="I679" s="15">
        <f t="shared" si="33"/>
        <v>205</v>
      </c>
      <c r="J679" s="15" t="str">
        <f t="shared" si="31"/>
        <v>02</v>
      </c>
      <c r="K679" s="15" t="str">
        <f t="shared" si="32"/>
        <v>0102</v>
      </c>
      <c r="L679" t="s">
        <v>2065</v>
      </c>
      <c r="M679">
        <v>0</v>
      </c>
      <c r="N679">
        <v>3</v>
      </c>
      <c r="O679">
        <v>6.5</v>
      </c>
      <c r="P679">
        <v>10</v>
      </c>
    </row>
    <row r="680" spans="1:16">
      <c r="A680" t="s">
        <v>1763</v>
      </c>
      <c r="B680">
        <v>1</v>
      </c>
      <c r="C680">
        <v>2</v>
      </c>
      <c r="D680">
        <v>7</v>
      </c>
      <c r="E680">
        <v>143</v>
      </c>
      <c r="F680" t="s">
        <v>54</v>
      </c>
      <c r="G680" t="s">
        <v>295</v>
      </c>
      <c r="I680" s="15">
        <f t="shared" si="33"/>
        <v>213</v>
      </c>
      <c r="J680" s="15" t="str">
        <f t="shared" si="31"/>
        <v>02</v>
      </c>
      <c r="K680" s="15" t="str">
        <f t="shared" si="32"/>
        <v>0102</v>
      </c>
      <c r="L680" t="s">
        <v>2065</v>
      </c>
      <c r="M680">
        <v>1</v>
      </c>
      <c r="N680">
        <v>2</v>
      </c>
      <c r="O680">
        <v>7</v>
      </c>
      <c r="P680">
        <v>143</v>
      </c>
    </row>
    <row r="681" spans="1:16">
      <c r="A681" t="s">
        <v>2048</v>
      </c>
      <c r="B681">
        <v>1</v>
      </c>
      <c r="C681">
        <v>6</v>
      </c>
      <c r="D681">
        <v>6.8</v>
      </c>
      <c r="E681">
        <v>112</v>
      </c>
      <c r="F681" t="s">
        <v>78</v>
      </c>
      <c r="G681" t="s">
        <v>245</v>
      </c>
      <c r="I681" s="15">
        <f t="shared" si="33"/>
        <v>306</v>
      </c>
      <c r="J681" s="15" t="str">
        <f t="shared" si="31"/>
        <v>03</v>
      </c>
      <c r="K681" s="15" t="str">
        <f t="shared" si="32"/>
        <v>0103</v>
      </c>
      <c r="L681" t="s">
        <v>2066</v>
      </c>
      <c r="M681">
        <v>1</v>
      </c>
      <c r="N681">
        <v>6</v>
      </c>
      <c r="O681">
        <v>6.8</v>
      </c>
      <c r="P681">
        <v>112</v>
      </c>
    </row>
    <row r="682" spans="1:16">
      <c r="A682" t="s">
        <v>1810</v>
      </c>
      <c r="B682">
        <v>1</v>
      </c>
      <c r="C682">
        <v>2</v>
      </c>
      <c r="D682">
        <v>7.5</v>
      </c>
      <c r="E682">
        <v>57.8</v>
      </c>
      <c r="F682" t="s">
        <v>54</v>
      </c>
      <c r="G682" t="s">
        <v>295</v>
      </c>
      <c r="I682" s="15">
        <f t="shared" si="33"/>
        <v>325</v>
      </c>
      <c r="J682" s="15" t="str">
        <f t="shared" si="31"/>
        <v>03</v>
      </c>
      <c r="K682" s="15" t="str">
        <f t="shared" si="32"/>
        <v>0103</v>
      </c>
      <c r="L682" t="s">
        <v>2066</v>
      </c>
      <c r="M682">
        <v>1</v>
      </c>
      <c r="N682">
        <v>2</v>
      </c>
      <c r="O682">
        <v>7.5</v>
      </c>
      <c r="P682">
        <v>57.8</v>
      </c>
    </row>
    <row r="683" spans="1:16">
      <c r="A683" t="s">
        <v>1791</v>
      </c>
      <c r="B683">
        <v>0</v>
      </c>
      <c r="C683">
        <v>4</v>
      </c>
      <c r="D683">
        <v>6.5</v>
      </c>
      <c r="E683">
        <v>12.06</v>
      </c>
      <c r="F683" t="s">
        <v>47</v>
      </c>
      <c r="G683" t="s">
        <v>1754</v>
      </c>
      <c r="I683" s="15">
        <f t="shared" si="33"/>
        <v>331</v>
      </c>
      <c r="J683" s="15" t="str">
        <f t="shared" si="31"/>
        <v>03</v>
      </c>
      <c r="K683" s="15" t="str">
        <f t="shared" si="32"/>
        <v>0103</v>
      </c>
      <c r="L683" t="s">
        <v>2066</v>
      </c>
      <c r="M683">
        <v>0</v>
      </c>
      <c r="N683">
        <v>4</v>
      </c>
      <c r="O683">
        <v>6.5</v>
      </c>
      <c r="P683">
        <v>12.06</v>
      </c>
    </row>
    <row r="684" spans="1:16">
      <c r="A684" t="s">
        <v>2049</v>
      </c>
      <c r="B684">
        <v>0</v>
      </c>
      <c r="C684">
        <v>4</v>
      </c>
      <c r="D684">
        <v>6.5</v>
      </c>
      <c r="E684">
        <v>2.7</v>
      </c>
      <c r="F684" t="s">
        <v>47</v>
      </c>
      <c r="G684" t="s">
        <v>1754</v>
      </c>
      <c r="I684" s="15">
        <f t="shared" si="33"/>
        <v>515</v>
      </c>
      <c r="J684" s="15" t="str">
        <f t="shared" si="31"/>
        <v>05</v>
      </c>
      <c r="K684" s="15" t="str">
        <f t="shared" si="32"/>
        <v>0105</v>
      </c>
      <c r="L684" t="s">
        <v>2068</v>
      </c>
      <c r="M684">
        <v>0</v>
      </c>
      <c r="N684">
        <v>4</v>
      </c>
      <c r="O684">
        <v>6.5</v>
      </c>
      <c r="P684">
        <v>2.7</v>
      </c>
    </row>
    <row r="685" spans="1:16">
      <c r="A685" t="s">
        <v>2045</v>
      </c>
      <c r="B685">
        <v>0</v>
      </c>
      <c r="C685">
        <v>2</v>
      </c>
      <c r="D685">
        <v>6.8</v>
      </c>
      <c r="E685">
        <v>96</v>
      </c>
      <c r="F685" t="s">
        <v>54</v>
      </c>
      <c r="G685" t="s">
        <v>108</v>
      </c>
      <c r="I685" s="15">
        <f t="shared" si="33"/>
        <v>605</v>
      </c>
      <c r="J685" s="15" t="str">
        <f t="shared" si="31"/>
        <v>06</v>
      </c>
      <c r="K685" s="15" t="str">
        <f t="shared" si="32"/>
        <v>0106</v>
      </c>
      <c r="L685" t="s">
        <v>2069</v>
      </c>
      <c r="M685">
        <v>0</v>
      </c>
      <c r="N685">
        <v>2</v>
      </c>
      <c r="O685">
        <v>6.8</v>
      </c>
      <c r="P685">
        <v>96</v>
      </c>
    </row>
    <row r="686" spans="1:16">
      <c r="A686" t="s">
        <v>1948</v>
      </c>
      <c r="B686">
        <v>0</v>
      </c>
      <c r="C686">
        <v>2</v>
      </c>
      <c r="D686">
        <v>6.6</v>
      </c>
      <c r="E686">
        <v>533.76</v>
      </c>
      <c r="F686" t="s">
        <v>54</v>
      </c>
      <c r="G686" t="s">
        <v>108</v>
      </c>
      <c r="I686" s="15">
        <f t="shared" si="33"/>
        <v>607</v>
      </c>
      <c r="J686" s="15" t="str">
        <f t="shared" si="31"/>
        <v>06</v>
      </c>
      <c r="K686" s="15" t="str">
        <f t="shared" si="32"/>
        <v>0106</v>
      </c>
      <c r="L686" t="s">
        <v>2069</v>
      </c>
      <c r="M686">
        <v>0</v>
      </c>
      <c r="N686">
        <v>2</v>
      </c>
      <c r="O686">
        <v>6.6</v>
      </c>
      <c r="P686">
        <v>533.76</v>
      </c>
    </row>
    <row r="687" spans="1:16">
      <c r="A687" t="s">
        <v>1863</v>
      </c>
      <c r="B687">
        <v>1</v>
      </c>
      <c r="C687">
        <v>2</v>
      </c>
      <c r="D687">
        <v>6.6</v>
      </c>
      <c r="E687">
        <v>165</v>
      </c>
      <c r="F687" t="s">
        <v>54</v>
      </c>
      <c r="G687" t="s">
        <v>200</v>
      </c>
      <c r="I687" s="15">
        <f t="shared" si="33"/>
        <v>613</v>
      </c>
      <c r="J687" s="15" t="str">
        <f t="shared" si="31"/>
        <v>06</v>
      </c>
      <c r="K687" s="15" t="str">
        <f t="shared" si="32"/>
        <v>0106</v>
      </c>
      <c r="L687" t="s">
        <v>2069</v>
      </c>
      <c r="M687">
        <v>1</v>
      </c>
      <c r="N687">
        <v>2</v>
      </c>
      <c r="O687">
        <v>6.6</v>
      </c>
      <c r="P687">
        <v>165</v>
      </c>
    </row>
    <row r="688" spans="1:16">
      <c r="A688" t="s">
        <v>1797</v>
      </c>
      <c r="B688">
        <v>1</v>
      </c>
      <c r="C688">
        <v>8</v>
      </c>
      <c r="D688">
        <v>7.4</v>
      </c>
      <c r="E688">
        <v>10</v>
      </c>
      <c r="F688" t="s">
        <v>1749</v>
      </c>
      <c r="G688" t="s">
        <v>1750</v>
      </c>
      <c r="I688" s="15">
        <f t="shared" si="33"/>
        <v>618</v>
      </c>
      <c r="J688" s="15" t="str">
        <f t="shared" si="31"/>
        <v>06</v>
      </c>
      <c r="K688" s="15" t="str">
        <f t="shared" si="32"/>
        <v>0106</v>
      </c>
      <c r="L688" t="s">
        <v>2069</v>
      </c>
      <c r="M688">
        <v>1</v>
      </c>
      <c r="N688">
        <v>8</v>
      </c>
      <c r="O688">
        <v>7.4</v>
      </c>
      <c r="P688">
        <v>10</v>
      </c>
    </row>
    <row r="689" spans="1:16">
      <c r="A689" t="s">
        <v>1770</v>
      </c>
      <c r="B689">
        <v>1</v>
      </c>
      <c r="C689">
        <v>4</v>
      </c>
      <c r="D689">
        <v>7.4</v>
      </c>
      <c r="E689">
        <v>20</v>
      </c>
      <c r="F689" t="s">
        <v>47</v>
      </c>
      <c r="G689" t="s">
        <v>48</v>
      </c>
      <c r="I689" s="15">
        <f t="shared" si="33"/>
        <v>623</v>
      </c>
      <c r="J689" s="15" t="str">
        <f t="shared" si="31"/>
        <v>06</v>
      </c>
      <c r="K689" s="15" t="str">
        <f t="shared" si="32"/>
        <v>0106</v>
      </c>
      <c r="L689" t="s">
        <v>2069</v>
      </c>
      <c r="M689">
        <v>1</v>
      </c>
      <c r="N689">
        <v>4</v>
      </c>
      <c r="O689">
        <v>7.4</v>
      </c>
      <c r="P689">
        <v>20</v>
      </c>
    </row>
    <row r="690" spans="1:16">
      <c r="A690" t="s">
        <v>1885</v>
      </c>
      <c r="B690">
        <v>1</v>
      </c>
      <c r="C690">
        <v>5</v>
      </c>
      <c r="D690">
        <v>7</v>
      </c>
      <c r="E690">
        <v>73</v>
      </c>
      <c r="F690" t="s">
        <v>25</v>
      </c>
      <c r="G690" t="s">
        <v>64</v>
      </c>
      <c r="I690" s="15">
        <f t="shared" si="33"/>
        <v>717</v>
      </c>
      <c r="J690" s="15" t="str">
        <f t="shared" si="31"/>
        <v>07</v>
      </c>
      <c r="K690" s="15" t="str">
        <f t="shared" si="32"/>
        <v>0107</v>
      </c>
      <c r="L690" t="s">
        <v>2070</v>
      </c>
      <c r="M690">
        <v>1</v>
      </c>
      <c r="N690">
        <v>5</v>
      </c>
      <c r="O690">
        <v>7</v>
      </c>
      <c r="P690">
        <v>73</v>
      </c>
    </row>
    <row r="691" spans="1:16">
      <c r="A691" t="s">
        <v>2050</v>
      </c>
      <c r="B691">
        <v>1</v>
      </c>
      <c r="C691">
        <v>4</v>
      </c>
      <c r="D691">
        <v>7.8</v>
      </c>
      <c r="E691">
        <v>28</v>
      </c>
      <c r="F691" t="s">
        <v>47</v>
      </c>
      <c r="G691" t="s">
        <v>1754</v>
      </c>
      <c r="I691" s="15">
        <f t="shared" si="33"/>
        <v>722</v>
      </c>
      <c r="J691" s="15" t="str">
        <f t="shared" si="31"/>
        <v>07</v>
      </c>
      <c r="K691" s="15" t="str">
        <f t="shared" si="32"/>
        <v>0107</v>
      </c>
      <c r="L691" t="s">
        <v>2070</v>
      </c>
      <c r="M691">
        <v>1</v>
      </c>
      <c r="N691">
        <v>4</v>
      </c>
      <c r="O691">
        <v>7.8</v>
      </c>
      <c r="P691">
        <v>28</v>
      </c>
    </row>
    <row r="692" spans="1:16">
      <c r="A692" t="s">
        <v>2051</v>
      </c>
      <c r="B692">
        <v>1</v>
      </c>
      <c r="C692">
        <v>2</v>
      </c>
      <c r="D692">
        <v>6.6</v>
      </c>
      <c r="E692">
        <v>10</v>
      </c>
      <c r="F692" t="s">
        <v>54</v>
      </c>
      <c r="G692" t="s">
        <v>75</v>
      </c>
      <c r="I692" s="15">
        <f t="shared" si="33"/>
        <v>818</v>
      </c>
      <c r="J692" s="15" t="str">
        <f t="shared" si="31"/>
        <v>08</v>
      </c>
      <c r="K692" s="15" t="str">
        <f t="shared" si="32"/>
        <v>0108</v>
      </c>
      <c r="L692" t="s">
        <v>2075</v>
      </c>
      <c r="M692">
        <v>1</v>
      </c>
      <c r="N692">
        <v>2</v>
      </c>
      <c r="O692">
        <v>6.6</v>
      </c>
      <c r="P692">
        <v>10</v>
      </c>
    </row>
    <row r="693" spans="1:16">
      <c r="A693" t="s">
        <v>2051</v>
      </c>
      <c r="B693">
        <v>0</v>
      </c>
      <c r="C693">
        <v>2</v>
      </c>
      <c r="D693">
        <v>6.8</v>
      </c>
      <c r="E693">
        <v>22</v>
      </c>
      <c r="F693" t="s">
        <v>54</v>
      </c>
      <c r="G693" t="s">
        <v>108</v>
      </c>
      <c r="I693" s="15">
        <f t="shared" si="33"/>
        <v>818</v>
      </c>
      <c r="J693" s="15" t="str">
        <f t="shared" si="31"/>
        <v>08</v>
      </c>
      <c r="K693" s="15" t="str">
        <f t="shared" si="32"/>
        <v>0108</v>
      </c>
      <c r="L693" t="s">
        <v>2075</v>
      </c>
      <c r="M693">
        <v>0</v>
      </c>
      <c r="N693">
        <v>2</v>
      </c>
      <c r="O693">
        <v>6.8</v>
      </c>
      <c r="P693">
        <v>22</v>
      </c>
    </row>
    <row r="694" spans="1:16">
      <c r="A694" t="s">
        <v>2051</v>
      </c>
      <c r="B694">
        <v>0</v>
      </c>
      <c r="C694">
        <v>2</v>
      </c>
      <c r="D694">
        <v>6.9</v>
      </c>
      <c r="E694">
        <v>26</v>
      </c>
      <c r="F694" t="s">
        <v>54</v>
      </c>
      <c r="G694" t="s">
        <v>108</v>
      </c>
      <c r="I694" s="15">
        <f t="shared" si="33"/>
        <v>818</v>
      </c>
      <c r="J694" s="15" t="str">
        <f t="shared" si="31"/>
        <v>08</v>
      </c>
      <c r="K694" s="15" t="str">
        <f t="shared" si="32"/>
        <v>0108</v>
      </c>
      <c r="L694" t="s">
        <v>2075</v>
      </c>
      <c r="M694">
        <v>0</v>
      </c>
      <c r="N694">
        <v>2</v>
      </c>
      <c r="O694">
        <v>6.9</v>
      </c>
      <c r="P694">
        <v>26</v>
      </c>
    </row>
    <row r="695" spans="1:16">
      <c r="A695" t="s">
        <v>1820</v>
      </c>
      <c r="B695">
        <v>0</v>
      </c>
      <c r="C695">
        <v>2</v>
      </c>
      <c r="D695">
        <v>6.9</v>
      </c>
      <c r="E695">
        <v>624</v>
      </c>
      <c r="F695" t="s">
        <v>54</v>
      </c>
      <c r="G695" t="s">
        <v>108</v>
      </c>
      <c r="I695" s="15">
        <f t="shared" si="33"/>
        <v>821</v>
      </c>
      <c r="J695" s="15" t="str">
        <f t="shared" si="31"/>
        <v>08</v>
      </c>
      <c r="K695" s="15" t="str">
        <f t="shared" si="32"/>
        <v>0108</v>
      </c>
      <c r="L695" t="s">
        <v>2075</v>
      </c>
      <c r="M695">
        <v>0</v>
      </c>
      <c r="N695">
        <v>2</v>
      </c>
      <c r="O695">
        <v>6.9</v>
      </c>
      <c r="P695">
        <v>624</v>
      </c>
    </row>
    <row r="696" spans="1:16">
      <c r="A696" t="s">
        <v>1979</v>
      </c>
      <c r="B696">
        <v>0</v>
      </c>
      <c r="C696">
        <v>8</v>
      </c>
      <c r="D696">
        <v>6.5</v>
      </c>
      <c r="E696">
        <v>10</v>
      </c>
      <c r="F696" t="s">
        <v>1749</v>
      </c>
      <c r="G696" t="s">
        <v>1750</v>
      </c>
      <c r="I696" s="15">
        <f t="shared" si="33"/>
        <v>830</v>
      </c>
      <c r="J696" s="15" t="str">
        <f t="shared" si="31"/>
        <v>08</v>
      </c>
      <c r="K696" s="15" t="str">
        <f t="shared" si="32"/>
        <v>0108</v>
      </c>
      <c r="L696" t="s">
        <v>2075</v>
      </c>
      <c r="M696">
        <v>0</v>
      </c>
      <c r="N696">
        <v>8</v>
      </c>
      <c r="O696">
        <v>6.5</v>
      </c>
      <c r="P696">
        <v>10</v>
      </c>
    </row>
    <row r="697" spans="1:16">
      <c r="A697" t="s">
        <v>1952</v>
      </c>
      <c r="B697">
        <v>1</v>
      </c>
      <c r="C697">
        <v>8</v>
      </c>
      <c r="D697">
        <v>6.9</v>
      </c>
      <c r="E697">
        <v>10</v>
      </c>
      <c r="F697" t="s">
        <v>1749</v>
      </c>
      <c r="G697" t="s">
        <v>1750</v>
      </c>
      <c r="I697" s="15">
        <f t="shared" si="33"/>
        <v>918</v>
      </c>
      <c r="J697" s="15" t="str">
        <f t="shared" si="31"/>
        <v>09</v>
      </c>
      <c r="K697" s="15" t="str">
        <f t="shared" si="32"/>
        <v>0109</v>
      </c>
      <c r="L697" t="s">
        <v>2071</v>
      </c>
      <c r="M697">
        <v>1</v>
      </c>
      <c r="N697">
        <v>8</v>
      </c>
      <c r="O697">
        <v>6.9</v>
      </c>
      <c r="P697">
        <v>10</v>
      </c>
    </row>
    <row r="698" spans="1:16">
      <c r="A698" t="s">
        <v>1777</v>
      </c>
      <c r="B698">
        <v>1</v>
      </c>
      <c r="C698">
        <v>4</v>
      </c>
      <c r="D698">
        <v>7.6</v>
      </c>
      <c r="E698">
        <v>28.37</v>
      </c>
      <c r="F698" t="s">
        <v>47</v>
      </c>
      <c r="G698" t="s">
        <v>1754</v>
      </c>
      <c r="I698" s="15">
        <f t="shared" si="33"/>
        <v>1019</v>
      </c>
      <c r="J698" s="15" t="str">
        <f t="shared" si="31"/>
        <v>10</v>
      </c>
      <c r="K698" s="15" t="str">
        <f t="shared" si="32"/>
        <v>0110</v>
      </c>
      <c r="L698" t="s">
        <v>2072</v>
      </c>
      <c r="M698">
        <v>1</v>
      </c>
      <c r="N698">
        <v>4</v>
      </c>
      <c r="O698">
        <v>7.6</v>
      </c>
      <c r="P698">
        <v>28.37</v>
      </c>
    </row>
    <row r="699" spans="1:16">
      <c r="A699" t="s">
        <v>1925</v>
      </c>
      <c r="B699">
        <v>0</v>
      </c>
      <c r="C699">
        <v>3</v>
      </c>
      <c r="D699">
        <v>7</v>
      </c>
      <c r="E699">
        <v>21</v>
      </c>
      <c r="F699" t="s">
        <v>234</v>
      </c>
      <c r="G699" t="s">
        <v>235</v>
      </c>
      <c r="I699" s="15">
        <f t="shared" si="33"/>
        <v>1030</v>
      </c>
      <c r="J699" s="15" t="str">
        <f t="shared" si="31"/>
        <v>10</v>
      </c>
      <c r="K699" s="15" t="str">
        <f t="shared" si="32"/>
        <v>0110</v>
      </c>
      <c r="L699" t="s">
        <v>2072</v>
      </c>
      <c r="M699">
        <v>0</v>
      </c>
      <c r="N699">
        <v>3</v>
      </c>
      <c r="O699">
        <v>7</v>
      </c>
      <c r="P699">
        <v>21</v>
      </c>
    </row>
    <row r="700" spans="1:16">
      <c r="A700" t="s">
        <v>1917</v>
      </c>
      <c r="B700">
        <v>1</v>
      </c>
      <c r="C700">
        <v>5</v>
      </c>
      <c r="D700">
        <v>6.6</v>
      </c>
      <c r="E700">
        <v>107</v>
      </c>
      <c r="F700" t="s">
        <v>25</v>
      </c>
      <c r="G700" t="s">
        <v>26</v>
      </c>
      <c r="I700" s="15">
        <f t="shared" si="33"/>
        <v>1205</v>
      </c>
      <c r="J700" s="15" t="str">
        <f t="shared" si="31"/>
        <v>12</v>
      </c>
      <c r="K700" s="15" t="str">
        <f t="shared" si="32"/>
        <v>0112</v>
      </c>
      <c r="L700" t="s">
        <v>2074</v>
      </c>
      <c r="M700">
        <v>1</v>
      </c>
      <c r="N700">
        <v>5</v>
      </c>
      <c r="O700">
        <v>6.6</v>
      </c>
      <c r="P700">
        <v>107</v>
      </c>
    </row>
    <row r="701" spans="1:16">
      <c r="A701" t="s">
        <v>1832</v>
      </c>
      <c r="B701">
        <v>1</v>
      </c>
      <c r="C701">
        <v>6</v>
      </c>
      <c r="D701">
        <v>6.7</v>
      </c>
      <c r="E701">
        <v>10</v>
      </c>
      <c r="F701" t="s">
        <v>78</v>
      </c>
      <c r="G701" t="s">
        <v>245</v>
      </c>
      <c r="I701" s="15">
        <f t="shared" si="33"/>
        <v>1227</v>
      </c>
      <c r="J701" s="15" t="str">
        <f t="shared" si="31"/>
        <v>12</v>
      </c>
      <c r="K701" s="15" t="str">
        <f t="shared" si="32"/>
        <v>0112</v>
      </c>
      <c r="L701" t="s">
        <v>2074</v>
      </c>
      <c r="M701">
        <v>1</v>
      </c>
      <c r="N701">
        <v>6</v>
      </c>
      <c r="O701">
        <v>6.7</v>
      </c>
      <c r="P701">
        <v>10</v>
      </c>
    </row>
    <row r="702" spans="1:16">
      <c r="A702" t="s">
        <v>1984</v>
      </c>
      <c r="B702">
        <v>1</v>
      </c>
      <c r="C702">
        <v>2</v>
      </c>
      <c r="D702">
        <v>6.9</v>
      </c>
      <c r="E702">
        <v>43</v>
      </c>
      <c r="F702" t="s">
        <v>54</v>
      </c>
      <c r="G702" t="s">
        <v>200</v>
      </c>
      <c r="I702" s="15">
        <f t="shared" si="33"/>
        <v>105</v>
      </c>
      <c r="J702" s="15" t="str">
        <f t="shared" si="31"/>
        <v>01</v>
      </c>
      <c r="K702" s="15" t="str">
        <f t="shared" si="32"/>
        <v>0101</v>
      </c>
      <c r="L702" t="s">
        <v>2064</v>
      </c>
      <c r="M702">
        <v>1</v>
      </c>
      <c r="N702">
        <v>2</v>
      </c>
      <c r="O702">
        <v>6.9</v>
      </c>
      <c r="P702">
        <v>43</v>
      </c>
    </row>
    <row r="703" spans="1:16">
      <c r="A703" t="s">
        <v>1808</v>
      </c>
      <c r="B703">
        <v>1</v>
      </c>
      <c r="C703">
        <v>2</v>
      </c>
      <c r="D703">
        <v>7</v>
      </c>
      <c r="E703">
        <v>80</v>
      </c>
      <c r="F703" t="s">
        <v>54</v>
      </c>
      <c r="G703" t="s">
        <v>75</v>
      </c>
      <c r="I703" s="15">
        <f t="shared" si="33"/>
        <v>121</v>
      </c>
      <c r="J703" s="15" t="str">
        <f t="shared" si="31"/>
        <v>01</v>
      </c>
      <c r="K703" s="15" t="str">
        <f t="shared" si="32"/>
        <v>0101</v>
      </c>
      <c r="L703" t="s">
        <v>2064</v>
      </c>
      <c r="M703">
        <v>1</v>
      </c>
      <c r="N703">
        <v>2</v>
      </c>
      <c r="O703">
        <v>7</v>
      </c>
      <c r="P703">
        <v>80</v>
      </c>
    </row>
    <row r="704" spans="1:16">
      <c r="A704" t="s">
        <v>1996</v>
      </c>
      <c r="B704">
        <v>1</v>
      </c>
      <c r="C704">
        <v>7</v>
      </c>
      <c r="D704">
        <v>6.9</v>
      </c>
      <c r="E704">
        <v>15</v>
      </c>
      <c r="F704" t="s">
        <v>157</v>
      </c>
      <c r="G704" t="s">
        <v>1750</v>
      </c>
      <c r="I704" s="15">
        <f t="shared" si="33"/>
        <v>123</v>
      </c>
      <c r="J704" s="15" t="str">
        <f t="shared" si="31"/>
        <v>01</v>
      </c>
      <c r="K704" s="15" t="str">
        <f t="shared" si="32"/>
        <v>0101</v>
      </c>
      <c r="L704" t="s">
        <v>2064</v>
      </c>
      <c r="M704">
        <v>1</v>
      </c>
      <c r="N704">
        <v>7</v>
      </c>
      <c r="O704">
        <v>6.9</v>
      </c>
      <c r="P704">
        <v>15</v>
      </c>
    </row>
    <row r="705" spans="1:16">
      <c r="A705" t="s">
        <v>2052</v>
      </c>
      <c r="B705">
        <v>1</v>
      </c>
      <c r="C705">
        <v>5</v>
      </c>
      <c r="D705">
        <v>7.3</v>
      </c>
      <c r="E705">
        <v>527</v>
      </c>
      <c r="F705" t="s">
        <v>25</v>
      </c>
      <c r="G705" t="s">
        <v>163</v>
      </c>
      <c r="I705" s="15">
        <f t="shared" si="33"/>
        <v>210</v>
      </c>
      <c r="J705" s="15" t="str">
        <f t="shared" si="31"/>
        <v>02</v>
      </c>
      <c r="K705" s="15" t="str">
        <f t="shared" si="32"/>
        <v>0102</v>
      </c>
      <c r="L705" t="s">
        <v>2065</v>
      </c>
      <c r="M705">
        <v>1</v>
      </c>
      <c r="N705">
        <v>5</v>
      </c>
      <c r="O705">
        <v>7.3</v>
      </c>
      <c r="P705">
        <v>527</v>
      </c>
    </row>
    <row r="706" spans="1:16">
      <c r="A706" t="s">
        <v>1763</v>
      </c>
      <c r="B706">
        <v>1</v>
      </c>
      <c r="C706">
        <v>2</v>
      </c>
      <c r="D706">
        <v>7.1</v>
      </c>
      <c r="E706">
        <v>43.98</v>
      </c>
      <c r="F706" s="3" t="s">
        <v>54</v>
      </c>
      <c r="G706" t="s">
        <v>200</v>
      </c>
      <c r="I706" s="15">
        <f t="shared" si="33"/>
        <v>213</v>
      </c>
      <c r="J706" s="15" t="str">
        <f t="shared" si="31"/>
        <v>02</v>
      </c>
      <c r="K706" s="15" t="str">
        <f t="shared" si="32"/>
        <v>0102</v>
      </c>
      <c r="L706" t="s">
        <v>2065</v>
      </c>
      <c r="M706">
        <v>1</v>
      </c>
      <c r="N706">
        <v>2</v>
      </c>
      <c r="O706">
        <v>7.1</v>
      </c>
      <c r="P706">
        <v>43.98</v>
      </c>
    </row>
    <row r="707" spans="1:16">
      <c r="A707" t="s">
        <v>1931</v>
      </c>
      <c r="B707">
        <v>1</v>
      </c>
      <c r="C707">
        <v>2</v>
      </c>
      <c r="D707">
        <v>6.6</v>
      </c>
      <c r="E707">
        <v>13.23</v>
      </c>
      <c r="F707" t="s">
        <v>54</v>
      </c>
      <c r="G707" t="s">
        <v>295</v>
      </c>
      <c r="I707" s="15">
        <f t="shared" si="33"/>
        <v>316</v>
      </c>
      <c r="J707" s="15" t="str">
        <f t="shared" ref="J707:J770" si="34">LEFT(L707,2)</f>
        <v>03</v>
      </c>
      <c r="K707" s="15" t="str">
        <f t="shared" ref="K707:K770" si="35">TEXT(J707,"MMDD")</f>
        <v>0103</v>
      </c>
      <c r="L707" t="s">
        <v>2066</v>
      </c>
      <c r="M707">
        <v>1</v>
      </c>
      <c r="N707">
        <v>2</v>
      </c>
      <c r="O707">
        <v>6.6</v>
      </c>
      <c r="P707">
        <v>13.23</v>
      </c>
    </row>
    <row r="708" spans="1:16">
      <c r="A708" t="s">
        <v>1859</v>
      </c>
      <c r="B708">
        <v>1</v>
      </c>
      <c r="C708">
        <v>2</v>
      </c>
      <c r="D708">
        <v>7</v>
      </c>
      <c r="E708">
        <v>43</v>
      </c>
      <c r="F708" t="s">
        <v>54</v>
      </c>
      <c r="G708" t="s">
        <v>200</v>
      </c>
      <c r="I708" s="15">
        <f t="shared" si="33"/>
        <v>320</v>
      </c>
      <c r="J708" s="15" t="str">
        <f t="shared" si="34"/>
        <v>03</v>
      </c>
      <c r="K708" s="15" t="str">
        <f t="shared" si="35"/>
        <v>0103</v>
      </c>
      <c r="L708" t="s">
        <v>2066</v>
      </c>
      <c r="M708">
        <v>1</v>
      </c>
      <c r="N708">
        <v>2</v>
      </c>
      <c r="O708">
        <v>7</v>
      </c>
      <c r="P708">
        <v>43</v>
      </c>
    </row>
    <row r="709" spans="1:16">
      <c r="A709" t="s">
        <v>1933</v>
      </c>
      <c r="B709">
        <v>1</v>
      </c>
      <c r="C709">
        <v>5</v>
      </c>
      <c r="D709">
        <v>7.3</v>
      </c>
      <c r="E709">
        <v>10</v>
      </c>
      <c r="F709" t="s">
        <v>25</v>
      </c>
      <c r="G709" t="s">
        <v>594</v>
      </c>
      <c r="I709" s="15">
        <f t="shared" si="33"/>
        <v>403</v>
      </c>
      <c r="J709" s="15" t="str">
        <f t="shared" si="34"/>
        <v>04</v>
      </c>
      <c r="K709" s="15" t="str">
        <f t="shared" si="35"/>
        <v>0104</v>
      </c>
      <c r="L709" t="s">
        <v>2067</v>
      </c>
      <c r="M709">
        <v>1</v>
      </c>
      <c r="N709">
        <v>5</v>
      </c>
      <c r="O709">
        <v>7.3</v>
      </c>
      <c r="P709">
        <v>10</v>
      </c>
    </row>
    <row r="710" spans="1:16">
      <c r="A710" t="s">
        <v>1933</v>
      </c>
      <c r="B710">
        <v>1</v>
      </c>
      <c r="C710">
        <v>5</v>
      </c>
      <c r="D710">
        <v>7.4</v>
      </c>
      <c r="E710">
        <v>43</v>
      </c>
      <c r="F710" t="s">
        <v>25</v>
      </c>
      <c r="G710" t="s">
        <v>594</v>
      </c>
      <c r="I710" s="15">
        <f t="shared" si="33"/>
        <v>403</v>
      </c>
      <c r="J710" s="15" t="str">
        <f t="shared" si="34"/>
        <v>04</v>
      </c>
      <c r="K710" s="15" t="str">
        <f t="shared" si="35"/>
        <v>0104</v>
      </c>
      <c r="L710" t="s">
        <v>2067</v>
      </c>
      <c r="M710">
        <v>1</v>
      </c>
      <c r="N710">
        <v>5</v>
      </c>
      <c r="O710">
        <v>7.4</v>
      </c>
      <c r="P710">
        <v>43</v>
      </c>
    </row>
    <row r="711" spans="1:16">
      <c r="A711" t="s">
        <v>1933</v>
      </c>
      <c r="B711">
        <v>1</v>
      </c>
      <c r="C711">
        <v>5</v>
      </c>
      <c r="D711">
        <v>8.1</v>
      </c>
      <c r="E711">
        <v>28.93</v>
      </c>
      <c r="F711" t="s">
        <v>25</v>
      </c>
      <c r="G711" t="s">
        <v>594</v>
      </c>
      <c r="I711" s="15">
        <f t="shared" si="33"/>
        <v>403</v>
      </c>
      <c r="J711" s="15" t="str">
        <f t="shared" si="34"/>
        <v>04</v>
      </c>
      <c r="K711" s="15" t="str">
        <f t="shared" si="35"/>
        <v>0104</v>
      </c>
      <c r="L711" t="s">
        <v>2067</v>
      </c>
      <c r="M711">
        <v>1</v>
      </c>
      <c r="N711">
        <v>5</v>
      </c>
      <c r="O711">
        <v>8.1</v>
      </c>
      <c r="P711">
        <v>28.93</v>
      </c>
    </row>
    <row r="712" spans="1:16">
      <c r="A712" t="s">
        <v>1933</v>
      </c>
      <c r="B712">
        <v>0</v>
      </c>
      <c r="C712">
        <v>5</v>
      </c>
      <c r="D712">
        <v>6.5</v>
      </c>
      <c r="E712">
        <v>24</v>
      </c>
      <c r="F712" t="s">
        <v>25</v>
      </c>
      <c r="G712" t="s">
        <v>594</v>
      </c>
      <c r="I712" s="15">
        <f t="shared" si="33"/>
        <v>403</v>
      </c>
      <c r="J712" s="15" t="str">
        <f t="shared" si="34"/>
        <v>04</v>
      </c>
      <c r="K712" s="15" t="str">
        <f t="shared" si="35"/>
        <v>0104</v>
      </c>
      <c r="L712" t="s">
        <v>2067</v>
      </c>
      <c r="M712">
        <v>0</v>
      </c>
      <c r="N712">
        <v>5</v>
      </c>
      <c r="O712">
        <v>6.5</v>
      </c>
      <c r="P712">
        <v>24</v>
      </c>
    </row>
    <row r="713" spans="1:16">
      <c r="A713" t="s">
        <v>1989</v>
      </c>
      <c r="B713">
        <v>0</v>
      </c>
      <c r="C713">
        <v>5</v>
      </c>
      <c r="D713">
        <v>6.5</v>
      </c>
      <c r="E713">
        <v>301</v>
      </c>
      <c r="F713" t="s">
        <v>25</v>
      </c>
      <c r="G713" t="s">
        <v>1022</v>
      </c>
      <c r="I713" s="15">
        <f t="shared" si="33"/>
        <v>424</v>
      </c>
      <c r="J713" s="15" t="str">
        <f t="shared" si="34"/>
        <v>04</v>
      </c>
      <c r="K713" s="15" t="str">
        <f t="shared" si="35"/>
        <v>0104</v>
      </c>
      <c r="L713" t="s">
        <v>2067</v>
      </c>
      <c r="M713">
        <v>0</v>
      </c>
      <c r="N713">
        <v>5</v>
      </c>
      <c r="O713">
        <v>6.5</v>
      </c>
      <c r="P713">
        <v>301</v>
      </c>
    </row>
    <row r="714" spans="1:16">
      <c r="A714" t="s">
        <v>2000</v>
      </c>
      <c r="B714">
        <v>0</v>
      </c>
      <c r="C714">
        <v>5</v>
      </c>
      <c r="D714">
        <v>6.5</v>
      </c>
      <c r="E714">
        <v>246</v>
      </c>
      <c r="F714" t="s">
        <v>25</v>
      </c>
      <c r="G714" t="s">
        <v>1022</v>
      </c>
      <c r="I714" s="15">
        <f t="shared" si="33"/>
        <v>425</v>
      </c>
      <c r="J714" s="15" t="str">
        <f t="shared" si="34"/>
        <v>04</v>
      </c>
      <c r="K714" s="15" t="str">
        <f t="shared" si="35"/>
        <v>0104</v>
      </c>
      <c r="L714" t="s">
        <v>2067</v>
      </c>
      <c r="M714">
        <v>0</v>
      </c>
      <c r="N714">
        <v>5</v>
      </c>
      <c r="O714">
        <v>6.5</v>
      </c>
      <c r="P714">
        <v>246</v>
      </c>
    </row>
    <row r="715" spans="1:16">
      <c r="A715" t="s">
        <v>1861</v>
      </c>
      <c r="B715">
        <v>0</v>
      </c>
      <c r="C715">
        <v>2</v>
      </c>
      <c r="D715">
        <v>6.7</v>
      </c>
      <c r="E715">
        <v>11</v>
      </c>
      <c r="F715" t="s">
        <v>54</v>
      </c>
      <c r="G715" t="s">
        <v>108</v>
      </c>
      <c r="I715" s="15">
        <f t="shared" si="33"/>
        <v>514</v>
      </c>
      <c r="J715" s="15" t="str">
        <f t="shared" si="34"/>
        <v>05</v>
      </c>
      <c r="K715" s="15" t="str">
        <f t="shared" si="35"/>
        <v>0105</v>
      </c>
      <c r="L715" t="s">
        <v>2068</v>
      </c>
      <c r="M715">
        <v>0</v>
      </c>
      <c r="N715">
        <v>2</v>
      </c>
      <c r="O715">
        <v>6.7</v>
      </c>
      <c r="P715">
        <v>11</v>
      </c>
    </row>
    <row r="716" spans="1:16">
      <c r="A716" t="s">
        <v>1812</v>
      </c>
      <c r="B716">
        <v>1</v>
      </c>
      <c r="C716">
        <v>5</v>
      </c>
      <c r="D716">
        <v>6.5</v>
      </c>
      <c r="E716">
        <v>10</v>
      </c>
      <c r="F716" t="s">
        <v>25</v>
      </c>
      <c r="G716" t="s">
        <v>1750</v>
      </c>
      <c r="I716" s="15">
        <f t="shared" si="33"/>
        <v>521</v>
      </c>
      <c r="J716" s="15" t="str">
        <f t="shared" si="34"/>
        <v>05</v>
      </c>
      <c r="K716" s="15" t="str">
        <f t="shared" si="35"/>
        <v>0105</v>
      </c>
      <c r="L716" t="s">
        <v>2068</v>
      </c>
      <c r="M716">
        <v>1</v>
      </c>
      <c r="N716">
        <v>5</v>
      </c>
      <c r="O716">
        <v>6.5</v>
      </c>
      <c r="P716">
        <v>10</v>
      </c>
    </row>
    <row r="717" spans="1:16">
      <c r="A717" t="s">
        <v>1812</v>
      </c>
      <c r="B717">
        <v>0</v>
      </c>
      <c r="C717">
        <v>2</v>
      </c>
      <c r="D717">
        <v>7.3</v>
      </c>
      <c r="E717">
        <v>10</v>
      </c>
      <c r="F717" t="s">
        <v>54</v>
      </c>
      <c r="G717" t="s">
        <v>1752</v>
      </c>
      <c r="I717" s="15">
        <f t="shared" si="33"/>
        <v>521</v>
      </c>
      <c r="J717" s="15" t="str">
        <f t="shared" si="34"/>
        <v>05</v>
      </c>
      <c r="K717" s="15" t="str">
        <f t="shared" si="35"/>
        <v>0105</v>
      </c>
      <c r="L717" t="s">
        <v>2068</v>
      </c>
      <c r="M717">
        <v>0</v>
      </c>
      <c r="N717">
        <v>2</v>
      </c>
      <c r="O717">
        <v>7.3</v>
      </c>
      <c r="P717">
        <v>10</v>
      </c>
    </row>
    <row r="718" spans="1:16">
      <c r="A718" t="s">
        <v>1816</v>
      </c>
      <c r="B718">
        <v>1</v>
      </c>
      <c r="C718">
        <v>5</v>
      </c>
      <c r="D718">
        <v>6.5</v>
      </c>
      <c r="E718">
        <v>25</v>
      </c>
      <c r="F718" t="s">
        <v>25</v>
      </c>
      <c r="G718" t="s">
        <v>594</v>
      </c>
      <c r="I718" s="15">
        <f t="shared" si="33"/>
        <v>620</v>
      </c>
      <c r="J718" s="15" t="str">
        <f t="shared" si="34"/>
        <v>06</v>
      </c>
      <c r="K718" s="15" t="str">
        <f t="shared" si="35"/>
        <v>0106</v>
      </c>
      <c r="L718" t="s">
        <v>2069</v>
      </c>
      <c r="M718">
        <v>1</v>
      </c>
      <c r="N718">
        <v>5</v>
      </c>
      <c r="O718">
        <v>6.5</v>
      </c>
      <c r="P718">
        <v>25</v>
      </c>
    </row>
    <row r="719" spans="1:16">
      <c r="A719" t="s">
        <v>1977</v>
      </c>
      <c r="B719">
        <v>1</v>
      </c>
      <c r="C719">
        <v>6</v>
      </c>
      <c r="D719">
        <v>6.7</v>
      </c>
      <c r="E719">
        <v>10</v>
      </c>
      <c r="F719" t="s">
        <v>78</v>
      </c>
      <c r="G719" t="s">
        <v>42</v>
      </c>
      <c r="I719" s="15">
        <f t="shared" si="33"/>
        <v>721</v>
      </c>
      <c r="J719" s="15" t="str">
        <f t="shared" si="34"/>
        <v>07</v>
      </c>
      <c r="K719" s="15" t="str">
        <f t="shared" si="35"/>
        <v>0107</v>
      </c>
      <c r="L719" t="s">
        <v>2070</v>
      </c>
      <c r="M719">
        <v>1</v>
      </c>
      <c r="N719">
        <v>6</v>
      </c>
      <c r="O719">
        <v>6.7</v>
      </c>
      <c r="P719">
        <v>10</v>
      </c>
    </row>
    <row r="720" spans="1:16">
      <c r="A720" t="s">
        <v>1913</v>
      </c>
      <c r="B720">
        <v>1</v>
      </c>
      <c r="C720">
        <v>2</v>
      </c>
      <c r="D720">
        <v>6.7</v>
      </c>
      <c r="E720">
        <v>110</v>
      </c>
      <c r="F720" t="s">
        <v>54</v>
      </c>
      <c r="G720" t="s">
        <v>75</v>
      </c>
      <c r="I720" s="15">
        <f t="shared" si="33"/>
        <v>723</v>
      </c>
      <c r="J720" s="15" t="str">
        <f t="shared" si="34"/>
        <v>07</v>
      </c>
      <c r="K720" s="15" t="str">
        <f t="shared" si="35"/>
        <v>0107</v>
      </c>
      <c r="L720" t="s">
        <v>2070</v>
      </c>
      <c r="M720">
        <v>1</v>
      </c>
      <c r="N720">
        <v>2</v>
      </c>
      <c r="O720">
        <v>6.7</v>
      </c>
      <c r="P720">
        <v>110</v>
      </c>
    </row>
    <row r="721" spans="1:16">
      <c r="A721" t="s">
        <v>2017</v>
      </c>
      <c r="B721">
        <v>1</v>
      </c>
      <c r="C721">
        <v>4</v>
      </c>
      <c r="D721">
        <v>8.1999999999999993</v>
      </c>
      <c r="E721">
        <v>46.66</v>
      </c>
      <c r="F721" t="s">
        <v>47</v>
      </c>
      <c r="G721" t="s">
        <v>1754</v>
      </c>
      <c r="I721" s="15">
        <f t="shared" si="33"/>
        <v>729</v>
      </c>
      <c r="J721" s="15" t="str">
        <f t="shared" si="34"/>
        <v>07</v>
      </c>
      <c r="K721" s="15" t="str">
        <f t="shared" si="35"/>
        <v>0107</v>
      </c>
      <c r="L721" t="s">
        <v>2070</v>
      </c>
      <c r="M721">
        <v>1</v>
      </c>
      <c r="N721">
        <v>4</v>
      </c>
      <c r="O721">
        <v>8.1999999999999993</v>
      </c>
      <c r="P721">
        <v>46.66</v>
      </c>
    </row>
    <row r="722" spans="1:16">
      <c r="A722" t="s">
        <v>2017</v>
      </c>
      <c r="B722">
        <v>1</v>
      </c>
      <c r="C722">
        <v>4</v>
      </c>
      <c r="D722">
        <v>8.1999999999999993</v>
      </c>
      <c r="E722">
        <v>35</v>
      </c>
      <c r="F722" t="s">
        <v>47</v>
      </c>
      <c r="G722" t="s">
        <v>1754</v>
      </c>
      <c r="I722" s="15">
        <f t="shared" si="33"/>
        <v>729</v>
      </c>
      <c r="J722" s="15" t="str">
        <f t="shared" si="34"/>
        <v>07</v>
      </c>
      <c r="K722" s="15" t="str">
        <f t="shared" si="35"/>
        <v>0107</v>
      </c>
      <c r="L722" t="s">
        <v>2070</v>
      </c>
      <c r="M722">
        <v>1</v>
      </c>
      <c r="N722">
        <v>4</v>
      </c>
      <c r="O722">
        <v>8.1999999999999993</v>
      </c>
      <c r="P722">
        <v>35</v>
      </c>
    </row>
    <row r="723" spans="1:16">
      <c r="A723" t="s">
        <v>1800</v>
      </c>
      <c r="B723">
        <v>1</v>
      </c>
      <c r="C723">
        <v>4</v>
      </c>
      <c r="D723">
        <v>7</v>
      </c>
      <c r="E723">
        <v>20</v>
      </c>
      <c r="F723" t="s">
        <v>47</v>
      </c>
      <c r="G723" t="s">
        <v>48</v>
      </c>
      <c r="I723" s="15">
        <f t="shared" si="33"/>
        <v>809</v>
      </c>
      <c r="J723" s="15" t="str">
        <f t="shared" si="34"/>
        <v>08</v>
      </c>
      <c r="K723" s="15" t="str">
        <f t="shared" si="35"/>
        <v>0108</v>
      </c>
      <c r="L723" t="s">
        <v>2075</v>
      </c>
      <c r="M723">
        <v>1</v>
      </c>
      <c r="N723">
        <v>4</v>
      </c>
      <c r="O723">
        <v>7</v>
      </c>
      <c r="P723">
        <v>20</v>
      </c>
    </row>
    <row r="724" spans="1:16">
      <c r="A724" t="s">
        <v>1801</v>
      </c>
      <c r="B724">
        <v>1</v>
      </c>
      <c r="C724">
        <v>4</v>
      </c>
      <c r="D724">
        <v>6.9</v>
      </c>
      <c r="E724">
        <v>33.299999999999997</v>
      </c>
      <c r="F724" t="s">
        <v>47</v>
      </c>
      <c r="G724" t="s">
        <v>1754</v>
      </c>
      <c r="I724" s="15">
        <f t="shared" si="33"/>
        <v>814</v>
      </c>
      <c r="J724" s="15" t="str">
        <f t="shared" si="34"/>
        <v>08</v>
      </c>
      <c r="K724" s="15" t="str">
        <f t="shared" si="35"/>
        <v>0108</v>
      </c>
      <c r="L724" t="s">
        <v>2075</v>
      </c>
      <c r="M724">
        <v>1</v>
      </c>
      <c r="N724">
        <v>4</v>
      </c>
      <c r="O724">
        <v>6.9</v>
      </c>
      <c r="P724">
        <v>33.299999999999997</v>
      </c>
    </row>
    <row r="725" spans="1:16">
      <c r="A725" t="s">
        <v>1801</v>
      </c>
      <c r="B725">
        <v>1</v>
      </c>
      <c r="C725">
        <v>4</v>
      </c>
      <c r="D725">
        <v>6.9</v>
      </c>
      <c r="E725">
        <v>20.74</v>
      </c>
      <c r="F725" t="s">
        <v>47</v>
      </c>
      <c r="G725" t="s">
        <v>1754</v>
      </c>
      <c r="I725" s="15">
        <f t="shared" si="33"/>
        <v>814</v>
      </c>
      <c r="J725" s="15" t="str">
        <f t="shared" si="34"/>
        <v>08</v>
      </c>
      <c r="K725" s="15" t="str">
        <f t="shared" si="35"/>
        <v>0108</v>
      </c>
      <c r="L725" t="s">
        <v>2075</v>
      </c>
      <c r="M725">
        <v>1</v>
      </c>
      <c r="N725">
        <v>4</v>
      </c>
      <c r="O725">
        <v>6.9</v>
      </c>
      <c r="P725">
        <v>20.74</v>
      </c>
    </row>
    <row r="726" spans="1:16">
      <c r="A726" t="s">
        <v>1801</v>
      </c>
      <c r="B726">
        <v>1</v>
      </c>
      <c r="C726">
        <v>4</v>
      </c>
      <c r="D726">
        <v>7.2</v>
      </c>
      <c r="E726">
        <v>10</v>
      </c>
      <c r="F726" t="s">
        <v>47</v>
      </c>
      <c r="G726" t="s">
        <v>169</v>
      </c>
      <c r="I726" s="15">
        <f t="shared" si="33"/>
        <v>814</v>
      </c>
      <c r="J726" s="15" t="str">
        <f t="shared" si="34"/>
        <v>08</v>
      </c>
      <c r="K726" s="15" t="str">
        <f t="shared" si="35"/>
        <v>0108</v>
      </c>
      <c r="L726" t="s">
        <v>2075</v>
      </c>
      <c r="M726">
        <v>1</v>
      </c>
      <c r="N726">
        <v>4</v>
      </c>
      <c r="O726">
        <v>7.2</v>
      </c>
      <c r="P726">
        <v>10</v>
      </c>
    </row>
    <row r="727" spans="1:16">
      <c r="A727" t="s">
        <v>1866</v>
      </c>
      <c r="B727">
        <v>1</v>
      </c>
      <c r="C727">
        <v>7</v>
      </c>
      <c r="D727">
        <v>6.9</v>
      </c>
      <c r="E727">
        <v>16.7</v>
      </c>
      <c r="F727" t="s">
        <v>157</v>
      </c>
      <c r="G727" t="s">
        <v>1750</v>
      </c>
      <c r="I727" s="15">
        <f t="shared" si="33"/>
        <v>816</v>
      </c>
      <c r="J727" s="15" t="str">
        <f t="shared" si="34"/>
        <v>08</v>
      </c>
      <c r="K727" s="15" t="str">
        <f t="shared" si="35"/>
        <v>0108</v>
      </c>
      <c r="L727" t="s">
        <v>2075</v>
      </c>
      <c r="M727">
        <v>1</v>
      </c>
      <c r="N727">
        <v>7</v>
      </c>
      <c r="O727">
        <v>6.9</v>
      </c>
      <c r="P727">
        <v>16.7</v>
      </c>
    </row>
    <row r="728" spans="1:16">
      <c r="A728" t="s">
        <v>2051</v>
      </c>
      <c r="B728">
        <v>1</v>
      </c>
      <c r="C728">
        <v>5</v>
      </c>
      <c r="D728">
        <v>6.9</v>
      </c>
      <c r="E728">
        <v>93</v>
      </c>
      <c r="F728" t="s">
        <v>25</v>
      </c>
      <c r="G728" t="s">
        <v>163</v>
      </c>
      <c r="I728" s="15">
        <f t="shared" si="33"/>
        <v>818</v>
      </c>
      <c r="J728" s="15" t="str">
        <f t="shared" si="34"/>
        <v>08</v>
      </c>
      <c r="K728" s="15" t="str">
        <f t="shared" si="35"/>
        <v>0108</v>
      </c>
      <c r="L728" t="s">
        <v>2075</v>
      </c>
      <c r="M728">
        <v>1</v>
      </c>
      <c r="N728">
        <v>5</v>
      </c>
      <c r="O728">
        <v>6.9</v>
      </c>
      <c r="P728">
        <v>93</v>
      </c>
    </row>
    <row r="729" spans="1:16">
      <c r="A729" t="s">
        <v>2053</v>
      </c>
      <c r="B729">
        <v>1</v>
      </c>
      <c r="C729">
        <v>7</v>
      </c>
      <c r="D729">
        <v>6.6</v>
      </c>
      <c r="E729">
        <v>7</v>
      </c>
      <c r="F729" t="s">
        <v>157</v>
      </c>
      <c r="G729" t="s">
        <v>1750</v>
      </c>
      <c r="I729" s="15">
        <f t="shared" si="33"/>
        <v>822</v>
      </c>
      <c r="J729" s="15" t="str">
        <f t="shared" si="34"/>
        <v>08</v>
      </c>
      <c r="K729" s="15" t="str">
        <f t="shared" si="35"/>
        <v>0108</v>
      </c>
      <c r="L729" t="s">
        <v>2075</v>
      </c>
      <c r="M729">
        <v>1</v>
      </c>
      <c r="N729">
        <v>7</v>
      </c>
      <c r="O729">
        <v>6.6</v>
      </c>
      <c r="P729">
        <v>7</v>
      </c>
    </row>
    <row r="730" spans="1:16">
      <c r="A730" t="s">
        <v>2053</v>
      </c>
      <c r="B730">
        <v>1</v>
      </c>
      <c r="C730">
        <v>7</v>
      </c>
      <c r="D730">
        <v>7.1</v>
      </c>
      <c r="E730">
        <v>6</v>
      </c>
      <c r="F730" t="s">
        <v>157</v>
      </c>
      <c r="G730" t="s">
        <v>1750</v>
      </c>
      <c r="I730" s="15">
        <f t="shared" si="33"/>
        <v>822</v>
      </c>
      <c r="J730" s="15" t="str">
        <f t="shared" si="34"/>
        <v>08</v>
      </c>
      <c r="K730" s="15" t="str">
        <f t="shared" si="35"/>
        <v>0108</v>
      </c>
      <c r="L730" t="s">
        <v>2075</v>
      </c>
      <c r="M730">
        <v>1</v>
      </c>
      <c r="N730">
        <v>7</v>
      </c>
      <c r="O730">
        <v>7.1</v>
      </c>
      <c r="P730">
        <v>6</v>
      </c>
    </row>
    <row r="731" spans="1:16">
      <c r="A731" t="s">
        <v>1844</v>
      </c>
      <c r="B731">
        <v>1</v>
      </c>
      <c r="C731">
        <v>5</v>
      </c>
      <c r="D731">
        <v>6.9</v>
      </c>
      <c r="E731">
        <v>535</v>
      </c>
      <c r="F731" t="s">
        <v>25</v>
      </c>
      <c r="G731" t="s">
        <v>163</v>
      </c>
      <c r="I731" s="15">
        <f t="shared" si="33"/>
        <v>910</v>
      </c>
      <c r="J731" s="15" t="str">
        <f t="shared" si="34"/>
        <v>09</v>
      </c>
      <c r="K731" s="15" t="str">
        <f t="shared" si="35"/>
        <v>0109</v>
      </c>
      <c r="L731" t="s">
        <v>2071</v>
      </c>
      <c r="M731">
        <v>1</v>
      </c>
      <c r="N731">
        <v>5</v>
      </c>
      <c r="O731">
        <v>6.9</v>
      </c>
      <c r="P731">
        <v>535</v>
      </c>
    </row>
    <row r="732" spans="1:16">
      <c r="A732" t="s">
        <v>2054</v>
      </c>
      <c r="B732">
        <v>1</v>
      </c>
      <c r="C732">
        <v>4</v>
      </c>
      <c r="D732">
        <v>6.5</v>
      </c>
      <c r="E732">
        <v>21</v>
      </c>
      <c r="F732" t="s">
        <v>47</v>
      </c>
      <c r="G732" t="s">
        <v>856</v>
      </c>
      <c r="I732" s="15">
        <f t="shared" si="33"/>
        <v>922</v>
      </c>
      <c r="J732" s="15" t="str">
        <f t="shared" si="34"/>
        <v>09</v>
      </c>
      <c r="K732" s="15" t="str">
        <f t="shared" si="35"/>
        <v>0109</v>
      </c>
      <c r="L732" t="s">
        <v>2071</v>
      </c>
      <c r="M732">
        <v>1</v>
      </c>
      <c r="N732">
        <v>4</v>
      </c>
      <c r="O732">
        <v>6.5</v>
      </c>
      <c r="P732">
        <v>21</v>
      </c>
    </row>
    <row r="733" spans="1:16">
      <c r="A733" t="s">
        <v>2024</v>
      </c>
      <c r="B733">
        <v>1</v>
      </c>
      <c r="C733">
        <v>5</v>
      </c>
      <c r="D733">
        <v>7.7</v>
      </c>
      <c r="E733">
        <v>10</v>
      </c>
      <c r="F733" t="s">
        <v>25</v>
      </c>
      <c r="G733" t="s">
        <v>1750</v>
      </c>
      <c r="I733" s="15">
        <f t="shared" si="33"/>
        <v>1002</v>
      </c>
      <c r="J733" s="15" t="str">
        <f t="shared" si="34"/>
        <v>10</v>
      </c>
      <c r="K733" s="15" t="str">
        <f t="shared" si="35"/>
        <v>0110</v>
      </c>
      <c r="L733" t="s">
        <v>2072</v>
      </c>
      <c r="M733">
        <v>1</v>
      </c>
      <c r="N733">
        <v>5</v>
      </c>
      <c r="O733">
        <v>7.7</v>
      </c>
      <c r="P733">
        <v>10</v>
      </c>
    </row>
    <row r="734" spans="1:16">
      <c r="A734" t="s">
        <v>2055</v>
      </c>
      <c r="B734">
        <v>1</v>
      </c>
      <c r="C734">
        <v>2</v>
      </c>
      <c r="D734">
        <v>6.6</v>
      </c>
      <c r="E734">
        <v>12</v>
      </c>
      <c r="F734" t="s">
        <v>54</v>
      </c>
      <c r="G734" t="s">
        <v>200</v>
      </c>
      <c r="I734" s="15">
        <f t="shared" si="33"/>
        <v>1011</v>
      </c>
      <c r="J734" s="15" t="str">
        <f t="shared" si="34"/>
        <v>10</v>
      </c>
      <c r="K734" s="15" t="str">
        <f t="shared" si="35"/>
        <v>0110</v>
      </c>
      <c r="L734" t="s">
        <v>2072</v>
      </c>
      <c r="M734">
        <v>1</v>
      </c>
      <c r="N734">
        <v>2</v>
      </c>
      <c r="O734">
        <v>6.6</v>
      </c>
      <c r="P734">
        <v>12</v>
      </c>
    </row>
    <row r="735" spans="1:16">
      <c r="A735" t="s">
        <v>2018</v>
      </c>
      <c r="B735">
        <v>0</v>
      </c>
      <c r="C735">
        <v>2</v>
      </c>
      <c r="D735">
        <v>6.7</v>
      </c>
      <c r="E735">
        <v>10</v>
      </c>
      <c r="F735" t="s">
        <v>54</v>
      </c>
      <c r="G735" t="s">
        <v>227</v>
      </c>
      <c r="I735" s="15">
        <f t="shared" si="33"/>
        <v>1101</v>
      </c>
      <c r="J735" s="15" t="str">
        <f t="shared" si="34"/>
        <v>11</v>
      </c>
      <c r="K735" s="15" t="str">
        <f t="shared" si="35"/>
        <v>0111</v>
      </c>
      <c r="L735" t="s">
        <v>2073</v>
      </c>
      <c r="M735">
        <v>0</v>
      </c>
      <c r="N735">
        <v>2</v>
      </c>
      <c r="O735">
        <v>6.7</v>
      </c>
      <c r="P735">
        <v>10</v>
      </c>
    </row>
    <row r="736" spans="1:16">
      <c r="A736" t="s">
        <v>2056</v>
      </c>
      <c r="B736">
        <v>1</v>
      </c>
      <c r="C736">
        <v>2</v>
      </c>
      <c r="D736">
        <v>7.1</v>
      </c>
      <c r="E736">
        <v>55.14</v>
      </c>
      <c r="F736" t="s">
        <v>54</v>
      </c>
      <c r="G736" t="s">
        <v>75</v>
      </c>
      <c r="I736" s="15">
        <f t="shared" si="33"/>
        <v>1108</v>
      </c>
      <c r="J736" s="15" t="str">
        <f t="shared" si="34"/>
        <v>11</v>
      </c>
      <c r="K736" s="15" t="str">
        <f t="shared" si="35"/>
        <v>0111</v>
      </c>
      <c r="L736" t="s">
        <v>2073</v>
      </c>
      <c r="M736">
        <v>1</v>
      </c>
      <c r="N736">
        <v>2</v>
      </c>
      <c r="O736">
        <v>7.1</v>
      </c>
      <c r="P736">
        <v>55.14</v>
      </c>
    </row>
    <row r="737" spans="1:16">
      <c r="A737" t="s">
        <v>2057</v>
      </c>
      <c r="B737">
        <v>1</v>
      </c>
      <c r="C737">
        <v>4</v>
      </c>
      <c r="D737">
        <v>6.9</v>
      </c>
      <c r="E737">
        <v>51.6</v>
      </c>
      <c r="F737" t="s">
        <v>47</v>
      </c>
      <c r="G737" t="s">
        <v>1754</v>
      </c>
      <c r="I737" s="15">
        <f t="shared" si="33"/>
        <v>1110</v>
      </c>
      <c r="J737" s="15" t="str">
        <f t="shared" si="34"/>
        <v>11</v>
      </c>
      <c r="K737" s="15" t="str">
        <f t="shared" si="35"/>
        <v>0111</v>
      </c>
      <c r="L737" t="s">
        <v>2073</v>
      </c>
      <c r="M737">
        <v>1</v>
      </c>
      <c r="N737">
        <v>4</v>
      </c>
      <c r="O737">
        <v>6.9</v>
      </c>
      <c r="P737">
        <v>51.6</v>
      </c>
    </row>
    <row r="738" spans="1:16">
      <c r="A738" t="s">
        <v>1851</v>
      </c>
      <c r="B738">
        <v>1</v>
      </c>
      <c r="C738">
        <v>6</v>
      </c>
      <c r="D738">
        <v>7.5</v>
      </c>
      <c r="E738">
        <v>126</v>
      </c>
      <c r="F738" t="s">
        <v>78</v>
      </c>
      <c r="G738" t="s">
        <v>83</v>
      </c>
      <c r="I738" s="15">
        <f t="shared" si="33"/>
        <v>1128</v>
      </c>
      <c r="J738" s="15" t="str">
        <f t="shared" si="34"/>
        <v>11</v>
      </c>
      <c r="K738" s="15" t="str">
        <f t="shared" si="35"/>
        <v>0111</v>
      </c>
      <c r="L738" t="s">
        <v>2073</v>
      </c>
      <c r="M738">
        <v>1</v>
      </c>
      <c r="N738">
        <v>6</v>
      </c>
      <c r="O738">
        <v>7.5</v>
      </c>
      <c r="P738">
        <v>126</v>
      </c>
    </row>
    <row r="739" spans="1:16">
      <c r="A739" t="s">
        <v>1917</v>
      </c>
      <c r="B739">
        <v>0</v>
      </c>
      <c r="C739">
        <v>8</v>
      </c>
      <c r="D739">
        <v>6.7</v>
      </c>
      <c r="E739">
        <v>10</v>
      </c>
      <c r="F739" t="s">
        <v>1749</v>
      </c>
      <c r="G739" t="s">
        <v>1750</v>
      </c>
      <c r="I739" s="15">
        <f t="shared" si="33"/>
        <v>1205</v>
      </c>
      <c r="J739" s="15" t="str">
        <f t="shared" si="34"/>
        <v>12</v>
      </c>
      <c r="K739" s="15" t="str">
        <f t="shared" si="35"/>
        <v>0112</v>
      </c>
      <c r="L739" t="s">
        <v>2074</v>
      </c>
      <c r="M739">
        <v>0</v>
      </c>
      <c r="N739">
        <v>8</v>
      </c>
      <c r="O739">
        <v>6.7</v>
      </c>
      <c r="P739">
        <v>10</v>
      </c>
    </row>
    <row r="740" spans="1:16">
      <c r="A740" t="s">
        <v>1928</v>
      </c>
      <c r="B740">
        <v>1</v>
      </c>
      <c r="C740">
        <v>7</v>
      </c>
      <c r="D740">
        <v>7.5</v>
      </c>
      <c r="E740">
        <v>47.23</v>
      </c>
      <c r="F740" t="s">
        <v>157</v>
      </c>
      <c r="G740" t="s">
        <v>1750</v>
      </c>
      <c r="I740" s="15">
        <f t="shared" si="33"/>
        <v>1208</v>
      </c>
      <c r="J740" s="15" t="str">
        <f t="shared" si="34"/>
        <v>12</v>
      </c>
      <c r="K740" s="15" t="str">
        <f t="shared" si="35"/>
        <v>0112</v>
      </c>
      <c r="L740" t="s">
        <v>2074</v>
      </c>
      <c r="M740">
        <v>1</v>
      </c>
      <c r="N740">
        <v>7</v>
      </c>
      <c r="O740">
        <v>7.5</v>
      </c>
      <c r="P740">
        <v>47.23</v>
      </c>
    </row>
    <row r="741" spans="1:16">
      <c r="A741" t="s">
        <v>1928</v>
      </c>
      <c r="B741">
        <v>0</v>
      </c>
      <c r="C741">
        <v>7</v>
      </c>
      <c r="D741">
        <v>8.1</v>
      </c>
      <c r="E741">
        <v>22.79</v>
      </c>
      <c r="F741" t="s">
        <v>157</v>
      </c>
      <c r="G741" t="s">
        <v>1750</v>
      </c>
      <c r="I741" s="15">
        <f t="shared" ref="I741:I783" si="36">TRUNC(A741,6)</f>
        <v>1208</v>
      </c>
      <c r="J741" s="15" t="str">
        <f t="shared" si="34"/>
        <v>12</v>
      </c>
      <c r="K741" s="15" t="str">
        <f t="shared" si="35"/>
        <v>0112</v>
      </c>
      <c r="L741" t="s">
        <v>2074</v>
      </c>
      <c r="M741">
        <v>0</v>
      </c>
      <c r="N741">
        <v>7</v>
      </c>
      <c r="O741">
        <v>8.1</v>
      </c>
      <c r="P741">
        <v>22.79</v>
      </c>
    </row>
    <row r="742" spans="1:16">
      <c r="A742" t="s">
        <v>1852</v>
      </c>
      <c r="B742">
        <v>1</v>
      </c>
      <c r="C742">
        <v>2</v>
      </c>
      <c r="D742">
        <v>7.3</v>
      </c>
      <c r="E742">
        <v>14.27</v>
      </c>
      <c r="F742" t="s">
        <v>54</v>
      </c>
      <c r="G742" t="s">
        <v>108</v>
      </c>
      <c r="I742" s="15">
        <f t="shared" si="36"/>
        <v>1214</v>
      </c>
      <c r="J742" s="15" t="str">
        <f t="shared" si="34"/>
        <v>12</v>
      </c>
      <c r="K742" s="15" t="str">
        <f t="shared" si="35"/>
        <v>0112</v>
      </c>
      <c r="L742" t="s">
        <v>2074</v>
      </c>
      <c r="M742">
        <v>1</v>
      </c>
      <c r="N742">
        <v>2</v>
      </c>
      <c r="O742">
        <v>7.3</v>
      </c>
      <c r="P742">
        <v>14.27</v>
      </c>
    </row>
    <row r="743" spans="1:16">
      <c r="A743" t="s">
        <v>2040</v>
      </c>
      <c r="B743">
        <v>0</v>
      </c>
      <c r="C743">
        <v>2</v>
      </c>
      <c r="D743">
        <v>7.3</v>
      </c>
      <c r="E743">
        <v>165.49</v>
      </c>
      <c r="F743" t="s">
        <v>54</v>
      </c>
      <c r="G743" t="s">
        <v>108</v>
      </c>
      <c r="I743" s="15">
        <f t="shared" si="36"/>
        <v>1229</v>
      </c>
      <c r="J743" s="15" t="str">
        <f t="shared" si="34"/>
        <v>12</v>
      </c>
      <c r="K743" s="15" t="str">
        <f t="shared" si="35"/>
        <v>0112</v>
      </c>
      <c r="L743" t="s">
        <v>2074</v>
      </c>
      <c r="M743">
        <v>0</v>
      </c>
      <c r="N743">
        <v>2</v>
      </c>
      <c r="O743">
        <v>7.3</v>
      </c>
      <c r="P743">
        <v>165.49</v>
      </c>
    </row>
    <row r="744" spans="1:16">
      <c r="A744" t="s">
        <v>2013</v>
      </c>
      <c r="B744">
        <v>0</v>
      </c>
      <c r="C744">
        <v>2</v>
      </c>
      <c r="D744">
        <v>6.6</v>
      </c>
      <c r="E744">
        <v>33</v>
      </c>
      <c r="F744" t="s">
        <v>54</v>
      </c>
      <c r="G744" t="s">
        <v>108</v>
      </c>
      <c r="I744" s="15">
        <f t="shared" si="36"/>
        <v>114</v>
      </c>
      <c r="J744" s="15" t="str">
        <f t="shared" si="34"/>
        <v>01</v>
      </c>
      <c r="K744" s="15" t="str">
        <f t="shared" si="35"/>
        <v>0101</v>
      </c>
      <c r="L744" t="s">
        <v>2064</v>
      </c>
      <c r="M744">
        <v>0</v>
      </c>
      <c r="N744">
        <v>2</v>
      </c>
      <c r="O744">
        <v>6.6</v>
      </c>
      <c r="P744">
        <v>33</v>
      </c>
    </row>
    <row r="745" spans="1:16">
      <c r="A745" t="s">
        <v>2058</v>
      </c>
      <c r="B745">
        <v>1</v>
      </c>
      <c r="C745">
        <v>5</v>
      </c>
      <c r="D745">
        <v>6.5</v>
      </c>
      <c r="E745">
        <v>8</v>
      </c>
      <c r="F745" t="s">
        <v>25</v>
      </c>
      <c r="G745" t="s">
        <v>594</v>
      </c>
      <c r="I745" s="15">
        <f t="shared" si="36"/>
        <v>129</v>
      </c>
      <c r="J745" s="15" t="str">
        <f t="shared" si="34"/>
        <v>01</v>
      </c>
      <c r="K745" s="15" t="str">
        <f t="shared" si="35"/>
        <v>0101</v>
      </c>
      <c r="L745" t="s">
        <v>2064</v>
      </c>
      <c r="M745">
        <v>1</v>
      </c>
      <c r="N745">
        <v>5</v>
      </c>
      <c r="O745">
        <v>6.5</v>
      </c>
      <c r="P745">
        <v>8</v>
      </c>
    </row>
    <row r="746" spans="1:16">
      <c r="A746" t="s">
        <v>1854</v>
      </c>
      <c r="B746">
        <v>1</v>
      </c>
      <c r="C746">
        <v>5</v>
      </c>
      <c r="D746">
        <v>6.6</v>
      </c>
      <c r="E746">
        <v>24</v>
      </c>
      <c r="F746" t="s">
        <v>25</v>
      </c>
      <c r="G746" t="s">
        <v>594</v>
      </c>
      <c r="I746" s="15">
        <f t="shared" si="36"/>
        <v>203</v>
      </c>
      <c r="J746" s="15" t="str">
        <f t="shared" si="34"/>
        <v>02</v>
      </c>
      <c r="K746" s="15" t="str">
        <f t="shared" si="35"/>
        <v>0102</v>
      </c>
      <c r="L746" t="s">
        <v>2065</v>
      </c>
      <c r="M746">
        <v>1</v>
      </c>
      <c r="N746">
        <v>5</v>
      </c>
      <c r="O746">
        <v>6.6</v>
      </c>
      <c r="P746">
        <v>24</v>
      </c>
    </row>
    <row r="747" spans="1:16">
      <c r="A747" t="s">
        <v>1997</v>
      </c>
      <c r="B747">
        <v>1</v>
      </c>
      <c r="C747">
        <v>5</v>
      </c>
      <c r="D747">
        <v>6.8</v>
      </c>
      <c r="E747">
        <v>535</v>
      </c>
      <c r="F747" t="s">
        <v>25</v>
      </c>
      <c r="G747" t="s">
        <v>31</v>
      </c>
      <c r="I747" s="15">
        <f t="shared" si="36"/>
        <v>216</v>
      </c>
      <c r="J747" s="15" t="str">
        <f t="shared" si="34"/>
        <v>02</v>
      </c>
      <c r="K747" s="15" t="str">
        <f t="shared" si="35"/>
        <v>0102</v>
      </c>
      <c r="L747" t="s">
        <v>2065</v>
      </c>
      <c r="M747">
        <v>1</v>
      </c>
      <c r="N747">
        <v>5</v>
      </c>
      <c r="O747">
        <v>6.8</v>
      </c>
      <c r="P747">
        <v>535</v>
      </c>
    </row>
    <row r="748" spans="1:16">
      <c r="A748" t="s">
        <v>1787</v>
      </c>
      <c r="B748">
        <v>0</v>
      </c>
      <c r="C748">
        <v>6</v>
      </c>
      <c r="D748">
        <v>6.5</v>
      </c>
      <c r="E748">
        <v>110</v>
      </c>
      <c r="F748" t="s">
        <v>78</v>
      </c>
      <c r="G748" t="s">
        <v>83</v>
      </c>
      <c r="I748" s="15">
        <f t="shared" si="36"/>
        <v>302</v>
      </c>
      <c r="J748" s="15" t="str">
        <f t="shared" si="34"/>
        <v>03</v>
      </c>
      <c r="K748" s="15" t="str">
        <f t="shared" si="35"/>
        <v>0103</v>
      </c>
      <c r="L748" t="s">
        <v>2066</v>
      </c>
      <c r="M748">
        <v>0</v>
      </c>
      <c r="N748">
        <v>6</v>
      </c>
      <c r="O748">
        <v>6.5</v>
      </c>
      <c r="P748">
        <v>110</v>
      </c>
    </row>
    <row r="749" spans="1:16">
      <c r="A749" t="s">
        <v>2059</v>
      </c>
      <c r="B749">
        <v>0</v>
      </c>
      <c r="C749">
        <v>2</v>
      </c>
      <c r="D749">
        <v>6.7</v>
      </c>
      <c r="E749">
        <v>28</v>
      </c>
      <c r="F749" t="s">
        <v>54</v>
      </c>
      <c r="G749" t="s">
        <v>108</v>
      </c>
      <c r="I749" s="15">
        <f t="shared" si="36"/>
        <v>313</v>
      </c>
      <c r="J749" s="15" t="str">
        <f t="shared" si="34"/>
        <v>03</v>
      </c>
      <c r="K749" s="15" t="str">
        <f t="shared" si="35"/>
        <v>0103</v>
      </c>
      <c r="L749" t="s">
        <v>2066</v>
      </c>
      <c r="M749">
        <v>0</v>
      </c>
      <c r="N749">
        <v>2</v>
      </c>
      <c r="O749">
        <v>6.7</v>
      </c>
      <c r="P749">
        <v>28</v>
      </c>
    </row>
    <row r="750" spans="1:16">
      <c r="A750" t="s">
        <v>1931</v>
      </c>
      <c r="B750">
        <v>1</v>
      </c>
      <c r="C750">
        <v>2</v>
      </c>
      <c r="D750">
        <v>7.3</v>
      </c>
      <c r="E750">
        <v>41</v>
      </c>
      <c r="F750" s="3" t="s">
        <v>54</v>
      </c>
      <c r="G750" t="s">
        <v>200</v>
      </c>
      <c r="I750" s="15">
        <f t="shared" si="36"/>
        <v>316</v>
      </c>
      <c r="J750" s="15" t="str">
        <f t="shared" si="34"/>
        <v>03</v>
      </c>
      <c r="K750" s="15" t="str">
        <f t="shared" si="35"/>
        <v>0103</v>
      </c>
      <c r="L750" t="s">
        <v>2066</v>
      </c>
      <c r="M750">
        <v>1</v>
      </c>
      <c r="N750">
        <v>2</v>
      </c>
      <c r="O750">
        <v>7.3</v>
      </c>
      <c r="P750">
        <v>41</v>
      </c>
    </row>
    <row r="751" spans="1:16">
      <c r="A751" t="s">
        <v>2060</v>
      </c>
      <c r="B751">
        <v>1</v>
      </c>
      <c r="C751">
        <v>2</v>
      </c>
      <c r="D751">
        <v>6.7</v>
      </c>
      <c r="E751">
        <v>24</v>
      </c>
      <c r="F751" t="s">
        <v>54</v>
      </c>
      <c r="G751" t="s">
        <v>55</v>
      </c>
      <c r="I751" s="15">
        <f t="shared" si="36"/>
        <v>322</v>
      </c>
      <c r="J751" s="15" t="str">
        <f t="shared" si="34"/>
        <v>03</v>
      </c>
      <c r="K751" s="15" t="str">
        <f t="shared" si="35"/>
        <v>0103</v>
      </c>
      <c r="L751" t="s">
        <v>2066</v>
      </c>
      <c r="M751">
        <v>1</v>
      </c>
      <c r="N751">
        <v>2</v>
      </c>
      <c r="O751">
        <v>6.7</v>
      </c>
      <c r="P751">
        <v>24</v>
      </c>
    </row>
    <row r="752" spans="1:16">
      <c r="A752" t="s">
        <v>1932</v>
      </c>
      <c r="B752">
        <v>1</v>
      </c>
      <c r="C752">
        <v>5</v>
      </c>
      <c r="D752">
        <v>6.9</v>
      </c>
      <c r="E752">
        <v>10</v>
      </c>
      <c r="F752" t="s">
        <v>25</v>
      </c>
      <c r="G752" t="s">
        <v>1744</v>
      </c>
      <c r="I752" s="15">
        <f t="shared" si="36"/>
        <v>330</v>
      </c>
      <c r="J752" s="15" t="str">
        <f t="shared" si="34"/>
        <v>03</v>
      </c>
      <c r="K752" s="15" t="str">
        <f t="shared" si="35"/>
        <v>0103</v>
      </c>
      <c r="L752" t="s">
        <v>2066</v>
      </c>
      <c r="M752">
        <v>1</v>
      </c>
      <c r="N752">
        <v>5</v>
      </c>
      <c r="O752">
        <v>6.9</v>
      </c>
      <c r="P752">
        <v>10</v>
      </c>
    </row>
    <row r="753" spans="1:16">
      <c r="A753" t="s">
        <v>1791</v>
      </c>
      <c r="B753">
        <v>1</v>
      </c>
      <c r="C753">
        <v>5</v>
      </c>
      <c r="D753">
        <v>7</v>
      </c>
      <c r="E753">
        <v>10</v>
      </c>
      <c r="F753" t="s">
        <v>25</v>
      </c>
      <c r="G753" t="s">
        <v>1750</v>
      </c>
      <c r="I753" s="15">
        <f t="shared" si="36"/>
        <v>331</v>
      </c>
      <c r="J753" s="15" t="str">
        <f t="shared" si="34"/>
        <v>03</v>
      </c>
      <c r="K753" s="15" t="str">
        <f t="shared" si="35"/>
        <v>0103</v>
      </c>
      <c r="L753" t="s">
        <v>2066</v>
      </c>
      <c r="M753">
        <v>1</v>
      </c>
      <c r="N753">
        <v>5</v>
      </c>
      <c r="O753">
        <v>7</v>
      </c>
      <c r="P753">
        <v>10</v>
      </c>
    </row>
    <row r="754" spans="1:16">
      <c r="A754" t="s">
        <v>1960</v>
      </c>
      <c r="B754">
        <v>1</v>
      </c>
      <c r="C754">
        <v>4</v>
      </c>
      <c r="D754">
        <v>6.6</v>
      </c>
      <c r="E754">
        <v>27</v>
      </c>
      <c r="F754" t="s">
        <v>47</v>
      </c>
      <c r="G754" t="s">
        <v>856</v>
      </c>
      <c r="I754" s="15">
        <f t="shared" si="36"/>
        <v>421</v>
      </c>
      <c r="J754" s="15" t="str">
        <f t="shared" si="34"/>
        <v>04</v>
      </c>
      <c r="K754" s="15" t="str">
        <f t="shared" si="35"/>
        <v>0104</v>
      </c>
      <c r="L754" t="s">
        <v>2067</v>
      </c>
      <c r="M754">
        <v>1</v>
      </c>
      <c r="N754">
        <v>4</v>
      </c>
      <c r="O754">
        <v>6.6</v>
      </c>
      <c r="P754">
        <v>27</v>
      </c>
    </row>
    <row r="755" spans="1:16">
      <c r="A755" t="s">
        <v>1837</v>
      </c>
      <c r="B755">
        <v>0</v>
      </c>
      <c r="C755">
        <v>2</v>
      </c>
      <c r="D755">
        <v>6.6</v>
      </c>
      <c r="E755">
        <v>12</v>
      </c>
      <c r="F755" t="s">
        <v>54</v>
      </c>
      <c r="G755" t="s">
        <v>1752</v>
      </c>
      <c r="I755" s="15">
        <f t="shared" si="36"/>
        <v>509</v>
      </c>
      <c r="J755" s="15" t="str">
        <f t="shared" si="34"/>
        <v>05</v>
      </c>
      <c r="K755" s="15" t="str">
        <f t="shared" si="35"/>
        <v>0105</v>
      </c>
      <c r="L755" t="s">
        <v>2068</v>
      </c>
      <c r="M755">
        <v>0</v>
      </c>
      <c r="N755">
        <v>2</v>
      </c>
      <c r="O755">
        <v>6.6</v>
      </c>
      <c r="P755">
        <v>12</v>
      </c>
    </row>
    <row r="756" spans="1:16">
      <c r="A756" t="s">
        <v>1862</v>
      </c>
      <c r="B756">
        <v>1</v>
      </c>
      <c r="C756">
        <v>8</v>
      </c>
      <c r="D756">
        <v>6.9</v>
      </c>
      <c r="E756">
        <v>10</v>
      </c>
      <c r="F756" t="s">
        <v>1749</v>
      </c>
      <c r="G756" t="s">
        <v>1750</v>
      </c>
      <c r="I756" s="15">
        <f t="shared" si="36"/>
        <v>519</v>
      </c>
      <c r="J756" s="15" t="str">
        <f t="shared" si="34"/>
        <v>05</v>
      </c>
      <c r="K756" s="15" t="str">
        <f t="shared" si="35"/>
        <v>0105</v>
      </c>
      <c r="L756" t="s">
        <v>2068</v>
      </c>
      <c r="M756">
        <v>1</v>
      </c>
      <c r="N756">
        <v>8</v>
      </c>
      <c r="O756">
        <v>6.9</v>
      </c>
      <c r="P756">
        <v>10</v>
      </c>
    </row>
    <row r="757" spans="1:16">
      <c r="A757" t="s">
        <v>1813</v>
      </c>
      <c r="B757">
        <v>1</v>
      </c>
      <c r="C757">
        <v>6</v>
      </c>
      <c r="D757">
        <v>7.2</v>
      </c>
      <c r="E757">
        <v>236</v>
      </c>
      <c r="F757" t="s">
        <v>78</v>
      </c>
      <c r="G757" t="s">
        <v>83</v>
      </c>
      <c r="I757" s="15">
        <f t="shared" si="36"/>
        <v>526</v>
      </c>
      <c r="J757" s="15" t="str">
        <f t="shared" si="34"/>
        <v>05</v>
      </c>
      <c r="K757" s="15" t="str">
        <f t="shared" si="35"/>
        <v>0105</v>
      </c>
      <c r="L757" t="s">
        <v>2068</v>
      </c>
      <c r="M757">
        <v>1</v>
      </c>
      <c r="N757">
        <v>6</v>
      </c>
      <c r="O757">
        <v>7.2</v>
      </c>
      <c r="P757">
        <v>236</v>
      </c>
    </row>
    <row r="758" spans="1:16">
      <c r="A758" t="s">
        <v>2005</v>
      </c>
      <c r="B758">
        <v>0</v>
      </c>
      <c r="C758">
        <v>2</v>
      </c>
      <c r="D758">
        <v>6.6</v>
      </c>
      <c r="E758">
        <v>13</v>
      </c>
      <c r="F758" t="s">
        <v>54</v>
      </c>
      <c r="G758" t="s">
        <v>1752</v>
      </c>
      <c r="I758" s="15">
        <f t="shared" si="36"/>
        <v>701</v>
      </c>
      <c r="J758" s="15" t="str">
        <f t="shared" si="34"/>
        <v>07</v>
      </c>
      <c r="K758" s="15" t="str">
        <f t="shared" si="35"/>
        <v>0107</v>
      </c>
      <c r="L758" t="s">
        <v>2070</v>
      </c>
      <c r="M758">
        <v>0</v>
      </c>
      <c r="N758">
        <v>2</v>
      </c>
      <c r="O758">
        <v>6.6</v>
      </c>
      <c r="P758">
        <v>13</v>
      </c>
    </row>
    <row r="759" spans="1:16">
      <c r="A759" t="s">
        <v>2006</v>
      </c>
      <c r="B759">
        <v>1</v>
      </c>
      <c r="C759">
        <v>2</v>
      </c>
      <c r="D759">
        <v>7</v>
      </c>
      <c r="E759">
        <v>33.728999999999999</v>
      </c>
      <c r="F759" t="s">
        <v>54</v>
      </c>
      <c r="G759" t="s">
        <v>75</v>
      </c>
      <c r="I759" s="15">
        <f t="shared" si="36"/>
        <v>727</v>
      </c>
      <c r="J759" s="15" t="str">
        <f t="shared" si="34"/>
        <v>07</v>
      </c>
      <c r="K759" s="15" t="str">
        <f t="shared" si="35"/>
        <v>0107</v>
      </c>
      <c r="L759" t="s">
        <v>2070</v>
      </c>
      <c r="M759">
        <v>1</v>
      </c>
      <c r="N759">
        <v>2</v>
      </c>
      <c r="O759">
        <v>7</v>
      </c>
      <c r="P759">
        <v>33.728999999999999</v>
      </c>
    </row>
    <row r="760" spans="1:16">
      <c r="A760" t="s">
        <v>2061</v>
      </c>
      <c r="B760">
        <v>0</v>
      </c>
      <c r="C760">
        <v>6</v>
      </c>
      <c r="D760">
        <v>6.5</v>
      </c>
      <c r="E760">
        <v>622.73</v>
      </c>
      <c r="F760" t="s">
        <v>78</v>
      </c>
      <c r="G760" t="s">
        <v>79</v>
      </c>
      <c r="I760" s="15">
        <f t="shared" si="36"/>
        <v>806</v>
      </c>
      <c r="J760" s="15" t="str">
        <f t="shared" si="34"/>
        <v>08</v>
      </c>
      <c r="K760" s="15" t="str">
        <f t="shared" si="35"/>
        <v>0108</v>
      </c>
      <c r="L760" t="s">
        <v>2075</v>
      </c>
      <c r="M760">
        <v>0</v>
      </c>
      <c r="N760">
        <v>6</v>
      </c>
      <c r="O760">
        <v>6.5</v>
      </c>
      <c r="P760">
        <v>622.73</v>
      </c>
    </row>
    <row r="761" spans="1:16">
      <c r="A761" t="s">
        <v>1801</v>
      </c>
      <c r="B761">
        <v>1</v>
      </c>
      <c r="C761">
        <v>8</v>
      </c>
      <c r="D761">
        <v>6.6</v>
      </c>
      <c r="E761">
        <v>30</v>
      </c>
      <c r="F761" t="s">
        <v>1749</v>
      </c>
      <c r="G761" t="s">
        <v>1750</v>
      </c>
      <c r="I761" s="15">
        <f t="shared" si="36"/>
        <v>814</v>
      </c>
      <c r="J761" s="15" t="str">
        <f t="shared" si="34"/>
        <v>08</v>
      </c>
      <c r="K761" s="15" t="str">
        <f t="shared" si="35"/>
        <v>0108</v>
      </c>
      <c r="L761" t="s">
        <v>2075</v>
      </c>
      <c r="M761">
        <v>1</v>
      </c>
      <c r="N761">
        <v>8</v>
      </c>
      <c r="O761">
        <v>6.6</v>
      </c>
      <c r="P761">
        <v>30</v>
      </c>
    </row>
    <row r="762" spans="1:16">
      <c r="A762" t="s">
        <v>1922</v>
      </c>
      <c r="B762">
        <v>1</v>
      </c>
      <c r="C762">
        <v>5</v>
      </c>
      <c r="D762">
        <v>6.8</v>
      </c>
      <c r="E762">
        <v>630.37900000000002</v>
      </c>
      <c r="F762" t="s">
        <v>25</v>
      </c>
      <c r="G762" t="s">
        <v>31</v>
      </c>
      <c r="I762" s="15">
        <f t="shared" si="36"/>
        <v>911</v>
      </c>
      <c r="J762" s="15" t="str">
        <f t="shared" si="34"/>
        <v>09</v>
      </c>
      <c r="K762" s="15" t="str">
        <f t="shared" si="35"/>
        <v>0109</v>
      </c>
      <c r="L762" t="s">
        <v>2071</v>
      </c>
      <c r="M762">
        <v>1</v>
      </c>
      <c r="N762">
        <v>5</v>
      </c>
      <c r="O762">
        <v>6.8</v>
      </c>
      <c r="P762">
        <v>630.37900000000002</v>
      </c>
    </row>
    <row r="763" spans="1:16">
      <c r="A763" t="s">
        <v>1922</v>
      </c>
      <c r="B763">
        <v>1</v>
      </c>
      <c r="C763">
        <v>5</v>
      </c>
      <c r="D763">
        <v>7</v>
      </c>
      <c r="E763">
        <v>660</v>
      </c>
      <c r="F763" t="s">
        <v>25</v>
      </c>
      <c r="G763" t="s">
        <v>31</v>
      </c>
      <c r="I763" s="15">
        <f t="shared" si="36"/>
        <v>911</v>
      </c>
      <c r="J763" s="15" t="str">
        <f t="shared" si="34"/>
        <v>09</v>
      </c>
      <c r="K763" s="15" t="str">
        <f t="shared" si="35"/>
        <v>0109</v>
      </c>
      <c r="L763" t="s">
        <v>2071</v>
      </c>
      <c r="M763">
        <v>1</v>
      </c>
      <c r="N763">
        <v>5</v>
      </c>
      <c r="O763">
        <v>7</v>
      </c>
      <c r="P763">
        <v>660</v>
      </c>
    </row>
    <row r="764" spans="1:16">
      <c r="A764" t="s">
        <v>1922</v>
      </c>
      <c r="B764">
        <v>1</v>
      </c>
      <c r="C764">
        <v>8</v>
      </c>
      <c r="D764">
        <v>6.6</v>
      </c>
      <c r="E764">
        <v>624.46400000000006</v>
      </c>
      <c r="F764" t="s">
        <v>1749</v>
      </c>
      <c r="G764" t="s">
        <v>1750</v>
      </c>
      <c r="I764" s="15">
        <f t="shared" si="36"/>
        <v>911</v>
      </c>
      <c r="J764" s="15" t="str">
        <f t="shared" si="34"/>
        <v>09</v>
      </c>
      <c r="K764" s="15" t="str">
        <f t="shared" si="35"/>
        <v>0109</v>
      </c>
      <c r="L764" t="s">
        <v>2071</v>
      </c>
      <c r="M764">
        <v>1</v>
      </c>
      <c r="N764">
        <v>8</v>
      </c>
      <c r="O764">
        <v>6.6</v>
      </c>
      <c r="P764">
        <v>624.46400000000006</v>
      </c>
    </row>
    <row r="765" spans="1:16">
      <c r="A765" t="s">
        <v>2062</v>
      </c>
      <c r="B765">
        <v>1</v>
      </c>
      <c r="C765">
        <v>5</v>
      </c>
      <c r="D765">
        <v>7</v>
      </c>
      <c r="E765">
        <v>137</v>
      </c>
      <c r="F765" t="s">
        <v>25</v>
      </c>
      <c r="G765" t="s">
        <v>163</v>
      </c>
      <c r="I765" s="15">
        <f t="shared" si="36"/>
        <v>914</v>
      </c>
      <c r="J765" s="15" t="str">
        <f t="shared" si="34"/>
        <v>09</v>
      </c>
      <c r="K765" s="15" t="str">
        <f t="shared" si="35"/>
        <v>0109</v>
      </c>
      <c r="L765" t="s">
        <v>2071</v>
      </c>
      <c r="M765">
        <v>1</v>
      </c>
      <c r="N765">
        <v>5</v>
      </c>
      <c r="O765">
        <v>7</v>
      </c>
      <c r="P765">
        <v>137</v>
      </c>
    </row>
    <row r="766" spans="1:16">
      <c r="A766" t="s">
        <v>1993</v>
      </c>
      <c r="B766">
        <v>1</v>
      </c>
      <c r="C766">
        <v>2</v>
      </c>
      <c r="D766">
        <v>6.5</v>
      </c>
      <c r="E766">
        <v>10</v>
      </c>
      <c r="F766" t="s">
        <v>54</v>
      </c>
      <c r="G766" t="s">
        <v>55</v>
      </c>
      <c r="I766" s="15">
        <f t="shared" si="36"/>
        <v>917</v>
      </c>
      <c r="J766" s="15" t="str">
        <f t="shared" si="34"/>
        <v>09</v>
      </c>
      <c r="K766" s="15" t="str">
        <f t="shared" si="35"/>
        <v>0109</v>
      </c>
      <c r="L766" t="s">
        <v>2071</v>
      </c>
      <c r="M766">
        <v>1</v>
      </c>
      <c r="N766">
        <v>2</v>
      </c>
      <c r="O766">
        <v>6.5</v>
      </c>
      <c r="P766">
        <v>10</v>
      </c>
    </row>
    <row r="767" spans="1:16">
      <c r="A767" t="s">
        <v>1952</v>
      </c>
      <c r="B767">
        <v>1</v>
      </c>
      <c r="C767">
        <v>2</v>
      </c>
      <c r="D767">
        <v>6.9</v>
      </c>
      <c r="E767">
        <v>10</v>
      </c>
      <c r="F767" t="s">
        <v>54</v>
      </c>
      <c r="G767" t="s">
        <v>55</v>
      </c>
      <c r="I767" s="15">
        <f t="shared" si="36"/>
        <v>918</v>
      </c>
      <c r="J767" s="15" t="str">
        <f t="shared" si="34"/>
        <v>09</v>
      </c>
      <c r="K767" s="15" t="str">
        <f t="shared" si="35"/>
        <v>0109</v>
      </c>
      <c r="L767" t="s">
        <v>2071</v>
      </c>
      <c r="M767">
        <v>1</v>
      </c>
      <c r="N767">
        <v>2</v>
      </c>
      <c r="O767">
        <v>6.9</v>
      </c>
      <c r="P767">
        <v>10</v>
      </c>
    </row>
    <row r="768" spans="1:16">
      <c r="A768" t="s">
        <v>2023</v>
      </c>
      <c r="B768">
        <v>1</v>
      </c>
      <c r="C768">
        <v>4</v>
      </c>
      <c r="D768">
        <v>7.6</v>
      </c>
      <c r="E768">
        <v>26.943000000000001</v>
      </c>
      <c r="F768" t="s">
        <v>47</v>
      </c>
      <c r="G768" t="s">
        <v>48</v>
      </c>
      <c r="I768" s="15">
        <f t="shared" si="36"/>
        <v>919</v>
      </c>
      <c r="J768" s="15" t="str">
        <f t="shared" si="34"/>
        <v>09</v>
      </c>
      <c r="K768" s="15" t="str">
        <f t="shared" si="35"/>
        <v>0109</v>
      </c>
      <c r="L768" t="s">
        <v>2071</v>
      </c>
      <c r="M768">
        <v>1</v>
      </c>
      <c r="N768">
        <v>4</v>
      </c>
      <c r="O768">
        <v>7.6</v>
      </c>
      <c r="P768">
        <v>26.943000000000001</v>
      </c>
    </row>
    <row r="769" spans="1:16">
      <c r="A769" t="s">
        <v>2054</v>
      </c>
      <c r="B769">
        <v>1</v>
      </c>
      <c r="C769">
        <v>4</v>
      </c>
      <c r="D769">
        <v>6.8</v>
      </c>
      <c r="E769">
        <v>20</v>
      </c>
      <c r="F769" t="s">
        <v>47</v>
      </c>
      <c r="G769" t="s">
        <v>48</v>
      </c>
      <c r="I769" s="15">
        <f t="shared" si="36"/>
        <v>922</v>
      </c>
      <c r="J769" s="15" t="str">
        <f t="shared" si="34"/>
        <v>09</v>
      </c>
      <c r="K769" s="15" t="str">
        <f t="shared" si="35"/>
        <v>0109</v>
      </c>
      <c r="L769" t="s">
        <v>2071</v>
      </c>
      <c r="M769">
        <v>1</v>
      </c>
      <c r="N769">
        <v>4</v>
      </c>
      <c r="O769">
        <v>6.8</v>
      </c>
      <c r="P769">
        <v>20</v>
      </c>
    </row>
    <row r="770" spans="1:16">
      <c r="A770" t="s">
        <v>1953</v>
      </c>
      <c r="B770">
        <v>1</v>
      </c>
      <c r="C770">
        <v>6</v>
      </c>
      <c r="D770">
        <v>6.8</v>
      </c>
      <c r="E770">
        <v>220</v>
      </c>
      <c r="F770" t="s">
        <v>78</v>
      </c>
      <c r="G770" t="s">
        <v>88</v>
      </c>
      <c r="I770" s="15">
        <f t="shared" si="36"/>
        <v>1005</v>
      </c>
      <c r="J770" s="15" t="str">
        <f t="shared" si="34"/>
        <v>10</v>
      </c>
      <c r="K770" s="15" t="str">
        <f t="shared" si="35"/>
        <v>0110</v>
      </c>
      <c r="L770" t="s">
        <v>2072</v>
      </c>
      <c r="M770">
        <v>1</v>
      </c>
      <c r="N770">
        <v>6</v>
      </c>
      <c r="O770">
        <v>6.8</v>
      </c>
      <c r="P770">
        <v>220</v>
      </c>
    </row>
    <row r="771" spans="1:16">
      <c r="A771" t="s">
        <v>1899</v>
      </c>
      <c r="B771">
        <v>1</v>
      </c>
      <c r="C771">
        <v>5</v>
      </c>
      <c r="D771">
        <v>7.6</v>
      </c>
      <c r="E771">
        <v>116</v>
      </c>
      <c r="F771" t="s">
        <v>25</v>
      </c>
      <c r="G771" t="s">
        <v>64</v>
      </c>
      <c r="I771" s="15">
        <f t="shared" si="36"/>
        <v>1009</v>
      </c>
      <c r="J771" s="15" t="str">
        <f t="shared" ref="J771:J783" si="37">LEFT(L771,2)</f>
        <v>10</v>
      </c>
      <c r="K771" s="15" t="str">
        <f t="shared" ref="K771:K783" si="38">TEXT(J771,"MMDD")</f>
        <v>0110</v>
      </c>
      <c r="L771" t="s">
        <v>2072</v>
      </c>
      <c r="M771">
        <v>1</v>
      </c>
      <c r="N771">
        <v>5</v>
      </c>
      <c r="O771">
        <v>7.6</v>
      </c>
      <c r="P771">
        <v>116</v>
      </c>
    </row>
    <row r="772" spans="1:16">
      <c r="A772" t="s">
        <v>1890</v>
      </c>
      <c r="B772">
        <v>1</v>
      </c>
      <c r="C772">
        <v>4</v>
      </c>
      <c r="D772">
        <v>6.7</v>
      </c>
      <c r="E772">
        <v>20</v>
      </c>
      <c r="F772" t="s">
        <v>47</v>
      </c>
      <c r="G772" t="s">
        <v>42</v>
      </c>
      <c r="I772" s="15">
        <f t="shared" si="36"/>
        <v>1020</v>
      </c>
      <c r="J772" s="15" t="str">
        <f t="shared" si="37"/>
        <v>10</v>
      </c>
      <c r="K772" s="15" t="str">
        <f t="shared" si="38"/>
        <v>0110</v>
      </c>
      <c r="L772" t="s">
        <v>2072</v>
      </c>
      <c r="M772">
        <v>1</v>
      </c>
      <c r="N772">
        <v>4</v>
      </c>
      <c r="O772">
        <v>6.7</v>
      </c>
      <c r="P772">
        <v>20</v>
      </c>
    </row>
    <row r="773" spans="1:16">
      <c r="A773" t="s">
        <v>2018</v>
      </c>
      <c r="B773">
        <v>0</v>
      </c>
      <c r="C773">
        <v>2</v>
      </c>
      <c r="D773">
        <v>6.6</v>
      </c>
      <c r="E773">
        <v>21</v>
      </c>
      <c r="F773" t="s">
        <v>54</v>
      </c>
      <c r="G773" t="s">
        <v>1741</v>
      </c>
      <c r="I773" s="15">
        <f t="shared" si="36"/>
        <v>1101</v>
      </c>
      <c r="J773" s="15" t="str">
        <f t="shared" si="37"/>
        <v>11</v>
      </c>
      <c r="K773" s="15" t="str">
        <f t="shared" si="38"/>
        <v>0111</v>
      </c>
      <c r="L773" t="s">
        <v>2073</v>
      </c>
      <c r="M773">
        <v>0</v>
      </c>
      <c r="N773">
        <v>2</v>
      </c>
      <c r="O773">
        <v>6.6</v>
      </c>
      <c r="P773">
        <v>21</v>
      </c>
    </row>
    <row r="774" spans="1:16">
      <c r="A774" t="s">
        <v>2018</v>
      </c>
      <c r="B774">
        <v>1</v>
      </c>
      <c r="C774">
        <v>4</v>
      </c>
      <c r="D774">
        <v>6.8</v>
      </c>
      <c r="E774">
        <v>20</v>
      </c>
      <c r="F774" t="s">
        <v>47</v>
      </c>
      <c r="G774" t="s">
        <v>1754</v>
      </c>
      <c r="I774" s="15">
        <f t="shared" si="36"/>
        <v>1101</v>
      </c>
      <c r="J774" s="15" t="str">
        <f t="shared" si="37"/>
        <v>11</v>
      </c>
      <c r="K774" s="15" t="str">
        <f t="shared" si="38"/>
        <v>0111</v>
      </c>
      <c r="L774" t="s">
        <v>2073</v>
      </c>
      <c r="M774">
        <v>1</v>
      </c>
      <c r="N774">
        <v>4</v>
      </c>
      <c r="O774">
        <v>6.8</v>
      </c>
      <c r="P774">
        <v>20</v>
      </c>
    </row>
    <row r="775" spans="1:16">
      <c r="A775" t="s">
        <v>2018</v>
      </c>
      <c r="B775">
        <v>1</v>
      </c>
      <c r="C775">
        <v>4</v>
      </c>
      <c r="D775">
        <v>6.7</v>
      </c>
      <c r="E775">
        <v>33</v>
      </c>
      <c r="F775" t="s">
        <v>47</v>
      </c>
      <c r="G775" t="s">
        <v>1754</v>
      </c>
      <c r="I775" s="15">
        <f t="shared" si="36"/>
        <v>1101</v>
      </c>
      <c r="J775" s="15" t="str">
        <f t="shared" si="37"/>
        <v>11</v>
      </c>
      <c r="K775" s="15" t="str">
        <f t="shared" si="38"/>
        <v>0111</v>
      </c>
      <c r="L775" t="s">
        <v>2073</v>
      </c>
      <c r="M775">
        <v>1</v>
      </c>
      <c r="N775">
        <v>4</v>
      </c>
      <c r="O775">
        <v>6.7</v>
      </c>
      <c r="P775">
        <v>33</v>
      </c>
    </row>
    <row r="776" spans="1:16">
      <c r="A776" t="s">
        <v>2018</v>
      </c>
      <c r="B776">
        <v>1</v>
      </c>
      <c r="C776">
        <v>4</v>
      </c>
      <c r="D776">
        <v>6.7</v>
      </c>
      <c r="E776">
        <v>33</v>
      </c>
      <c r="F776" t="s">
        <v>47</v>
      </c>
      <c r="G776" t="s">
        <v>1754</v>
      </c>
      <c r="I776" s="15">
        <f t="shared" si="36"/>
        <v>1101</v>
      </c>
      <c r="J776" s="15" t="str">
        <f t="shared" si="37"/>
        <v>11</v>
      </c>
      <c r="K776" s="15" t="str">
        <f t="shared" si="38"/>
        <v>0111</v>
      </c>
      <c r="L776" t="s">
        <v>2073</v>
      </c>
      <c r="M776">
        <v>1</v>
      </c>
      <c r="N776">
        <v>4</v>
      </c>
      <c r="O776">
        <v>6.7</v>
      </c>
      <c r="P776">
        <v>33</v>
      </c>
    </row>
    <row r="777" spans="1:16">
      <c r="A777" t="s">
        <v>2018</v>
      </c>
      <c r="B777">
        <v>1</v>
      </c>
      <c r="C777">
        <v>4</v>
      </c>
      <c r="D777">
        <v>6.6</v>
      </c>
      <c r="E777">
        <v>19</v>
      </c>
      <c r="F777" t="s">
        <v>47</v>
      </c>
      <c r="G777" t="s">
        <v>1754</v>
      </c>
      <c r="I777" s="15">
        <f t="shared" si="36"/>
        <v>1101</v>
      </c>
      <c r="J777" s="15" t="str">
        <f t="shared" si="37"/>
        <v>11</v>
      </c>
      <c r="K777" s="15" t="str">
        <f t="shared" si="38"/>
        <v>0111</v>
      </c>
      <c r="L777" t="s">
        <v>2073</v>
      </c>
      <c r="M777">
        <v>1</v>
      </c>
      <c r="N777">
        <v>4</v>
      </c>
      <c r="O777">
        <v>6.6</v>
      </c>
      <c r="P777">
        <v>19</v>
      </c>
    </row>
    <row r="778" spans="1:16">
      <c r="A778" t="s">
        <v>2018</v>
      </c>
      <c r="B778">
        <v>1</v>
      </c>
      <c r="C778">
        <v>4</v>
      </c>
      <c r="D778">
        <v>6.5</v>
      </c>
      <c r="E778">
        <v>37</v>
      </c>
      <c r="F778" t="s">
        <v>47</v>
      </c>
      <c r="G778" t="s">
        <v>1754</v>
      </c>
      <c r="I778" s="15">
        <f t="shared" si="36"/>
        <v>1101</v>
      </c>
      <c r="J778" s="15" t="str">
        <f t="shared" si="37"/>
        <v>11</v>
      </c>
      <c r="K778" s="15" t="str">
        <f t="shared" si="38"/>
        <v>0111</v>
      </c>
      <c r="L778" t="s">
        <v>2073</v>
      </c>
      <c r="M778">
        <v>1</v>
      </c>
      <c r="N778">
        <v>4</v>
      </c>
      <c r="O778">
        <v>6.5</v>
      </c>
      <c r="P778">
        <v>37</v>
      </c>
    </row>
    <row r="779" spans="1:16">
      <c r="A779" t="s">
        <v>2018</v>
      </c>
      <c r="B779">
        <v>1</v>
      </c>
      <c r="C779">
        <v>4</v>
      </c>
      <c r="D779">
        <v>6.5</v>
      </c>
      <c r="E779">
        <v>37</v>
      </c>
      <c r="F779" t="s">
        <v>47</v>
      </c>
      <c r="G779" t="s">
        <v>1754</v>
      </c>
      <c r="I779" s="15">
        <f t="shared" si="36"/>
        <v>1101</v>
      </c>
      <c r="J779" s="15" t="str">
        <f t="shared" si="37"/>
        <v>11</v>
      </c>
      <c r="K779" s="15" t="str">
        <f t="shared" si="38"/>
        <v>0111</v>
      </c>
      <c r="L779" t="s">
        <v>2073</v>
      </c>
      <c r="M779">
        <v>1</v>
      </c>
      <c r="N779">
        <v>4</v>
      </c>
      <c r="O779">
        <v>6.5</v>
      </c>
      <c r="P779">
        <v>37</v>
      </c>
    </row>
    <row r="780" spans="1:16">
      <c r="A780" t="s">
        <v>1847</v>
      </c>
      <c r="B780">
        <v>1</v>
      </c>
      <c r="C780">
        <v>5</v>
      </c>
      <c r="D780">
        <v>7.3</v>
      </c>
      <c r="E780">
        <v>37</v>
      </c>
      <c r="F780" t="s">
        <v>25</v>
      </c>
      <c r="G780" t="s">
        <v>1022</v>
      </c>
      <c r="I780" s="15">
        <f t="shared" si="36"/>
        <v>1111</v>
      </c>
      <c r="J780" s="15" t="str">
        <f t="shared" si="37"/>
        <v>11</v>
      </c>
      <c r="K780" s="15" t="str">
        <f t="shared" si="38"/>
        <v>0111</v>
      </c>
      <c r="L780" t="s">
        <v>2073</v>
      </c>
      <c r="M780">
        <v>1</v>
      </c>
      <c r="N780">
        <v>5</v>
      </c>
      <c r="O780">
        <v>7.3</v>
      </c>
      <c r="P780">
        <v>37</v>
      </c>
    </row>
    <row r="781" spans="1:16">
      <c r="A781" t="s">
        <v>1827</v>
      </c>
      <c r="B781">
        <v>0</v>
      </c>
      <c r="C781">
        <v>2</v>
      </c>
      <c r="D781">
        <v>6.9</v>
      </c>
      <c r="E781">
        <v>25</v>
      </c>
      <c r="F781" s="3" t="s">
        <v>54</v>
      </c>
      <c r="G781" t="s">
        <v>108</v>
      </c>
      <c r="I781" s="15">
        <f t="shared" si="36"/>
        <v>1118</v>
      </c>
      <c r="J781" s="15" t="str">
        <f t="shared" si="37"/>
        <v>11</v>
      </c>
      <c r="K781" s="15" t="str">
        <f t="shared" si="38"/>
        <v>0111</v>
      </c>
      <c r="L781" t="s">
        <v>2073</v>
      </c>
      <c r="M781">
        <v>0</v>
      </c>
      <c r="N781">
        <v>2</v>
      </c>
      <c r="O781">
        <v>6.9</v>
      </c>
      <c r="P781">
        <v>25</v>
      </c>
    </row>
    <row r="782" spans="1:16">
      <c r="A782" t="s">
        <v>1849</v>
      </c>
      <c r="B782">
        <v>1</v>
      </c>
      <c r="C782">
        <v>5</v>
      </c>
      <c r="D782">
        <v>7</v>
      </c>
      <c r="E782">
        <v>14</v>
      </c>
      <c r="F782" t="s">
        <v>25</v>
      </c>
      <c r="G782" t="s">
        <v>26</v>
      </c>
      <c r="I782" s="15">
        <f t="shared" si="36"/>
        <v>1122</v>
      </c>
      <c r="J782" s="15" t="str">
        <f t="shared" si="37"/>
        <v>11</v>
      </c>
      <c r="K782" s="15" t="str">
        <f t="shared" si="38"/>
        <v>0111</v>
      </c>
      <c r="L782" t="s">
        <v>2073</v>
      </c>
      <c r="M782">
        <v>1</v>
      </c>
      <c r="N782">
        <v>5</v>
      </c>
      <c r="O782">
        <v>7</v>
      </c>
      <c r="P782">
        <v>14</v>
      </c>
    </row>
    <row r="783" spans="1:16">
      <c r="A783" t="s">
        <v>2025</v>
      </c>
      <c r="B783">
        <v>1</v>
      </c>
      <c r="C783">
        <v>5</v>
      </c>
      <c r="D783">
        <v>7</v>
      </c>
      <c r="E783">
        <v>579</v>
      </c>
      <c r="F783" t="s">
        <v>25</v>
      </c>
      <c r="G783" t="s">
        <v>31</v>
      </c>
      <c r="I783" s="15">
        <f t="shared" si="36"/>
        <v>1211</v>
      </c>
      <c r="J783" s="15" t="str">
        <f t="shared" si="37"/>
        <v>12</v>
      </c>
      <c r="K783" s="15" t="str">
        <f t="shared" si="38"/>
        <v>0112</v>
      </c>
      <c r="L783" t="s">
        <v>2074</v>
      </c>
      <c r="M783">
        <v>1</v>
      </c>
      <c r="N783">
        <v>5</v>
      </c>
      <c r="O783">
        <v>7</v>
      </c>
      <c r="P783">
        <v>579</v>
      </c>
    </row>
    <row r="788" spans="10:11">
      <c r="J788" s="4" t="s">
        <v>1746</v>
      </c>
      <c r="K788" t="s">
        <v>1756</v>
      </c>
    </row>
    <row r="789" spans="10:11">
      <c r="J789" s="5" t="s">
        <v>2064</v>
      </c>
      <c r="K789">
        <v>28</v>
      </c>
    </row>
    <row r="790" spans="10:11">
      <c r="J790" s="5" t="s">
        <v>2065</v>
      </c>
      <c r="K790">
        <v>16</v>
      </c>
    </row>
    <row r="791" spans="10:11">
      <c r="J791" s="5" t="s">
        <v>2066</v>
      </c>
      <c r="K791">
        <v>18</v>
      </c>
    </row>
    <row r="792" spans="10:11">
      <c r="J792" s="5" t="s">
        <v>2067</v>
      </c>
      <c r="K792">
        <v>25</v>
      </c>
    </row>
    <row r="793" spans="10:11">
      <c r="J793" s="5" t="s">
        <v>2068</v>
      </c>
      <c r="K793">
        <v>23</v>
      </c>
    </row>
    <row r="794" spans="10:11">
      <c r="J794" s="5" t="s">
        <v>2069</v>
      </c>
      <c r="K794">
        <v>22</v>
      </c>
    </row>
    <row r="795" spans="10:11">
      <c r="J795" s="5" t="s">
        <v>2070</v>
      </c>
      <c r="K795">
        <v>29</v>
      </c>
    </row>
    <row r="796" spans="10:11">
      <c r="J796" s="5" t="s">
        <v>2075</v>
      </c>
      <c r="K796">
        <v>28</v>
      </c>
    </row>
    <row r="797" spans="10:11">
      <c r="J797" s="5" t="s">
        <v>2071</v>
      </c>
      <c r="K797">
        <v>28</v>
      </c>
    </row>
    <row r="798" spans="10:11">
      <c r="J798" s="5" t="s">
        <v>2072</v>
      </c>
      <c r="K798">
        <v>31</v>
      </c>
    </row>
    <row r="799" spans="10:11">
      <c r="J799" s="5" t="s">
        <v>2073</v>
      </c>
      <c r="K799">
        <v>39</v>
      </c>
    </row>
    <row r="800" spans="10:11">
      <c r="J800" s="5" t="s">
        <v>2074</v>
      </c>
      <c r="K800">
        <v>17</v>
      </c>
    </row>
    <row r="801" spans="10:11">
      <c r="J801" s="5" t="s">
        <v>1747</v>
      </c>
      <c r="K801">
        <v>304</v>
      </c>
    </row>
  </sheetData>
  <sortState xmlns:xlrd2="http://schemas.microsoft.com/office/spreadsheetml/2017/richdata2" ref="A2:G785">
    <sortCondition ref="A1:A785"/>
  </sortState>
  <pageMargins left="0.7" right="0.7" top="0.75" bottom="0.75" header="0.3" footer="0.3"/>
  <ignoredErrors>
    <ignoredError sqref="A2:A3 A4:A12 A13:A783" numberStoredAsText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783"/>
  <sheetViews>
    <sheetView tabSelected="1" topLeftCell="F315" zoomScale="118" workbookViewId="0">
      <selection activeCell="A11" sqref="A11"/>
    </sheetView>
  </sheetViews>
  <sheetFormatPr baseColWidth="10" defaultRowHeight="16"/>
  <cols>
    <col min="1" max="1" width="44" customWidth="1"/>
    <col min="3" max="3" width="14.83203125" customWidth="1"/>
    <col min="4" max="4" width="16.33203125" customWidth="1"/>
    <col min="17" max="17" width="29.83203125" customWidth="1"/>
    <col min="18" max="18" width="21.33203125" customWidth="1"/>
  </cols>
  <sheetData>
    <row r="1" spans="1:20" s="2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1751</v>
      </c>
    </row>
    <row r="2" spans="1:20">
      <c r="A2" t="s">
        <v>1610</v>
      </c>
      <c r="B2">
        <v>6.8</v>
      </c>
      <c r="C2" t="s">
        <v>1611</v>
      </c>
      <c r="D2">
        <v>0</v>
      </c>
      <c r="E2">
        <v>9</v>
      </c>
      <c r="G2">
        <v>0</v>
      </c>
      <c r="H2">
        <v>711</v>
      </c>
      <c r="I2" t="s">
        <v>22</v>
      </c>
      <c r="J2">
        <v>534</v>
      </c>
      <c r="K2">
        <v>0</v>
      </c>
      <c r="L2">
        <v>19.399999999999999</v>
      </c>
      <c r="M2" t="s">
        <v>829</v>
      </c>
      <c r="N2">
        <v>12</v>
      </c>
      <c r="O2">
        <v>36.963999999999999</v>
      </c>
      <c r="P2">
        <v>3.6339999999999999</v>
      </c>
      <c r="Q2" t="s">
        <v>1612</v>
      </c>
      <c r="R2" t="s">
        <v>549</v>
      </c>
      <c r="S2" t="s">
        <v>1613</v>
      </c>
      <c r="T2">
        <v>1</v>
      </c>
    </row>
    <row r="3" spans="1:20">
      <c r="A3" t="s">
        <v>547</v>
      </c>
      <c r="B3">
        <v>6.5</v>
      </c>
      <c r="C3" s="1">
        <v>42798.736111111109</v>
      </c>
      <c r="D3">
        <v>7</v>
      </c>
      <c r="E3">
        <v>8</v>
      </c>
      <c r="F3" t="s">
        <v>21</v>
      </c>
      <c r="G3">
        <v>0</v>
      </c>
      <c r="H3">
        <v>1297</v>
      </c>
      <c r="I3" t="s">
        <v>22</v>
      </c>
      <c r="J3">
        <v>0</v>
      </c>
      <c r="K3">
        <v>2.36</v>
      </c>
      <c r="L3">
        <v>15</v>
      </c>
      <c r="M3" t="s">
        <v>23</v>
      </c>
      <c r="N3">
        <v>29</v>
      </c>
      <c r="O3">
        <v>-22.6784</v>
      </c>
      <c r="P3">
        <v>25.155799999999999</v>
      </c>
      <c r="Q3" t="s">
        <v>548</v>
      </c>
      <c r="R3" t="s">
        <v>549</v>
      </c>
      <c r="S3" t="s">
        <v>550</v>
      </c>
      <c r="T3">
        <v>1</v>
      </c>
    </row>
    <row r="4" spans="1:20">
      <c r="A4" t="s">
        <v>1439</v>
      </c>
      <c r="B4">
        <v>7</v>
      </c>
      <c r="C4" t="s">
        <v>1440</v>
      </c>
      <c r="D4">
        <v>5</v>
      </c>
      <c r="E4">
        <v>9</v>
      </c>
      <c r="G4">
        <v>0</v>
      </c>
      <c r="H4">
        <v>891</v>
      </c>
      <c r="I4" t="s">
        <v>22</v>
      </c>
      <c r="J4">
        <v>412</v>
      </c>
      <c r="K4">
        <v>0</v>
      </c>
      <c r="L4">
        <v>23.2</v>
      </c>
      <c r="M4" t="s">
        <v>36</v>
      </c>
      <c r="N4">
        <v>11</v>
      </c>
      <c r="O4">
        <v>-21.324000000000002</v>
      </c>
      <c r="P4">
        <v>33.582999999999998</v>
      </c>
      <c r="Q4" t="s">
        <v>1441</v>
      </c>
      <c r="R4" t="s">
        <v>549</v>
      </c>
      <c r="S4" t="s">
        <v>1442</v>
      </c>
      <c r="T4">
        <v>1</v>
      </c>
    </row>
    <row r="5" spans="1:20">
      <c r="A5" t="s">
        <v>1447</v>
      </c>
      <c r="B5">
        <v>6.8</v>
      </c>
      <c r="C5" s="1">
        <v>38484.513194444444</v>
      </c>
      <c r="D5">
        <v>5</v>
      </c>
      <c r="E5">
        <v>7</v>
      </c>
      <c r="G5">
        <v>0</v>
      </c>
      <c r="H5">
        <v>744</v>
      </c>
      <c r="I5" t="s">
        <v>22</v>
      </c>
      <c r="J5">
        <v>561</v>
      </c>
      <c r="K5">
        <v>0</v>
      </c>
      <c r="L5">
        <v>20</v>
      </c>
      <c r="M5" t="s">
        <v>829</v>
      </c>
      <c r="N5">
        <v>22</v>
      </c>
      <c r="O5">
        <v>-6.2240000000000002</v>
      </c>
      <c r="P5">
        <v>29.83</v>
      </c>
      <c r="Q5" t="s">
        <v>1448</v>
      </c>
      <c r="R5" t="s">
        <v>549</v>
      </c>
      <c r="S5" t="s">
        <v>1449</v>
      </c>
      <c r="T5">
        <v>1</v>
      </c>
    </row>
    <row r="6" spans="1:20">
      <c r="A6" t="s">
        <v>1555</v>
      </c>
      <c r="B6">
        <v>6.6</v>
      </c>
      <c r="C6" s="1">
        <v>38111.89166666667</v>
      </c>
      <c r="D6">
        <v>0</v>
      </c>
      <c r="E6">
        <v>4</v>
      </c>
      <c r="G6">
        <v>0</v>
      </c>
      <c r="H6">
        <v>670</v>
      </c>
      <c r="I6" t="s">
        <v>22</v>
      </c>
      <c r="J6">
        <v>728</v>
      </c>
      <c r="K6">
        <v>0</v>
      </c>
      <c r="L6">
        <v>18.3</v>
      </c>
      <c r="M6" t="s">
        <v>36</v>
      </c>
      <c r="N6">
        <v>187.1</v>
      </c>
      <c r="O6">
        <v>36.512</v>
      </c>
      <c r="P6">
        <v>71.028999999999996</v>
      </c>
      <c r="Q6" t="s">
        <v>1556</v>
      </c>
      <c r="R6" t="s">
        <v>54</v>
      </c>
      <c r="S6" t="s">
        <v>649</v>
      </c>
      <c r="T6">
        <v>2</v>
      </c>
    </row>
    <row r="7" spans="1:20">
      <c r="A7" t="s">
        <v>647</v>
      </c>
      <c r="B7">
        <v>6.6</v>
      </c>
      <c r="C7" s="1">
        <v>42647.436111111114</v>
      </c>
      <c r="D7">
        <v>6</v>
      </c>
      <c r="E7">
        <v>4</v>
      </c>
      <c r="F7" t="s">
        <v>21</v>
      </c>
      <c r="G7">
        <v>0</v>
      </c>
      <c r="H7">
        <v>738</v>
      </c>
      <c r="I7" t="s">
        <v>22</v>
      </c>
      <c r="J7">
        <v>0</v>
      </c>
      <c r="K7">
        <v>0.78900000000000003</v>
      </c>
      <c r="L7">
        <v>17</v>
      </c>
      <c r="M7" t="s">
        <v>23</v>
      </c>
      <c r="N7">
        <v>212</v>
      </c>
      <c r="O7">
        <v>36.472499999999997</v>
      </c>
      <c r="P7">
        <v>71.131100000000004</v>
      </c>
      <c r="Q7" t="s">
        <v>648</v>
      </c>
      <c r="R7" t="s">
        <v>54</v>
      </c>
      <c r="S7" t="s">
        <v>649</v>
      </c>
      <c r="T7">
        <v>2</v>
      </c>
    </row>
    <row r="8" spans="1:20">
      <c r="A8" t="s">
        <v>1446</v>
      </c>
      <c r="B8">
        <v>6.5</v>
      </c>
      <c r="C8" s="1">
        <v>38698.907638888886</v>
      </c>
      <c r="D8">
        <v>6</v>
      </c>
      <c r="E8">
        <v>5</v>
      </c>
      <c r="G8">
        <v>0</v>
      </c>
      <c r="H8">
        <v>721</v>
      </c>
      <c r="I8" t="s">
        <v>22</v>
      </c>
      <c r="J8">
        <v>529</v>
      </c>
      <c r="K8">
        <v>0</v>
      </c>
      <c r="L8">
        <v>20.5</v>
      </c>
      <c r="M8" t="s">
        <v>36</v>
      </c>
      <c r="N8">
        <v>224.6</v>
      </c>
      <c r="O8">
        <v>36.356999999999999</v>
      </c>
      <c r="P8">
        <v>71.093000000000004</v>
      </c>
      <c r="Q8" t="s">
        <v>648</v>
      </c>
      <c r="R8" t="s">
        <v>54</v>
      </c>
      <c r="S8" t="s">
        <v>649</v>
      </c>
      <c r="T8">
        <v>2</v>
      </c>
    </row>
    <row r="9" spans="1:20">
      <c r="A9" t="s">
        <v>702</v>
      </c>
      <c r="B9">
        <v>7.5</v>
      </c>
      <c r="C9" t="s">
        <v>703</v>
      </c>
      <c r="D9">
        <v>8</v>
      </c>
      <c r="E9">
        <v>7</v>
      </c>
      <c r="F9" t="s">
        <v>66</v>
      </c>
      <c r="G9">
        <v>0</v>
      </c>
      <c r="H9">
        <v>1448</v>
      </c>
      <c r="I9" t="s">
        <v>22</v>
      </c>
      <c r="J9">
        <v>0</v>
      </c>
      <c r="K9">
        <v>0.622</v>
      </c>
      <c r="L9">
        <v>18</v>
      </c>
      <c r="M9" t="s">
        <v>23</v>
      </c>
      <c r="N9">
        <v>231</v>
      </c>
      <c r="O9">
        <v>36.5244</v>
      </c>
      <c r="P9">
        <v>70.367599999999996</v>
      </c>
      <c r="Q9" t="s">
        <v>704</v>
      </c>
      <c r="R9" t="s">
        <v>54</v>
      </c>
      <c r="S9" t="s">
        <v>649</v>
      </c>
      <c r="T9">
        <v>2</v>
      </c>
    </row>
    <row r="10" spans="1:20">
      <c r="A10" t="s">
        <v>1666</v>
      </c>
      <c r="B10">
        <v>7.4</v>
      </c>
      <c r="C10" s="1">
        <v>37318.505555555559</v>
      </c>
      <c r="D10">
        <v>0</v>
      </c>
      <c r="E10">
        <v>5</v>
      </c>
      <c r="G10">
        <v>0</v>
      </c>
      <c r="H10">
        <v>842</v>
      </c>
      <c r="I10" t="s">
        <v>22</v>
      </c>
      <c r="J10">
        <v>138</v>
      </c>
      <c r="K10">
        <v>0</v>
      </c>
      <c r="L10">
        <v>0</v>
      </c>
      <c r="M10" t="s">
        <v>829</v>
      </c>
      <c r="N10">
        <v>225.6</v>
      </c>
      <c r="O10">
        <v>36.502000000000002</v>
      </c>
      <c r="P10">
        <v>70.481999999999999</v>
      </c>
      <c r="Q10" t="s">
        <v>1253</v>
      </c>
      <c r="R10" t="s">
        <v>54</v>
      </c>
      <c r="S10" t="s">
        <v>649</v>
      </c>
      <c r="T10">
        <v>2</v>
      </c>
    </row>
    <row r="11" spans="1:20">
      <c r="A11" t="s">
        <v>1252</v>
      </c>
      <c r="B11">
        <v>6.6</v>
      </c>
      <c r="C11" s="1">
        <v>39873.849305555559</v>
      </c>
      <c r="D11">
        <v>5</v>
      </c>
      <c r="E11">
        <v>4</v>
      </c>
      <c r="G11">
        <v>0</v>
      </c>
      <c r="H11">
        <v>765</v>
      </c>
      <c r="I11" t="s">
        <v>22</v>
      </c>
      <c r="J11">
        <v>344</v>
      </c>
      <c r="K11">
        <v>0</v>
      </c>
      <c r="L11">
        <v>22.6</v>
      </c>
      <c r="M11" t="s">
        <v>829</v>
      </c>
      <c r="N11">
        <v>204.8</v>
      </c>
      <c r="O11">
        <v>36.418999999999997</v>
      </c>
      <c r="P11">
        <v>70.742999999999995</v>
      </c>
      <c r="Q11" t="s">
        <v>1253</v>
      </c>
      <c r="R11" t="s">
        <v>54</v>
      </c>
      <c r="S11" t="s">
        <v>649</v>
      </c>
      <c r="T11">
        <v>2</v>
      </c>
    </row>
    <row r="12" spans="1:20">
      <c r="A12" t="s">
        <v>128</v>
      </c>
      <c r="B12">
        <v>6.6</v>
      </c>
      <c r="C12" s="1">
        <v>44866.046527777777</v>
      </c>
      <c r="D12">
        <v>6</v>
      </c>
      <c r="E12">
        <v>6</v>
      </c>
      <c r="F12" t="s">
        <v>21</v>
      </c>
      <c r="G12">
        <v>0</v>
      </c>
      <c r="H12">
        <v>976</v>
      </c>
      <c r="I12" t="s">
        <v>22</v>
      </c>
      <c r="J12">
        <v>0</v>
      </c>
      <c r="K12">
        <v>1.1679999999999999</v>
      </c>
      <c r="L12">
        <v>21</v>
      </c>
      <c r="M12" t="s">
        <v>23</v>
      </c>
      <c r="N12">
        <v>21</v>
      </c>
      <c r="O12">
        <v>35.145600000000002</v>
      </c>
      <c r="P12">
        <v>31.909500000000001</v>
      </c>
      <c r="Q12" t="s">
        <v>129</v>
      </c>
      <c r="R12" t="s">
        <v>54</v>
      </c>
      <c r="S12" t="s">
        <v>1741</v>
      </c>
      <c r="T12">
        <v>2</v>
      </c>
    </row>
    <row r="13" spans="1:20">
      <c r="A13" t="s">
        <v>1178</v>
      </c>
      <c r="B13">
        <v>6.6</v>
      </c>
      <c r="C13" t="s">
        <v>1179</v>
      </c>
      <c r="D13">
        <v>5</v>
      </c>
      <c r="E13">
        <v>6</v>
      </c>
      <c r="G13">
        <v>0</v>
      </c>
      <c r="H13">
        <v>701</v>
      </c>
      <c r="I13" t="s">
        <v>22</v>
      </c>
      <c r="J13">
        <v>413</v>
      </c>
      <c r="K13">
        <v>0</v>
      </c>
      <c r="L13">
        <v>16.7</v>
      </c>
      <c r="M13" t="s">
        <v>829</v>
      </c>
      <c r="N13">
        <v>34</v>
      </c>
      <c r="O13">
        <v>13.667</v>
      </c>
      <c r="P13">
        <v>92.831000000000003</v>
      </c>
      <c r="Q13" t="s">
        <v>1180</v>
      </c>
      <c r="R13" t="s">
        <v>54</v>
      </c>
      <c r="S13" t="s">
        <v>671</v>
      </c>
      <c r="T13">
        <v>2</v>
      </c>
    </row>
    <row r="14" spans="1:20">
      <c r="A14" t="s">
        <v>1635</v>
      </c>
      <c r="B14">
        <v>6.5</v>
      </c>
      <c r="C14" t="s">
        <v>1636</v>
      </c>
      <c r="D14">
        <v>0</v>
      </c>
      <c r="E14">
        <v>6</v>
      </c>
      <c r="G14">
        <v>0</v>
      </c>
      <c r="H14">
        <v>650</v>
      </c>
      <c r="I14" t="s">
        <v>22</v>
      </c>
      <c r="J14">
        <v>646</v>
      </c>
      <c r="K14">
        <v>0</v>
      </c>
      <c r="L14">
        <v>0</v>
      </c>
      <c r="M14" t="s">
        <v>829</v>
      </c>
      <c r="N14">
        <v>21</v>
      </c>
      <c r="O14">
        <v>13.036</v>
      </c>
      <c r="P14">
        <v>93.067999999999998</v>
      </c>
      <c r="Q14" t="s">
        <v>1180</v>
      </c>
      <c r="R14" t="s">
        <v>54</v>
      </c>
      <c r="S14" t="s">
        <v>671</v>
      </c>
      <c r="T14">
        <v>2</v>
      </c>
    </row>
    <row r="15" spans="1:20">
      <c r="A15" t="s">
        <v>1234</v>
      </c>
      <c r="B15">
        <v>7.5</v>
      </c>
      <c r="C15" s="1">
        <v>40094.829861111109</v>
      </c>
      <c r="D15">
        <v>7</v>
      </c>
      <c r="E15">
        <v>6</v>
      </c>
      <c r="G15">
        <v>0</v>
      </c>
      <c r="H15">
        <v>1248</v>
      </c>
      <c r="I15" t="s">
        <v>22</v>
      </c>
      <c r="J15">
        <v>303</v>
      </c>
      <c r="K15">
        <v>0</v>
      </c>
      <c r="L15">
        <v>18.2</v>
      </c>
      <c r="M15" t="s">
        <v>829</v>
      </c>
      <c r="N15">
        <v>24</v>
      </c>
      <c r="O15">
        <v>14.099</v>
      </c>
      <c r="P15">
        <v>92.902000000000001</v>
      </c>
      <c r="Q15" t="s">
        <v>1180</v>
      </c>
      <c r="R15" t="s">
        <v>54</v>
      </c>
      <c r="S15" t="s">
        <v>671</v>
      </c>
      <c r="T15">
        <v>2</v>
      </c>
    </row>
    <row r="16" spans="1:20">
      <c r="A16" t="s">
        <v>1277</v>
      </c>
      <c r="B16">
        <v>6.6</v>
      </c>
      <c r="C16" t="s">
        <v>1278</v>
      </c>
      <c r="D16">
        <v>4</v>
      </c>
      <c r="E16">
        <v>5</v>
      </c>
      <c r="G16">
        <v>0</v>
      </c>
      <c r="H16">
        <v>680</v>
      </c>
      <c r="I16" t="s">
        <v>22</v>
      </c>
      <c r="J16">
        <v>630</v>
      </c>
      <c r="K16">
        <v>0</v>
      </c>
      <c r="L16">
        <v>18.399999999999999</v>
      </c>
      <c r="M16" t="s">
        <v>829</v>
      </c>
      <c r="N16">
        <v>17</v>
      </c>
      <c r="O16">
        <v>11.005000000000001</v>
      </c>
      <c r="P16">
        <v>91.823999999999998</v>
      </c>
      <c r="Q16" t="s">
        <v>1180</v>
      </c>
      <c r="R16" t="s">
        <v>54</v>
      </c>
      <c r="S16" t="s">
        <v>671</v>
      </c>
      <c r="T16">
        <v>2</v>
      </c>
    </row>
    <row r="17" spans="1:20">
      <c r="A17" t="s">
        <v>1724</v>
      </c>
      <c r="B17">
        <v>7.7</v>
      </c>
      <c r="C17" t="s">
        <v>1725</v>
      </c>
      <c r="D17">
        <v>0</v>
      </c>
      <c r="E17">
        <v>9</v>
      </c>
      <c r="G17">
        <v>0</v>
      </c>
      <c r="H17">
        <v>912</v>
      </c>
      <c r="I17" t="s">
        <v>22</v>
      </c>
      <c r="J17">
        <v>472</v>
      </c>
      <c r="K17">
        <v>0</v>
      </c>
      <c r="L17">
        <v>0</v>
      </c>
      <c r="M17" t="s">
        <v>829</v>
      </c>
      <c r="N17">
        <v>16</v>
      </c>
      <c r="O17">
        <v>23.419</v>
      </c>
      <c r="P17">
        <v>70.231999999999999</v>
      </c>
      <c r="Q17" t="s">
        <v>1726</v>
      </c>
      <c r="R17" t="s">
        <v>54</v>
      </c>
      <c r="S17" t="s">
        <v>671</v>
      </c>
      <c r="T17">
        <v>2</v>
      </c>
    </row>
    <row r="18" spans="1:20">
      <c r="A18" t="s">
        <v>669</v>
      </c>
      <c r="B18">
        <v>6.7</v>
      </c>
      <c r="C18" s="1">
        <v>42430.961805555555</v>
      </c>
      <c r="D18">
        <v>8</v>
      </c>
      <c r="E18">
        <v>7</v>
      </c>
      <c r="F18" t="s">
        <v>66</v>
      </c>
      <c r="G18">
        <v>0</v>
      </c>
      <c r="H18">
        <v>1515</v>
      </c>
      <c r="I18" t="s">
        <v>22</v>
      </c>
      <c r="J18">
        <v>0</v>
      </c>
      <c r="K18">
        <v>1.794</v>
      </c>
      <c r="L18">
        <v>16</v>
      </c>
      <c r="M18" t="s">
        <v>23</v>
      </c>
      <c r="N18">
        <v>55</v>
      </c>
      <c r="O18">
        <v>24.803599999999999</v>
      </c>
      <c r="P18">
        <v>93.650499999999994</v>
      </c>
      <c r="Q18" t="s">
        <v>670</v>
      </c>
      <c r="R18" t="s">
        <v>54</v>
      </c>
      <c r="S18" t="s">
        <v>671</v>
      </c>
      <c r="T18">
        <v>2</v>
      </c>
    </row>
    <row r="19" spans="1:20">
      <c r="A19" t="s">
        <v>1069</v>
      </c>
      <c r="B19">
        <v>6.9</v>
      </c>
      <c r="C19" t="s">
        <v>1070</v>
      </c>
      <c r="D19">
        <v>8</v>
      </c>
      <c r="E19">
        <v>8</v>
      </c>
      <c r="G19">
        <v>0</v>
      </c>
      <c r="H19">
        <v>1562</v>
      </c>
      <c r="I19" t="s">
        <v>22</v>
      </c>
      <c r="J19">
        <v>383</v>
      </c>
      <c r="K19">
        <v>0</v>
      </c>
      <c r="L19">
        <v>13</v>
      </c>
      <c r="M19" t="s">
        <v>23</v>
      </c>
      <c r="N19">
        <v>50</v>
      </c>
      <c r="O19">
        <v>27.73</v>
      </c>
      <c r="P19">
        <v>88.155000000000001</v>
      </c>
      <c r="Q19" t="s">
        <v>1071</v>
      </c>
      <c r="R19" t="s">
        <v>54</v>
      </c>
      <c r="S19" t="s">
        <v>671</v>
      </c>
      <c r="T19">
        <v>2</v>
      </c>
    </row>
    <row r="20" spans="1:20">
      <c r="A20" t="s">
        <v>1166</v>
      </c>
      <c r="B20">
        <v>7.5</v>
      </c>
      <c r="C20" s="1">
        <v>40518.80972222222</v>
      </c>
      <c r="D20">
        <v>6</v>
      </c>
      <c r="E20">
        <v>5</v>
      </c>
      <c r="G20">
        <v>0</v>
      </c>
      <c r="H20">
        <v>1144</v>
      </c>
      <c r="I20" t="s">
        <v>22</v>
      </c>
      <c r="J20">
        <v>514</v>
      </c>
      <c r="K20">
        <v>0</v>
      </c>
      <c r="L20">
        <v>18.600000000000001</v>
      </c>
      <c r="M20" t="s">
        <v>829</v>
      </c>
      <c r="N20">
        <v>35</v>
      </c>
      <c r="O20">
        <v>7.8810000000000002</v>
      </c>
      <c r="P20">
        <v>91.936000000000007</v>
      </c>
      <c r="Q20" t="s">
        <v>697</v>
      </c>
      <c r="R20" t="s">
        <v>54</v>
      </c>
      <c r="S20" t="s">
        <v>671</v>
      </c>
      <c r="T20">
        <v>2</v>
      </c>
    </row>
    <row r="21" spans="1:20">
      <c r="A21" t="s">
        <v>696</v>
      </c>
      <c r="B21">
        <v>6.6</v>
      </c>
      <c r="C21" s="1">
        <v>42227.699305555558</v>
      </c>
      <c r="D21">
        <v>7</v>
      </c>
      <c r="E21">
        <v>4</v>
      </c>
      <c r="F21" t="s">
        <v>21</v>
      </c>
      <c r="G21">
        <v>0</v>
      </c>
      <c r="H21">
        <v>675</v>
      </c>
      <c r="I21" t="s">
        <v>22</v>
      </c>
      <c r="J21">
        <v>0</v>
      </c>
      <c r="K21">
        <v>2.7919999999999998</v>
      </c>
      <c r="L21">
        <v>31</v>
      </c>
      <c r="M21" t="s">
        <v>23</v>
      </c>
      <c r="N21">
        <v>10</v>
      </c>
      <c r="O21">
        <v>6.8430999999999997</v>
      </c>
      <c r="P21">
        <v>94.647999999999996</v>
      </c>
      <c r="Q21" t="s">
        <v>697</v>
      </c>
      <c r="R21" t="s">
        <v>54</v>
      </c>
      <c r="S21" t="s">
        <v>671</v>
      </c>
      <c r="T21">
        <v>2</v>
      </c>
    </row>
    <row r="22" spans="1:20">
      <c r="A22" t="s">
        <v>696</v>
      </c>
      <c r="B22">
        <v>6.6</v>
      </c>
      <c r="C22" t="s">
        <v>1500</v>
      </c>
      <c r="D22">
        <v>0</v>
      </c>
      <c r="E22">
        <v>5</v>
      </c>
      <c r="G22">
        <v>0</v>
      </c>
      <c r="H22">
        <v>670</v>
      </c>
      <c r="I22" t="s">
        <v>22</v>
      </c>
      <c r="J22">
        <v>353</v>
      </c>
      <c r="K22">
        <v>0</v>
      </c>
      <c r="L22">
        <v>31.9</v>
      </c>
      <c r="M22" t="s">
        <v>829</v>
      </c>
      <c r="N22">
        <v>16.100000000000001</v>
      </c>
      <c r="O22">
        <v>8.8789999999999996</v>
      </c>
      <c r="P22">
        <v>92.375</v>
      </c>
      <c r="Q22" t="s">
        <v>697</v>
      </c>
      <c r="R22" t="s">
        <v>54</v>
      </c>
      <c r="S22" t="s">
        <v>671</v>
      </c>
      <c r="T22">
        <v>2</v>
      </c>
    </row>
    <row r="23" spans="1:20">
      <c r="A23" t="s">
        <v>1465</v>
      </c>
      <c r="B23">
        <v>7.2</v>
      </c>
      <c r="C23" t="s">
        <v>1466</v>
      </c>
      <c r="D23">
        <v>4</v>
      </c>
      <c r="E23">
        <v>5</v>
      </c>
      <c r="G23">
        <v>0</v>
      </c>
      <c r="H23">
        <v>808</v>
      </c>
      <c r="I23" t="s">
        <v>22</v>
      </c>
      <c r="J23">
        <v>636</v>
      </c>
      <c r="K23">
        <v>0</v>
      </c>
      <c r="L23">
        <v>26.4</v>
      </c>
      <c r="M23" t="s">
        <v>829</v>
      </c>
      <c r="N23">
        <v>16</v>
      </c>
      <c r="O23">
        <v>7.92</v>
      </c>
      <c r="P23">
        <v>92.19</v>
      </c>
      <c r="Q23" t="s">
        <v>697</v>
      </c>
      <c r="R23" t="s">
        <v>54</v>
      </c>
      <c r="S23" t="s">
        <v>671</v>
      </c>
      <c r="T23">
        <v>2</v>
      </c>
    </row>
    <row r="24" spans="1:20">
      <c r="A24" t="s">
        <v>1504</v>
      </c>
      <c r="B24">
        <v>9.1</v>
      </c>
      <c r="C24" t="s">
        <v>1505</v>
      </c>
      <c r="D24">
        <v>0</v>
      </c>
      <c r="E24">
        <v>8</v>
      </c>
      <c r="G24">
        <v>0</v>
      </c>
      <c r="H24">
        <v>1274</v>
      </c>
      <c r="I24" t="s">
        <v>1039</v>
      </c>
      <c r="J24">
        <v>601</v>
      </c>
      <c r="K24">
        <v>0</v>
      </c>
      <c r="L24">
        <v>22</v>
      </c>
      <c r="M24" t="s">
        <v>345</v>
      </c>
      <c r="N24">
        <v>30</v>
      </c>
      <c r="O24">
        <v>3.2949999999999999</v>
      </c>
      <c r="P24">
        <v>95.981999999999999</v>
      </c>
      <c r="Q24" t="s">
        <v>1506</v>
      </c>
      <c r="R24" t="s">
        <v>54</v>
      </c>
      <c r="S24" t="s">
        <v>108</v>
      </c>
      <c r="T24">
        <v>2</v>
      </c>
    </row>
    <row r="25" spans="1:20">
      <c r="A25" t="s">
        <v>727</v>
      </c>
      <c r="B25">
        <v>7</v>
      </c>
      <c r="C25" t="s">
        <v>728</v>
      </c>
      <c r="D25">
        <v>9</v>
      </c>
      <c r="E25">
        <v>7</v>
      </c>
      <c r="F25" t="s">
        <v>21</v>
      </c>
      <c r="G25">
        <v>1</v>
      </c>
      <c r="H25">
        <v>762</v>
      </c>
      <c r="I25" t="s">
        <v>22</v>
      </c>
      <c r="J25">
        <v>0</v>
      </c>
      <c r="K25">
        <v>6.2779999999999996</v>
      </c>
      <c r="L25">
        <v>12</v>
      </c>
      <c r="M25" t="s">
        <v>23</v>
      </c>
      <c r="N25">
        <v>48</v>
      </c>
      <c r="O25">
        <v>-2.6286</v>
      </c>
      <c r="P25">
        <v>138.52799999999999</v>
      </c>
      <c r="Q25" t="s">
        <v>729</v>
      </c>
      <c r="R25" t="s">
        <v>54</v>
      </c>
      <c r="S25" t="s">
        <v>108</v>
      </c>
      <c r="T25">
        <v>2</v>
      </c>
    </row>
    <row r="26" spans="1:20">
      <c r="A26" t="s">
        <v>962</v>
      </c>
      <c r="B26">
        <v>7</v>
      </c>
      <c r="C26" s="1">
        <v>41429.195833333331</v>
      </c>
      <c r="D26">
        <v>3</v>
      </c>
      <c r="E26">
        <v>7</v>
      </c>
      <c r="F26" t="s">
        <v>21</v>
      </c>
      <c r="G26">
        <v>1</v>
      </c>
      <c r="H26">
        <v>755</v>
      </c>
      <c r="I26" t="s">
        <v>22</v>
      </c>
      <c r="J26">
        <v>640</v>
      </c>
      <c r="K26">
        <v>0</v>
      </c>
      <c r="L26">
        <v>11.4</v>
      </c>
      <c r="M26" t="s">
        <v>23</v>
      </c>
      <c r="N26">
        <v>66</v>
      </c>
      <c r="O26">
        <v>-3.5169999999999999</v>
      </c>
      <c r="P26">
        <v>138.476</v>
      </c>
      <c r="Q26" t="s">
        <v>729</v>
      </c>
      <c r="R26" t="s">
        <v>54</v>
      </c>
      <c r="S26" t="s">
        <v>108</v>
      </c>
      <c r="T26">
        <v>2</v>
      </c>
    </row>
    <row r="27" spans="1:20">
      <c r="A27" t="s">
        <v>675</v>
      </c>
      <c r="B27">
        <v>6.9</v>
      </c>
      <c r="C27" s="1">
        <v>42259.431250000001</v>
      </c>
      <c r="D27">
        <v>8</v>
      </c>
      <c r="E27">
        <v>5</v>
      </c>
      <c r="F27" t="s">
        <v>21</v>
      </c>
      <c r="G27">
        <v>0</v>
      </c>
      <c r="H27">
        <v>738</v>
      </c>
      <c r="I27" t="s">
        <v>22</v>
      </c>
      <c r="J27">
        <v>0</v>
      </c>
      <c r="K27">
        <v>2.9790000000000001</v>
      </c>
      <c r="L27">
        <v>14</v>
      </c>
      <c r="M27" t="s">
        <v>23</v>
      </c>
      <c r="N27">
        <v>21</v>
      </c>
      <c r="O27">
        <v>-4.1063999999999998</v>
      </c>
      <c r="P27">
        <v>129.50800000000001</v>
      </c>
      <c r="Q27" t="s">
        <v>676</v>
      </c>
      <c r="R27" t="s">
        <v>54</v>
      </c>
      <c r="S27" t="s">
        <v>108</v>
      </c>
      <c r="T27">
        <v>2</v>
      </c>
    </row>
    <row r="28" spans="1:20">
      <c r="A28" t="s">
        <v>1436</v>
      </c>
      <c r="B28">
        <v>6.7</v>
      </c>
      <c r="C28" t="s">
        <v>1437</v>
      </c>
      <c r="D28">
        <v>0</v>
      </c>
      <c r="E28">
        <v>7</v>
      </c>
      <c r="G28">
        <v>0</v>
      </c>
      <c r="H28">
        <v>691</v>
      </c>
      <c r="I28" t="s">
        <v>22</v>
      </c>
      <c r="J28">
        <v>306</v>
      </c>
      <c r="K28">
        <v>0</v>
      </c>
      <c r="L28">
        <v>21.3</v>
      </c>
      <c r="M28" t="s">
        <v>36</v>
      </c>
      <c r="N28">
        <v>30.1</v>
      </c>
      <c r="O28">
        <v>-3.5950000000000002</v>
      </c>
      <c r="P28">
        <v>127.214</v>
      </c>
      <c r="Q28" t="s">
        <v>1438</v>
      </c>
      <c r="R28" t="s">
        <v>54</v>
      </c>
      <c r="S28" t="s">
        <v>108</v>
      </c>
      <c r="T28">
        <v>2</v>
      </c>
    </row>
    <row r="29" spans="1:20">
      <c r="A29" t="s">
        <v>1560</v>
      </c>
      <c r="B29">
        <v>6.7</v>
      </c>
      <c r="C29" t="s">
        <v>1561</v>
      </c>
      <c r="D29">
        <v>0</v>
      </c>
      <c r="E29">
        <v>6</v>
      </c>
      <c r="G29">
        <v>0</v>
      </c>
      <c r="H29">
        <v>691</v>
      </c>
      <c r="I29" t="s">
        <v>22</v>
      </c>
      <c r="J29">
        <v>243</v>
      </c>
      <c r="K29">
        <v>0</v>
      </c>
      <c r="L29">
        <v>42.5</v>
      </c>
      <c r="M29" t="s">
        <v>36</v>
      </c>
      <c r="N29">
        <v>17.399999999999999</v>
      </c>
      <c r="O29">
        <v>-3.12</v>
      </c>
      <c r="P29">
        <v>127.4</v>
      </c>
      <c r="Q29" t="s">
        <v>1438</v>
      </c>
      <c r="R29" t="s">
        <v>54</v>
      </c>
      <c r="S29" t="s">
        <v>108</v>
      </c>
      <c r="T29">
        <v>2</v>
      </c>
    </row>
    <row r="30" spans="1:20">
      <c r="A30" t="s">
        <v>1710</v>
      </c>
      <c r="B30">
        <v>6.5</v>
      </c>
      <c r="C30" t="s">
        <v>1711</v>
      </c>
      <c r="D30">
        <v>0</v>
      </c>
      <c r="E30">
        <v>6</v>
      </c>
      <c r="G30">
        <v>0</v>
      </c>
      <c r="H30">
        <v>650</v>
      </c>
      <c r="I30" t="s">
        <v>22</v>
      </c>
      <c r="J30">
        <v>206</v>
      </c>
      <c r="K30">
        <v>0</v>
      </c>
      <c r="L30">
        <v>0</v>
      </c>
      <c r="M30" t="s">
        <v>829</v>
      </c>
      <c r="N30">
        <v>33</v>
      </c>
      <c r="O30">
        <v>-4.0289999999999999</v>
      </c>
      <c r="P30">
        <v>128.02000000000001</v>
      </c>
      <c r="Q30" t="s">
        <v>1438</v>
      </c>
      <c r="R30" t="s">
        <v>54</v>
      </c>
      <c r="S30" t="s">
        <v>108</v>
      </c>
      <c r="T30">
        <v>2</v>
      </c>
    </row>
    <row r="31" spans="1:20">
      <c r="A31" t="s">
        <v>988</v>
      </c>
      <c r="B31">
        <v>7.1</v>
      </c>
      <c r="C31" s="1">
        <v>41194.703472222223</v>
      </c>
      <c r="D31">
        <v>5</v>
      </c>
      <c r="E31">
        <v>5</v>
      </c>
      <c r="G31">
        <v>0</v>
      </c>
      <c r="H31">
        <v>843</v>
      </c>
      <c r="I31" t="s">
        <v>22</v>
      </c>
      <c r="J31">
        <v>517</v>
      </c>
      <c r="K31">
        <v>0</v>
      </c>
      <c r="L31">
        <v>8.6999999999999993</v>
      </c>
      <c r="M31" t="s">
        <v>23</v>
      </c>
      <c r="N31">
        <v>155</v>
      </c>
      <c r="O31">
        <v>-6.5330000000000004</v>
      </c>
      <c r="P31">
        <v>129.82499999999999</v>
      </c>
      <c r="Q31" t="s">
        <v>283</v>
      </c>
      <c r="R31" t="s">
        <v>54</v>
      </c>
      <c r="S31" t="s">
        <v>108</v>
      </c>
      <c r="T31">
        <v>2</v>
      </c>
    </row>
    <row r="32" spans="1:20">
      <c r="A32" t="s">
        <v>988</v>
      </c>
      <c r="B32">
        <v>7.1</v>
      </c>
      <c r="C32" s="1">
        <v>38386.445833333331</v>
      </c>
      <c r="D32">
        <v>0</v>
      </c>
      <c r="E32">
        <v>5</v>
      </c>
      <c r="G32">
        <v>0</v>
      </c>
      <c r="H32">
        <v>776</v>
      </c>
      <c r="I32" t="s">
        <v>22</v>
      </c>
      <c r="J32">
        <v>569</v>
      </c>
      <c r="K32">
        <v>0</v>
      </c>
      <c r="L32">
        <v>18.100000000000001</v>
      </c>
      <c r="M32" t="s">
        <v>36</v>
      </c>
      <c r="N32">
        <v>201.7</v>
      </c>
      <c r="O32">
        <v>-6.5270000000000001</v>
      </c>
      <c r="P32">
        <v>129.93299999999999</v>
      </c>
      <c r="Q32" t="s">
        <v>283</v>
      </c>
      <c r="R32" t="s">
        <v>54</v>
      </c>
      <c r="S32" t="s">
        <v>108</v>
      </c>
      <c r="T32">
        <v>2</v>
      </c>
    </row>
    <row r="33" spans="1:20">
      <c r="A33" t="s">
        <v>282</v>
      </c>
      <c r="B33">
        <v>6.8</v>
      </c>
      <c r="C33" s="1">
        <v>43987.578472222223</v>
      </c>
      <c r="D33">
        <v>4</v>
      </c>
      <c r="E33">
        <v>6</v>
      </c>
      <c r="F33" t="s">
        <v>21</v>
      </c>
      <c r="G33">
        <v>0</v>
      </c>
      <c r="H33">
        <v>738</v>
      </c>
      <c r="I33" t="s">
        <v>22</v>
      </c>
      <c r="J33">
        <v>0</v>
      </c>
      <c r="K33">
        <v>1.921</v>
      </c>
      <c r="L33">
        <v>16</v>
      </c>
      <c r="M33" t="s">
        <v>23</v>
      </c>
      <c r="N33">
        <v>96</v>
      </c>
      <c r="O33">
        <v>-6.7762000000000002</v>
      </c>
      <c r="P33">
        <v>129.785</v>
      </c>
      <c r="Q33" t="s">
        <v>283</v>
      </c>
      <c r="R33" t="s">
        <v>54</v>
      </c>
      <c r="S33" t="s">
        <v>108</v>
      </c>
      <c r="T33">
        <v>2</v>
      </c>
    </row>
    <row r="34" spans="1:20">
      <c r="A34" t="s">
        <v>1227</v>
      </c>
      <c r="B34">
        <v>7</v>
      </c>
      <c r="C34" s="1">
        <v>39853.329861111109</v>
      </c>
      <c r="D34">
        <v>7</v>
      </c>
      <c r="E34">
        <v>7</v>
      </c>
      <c r="G34">
        <v>0</v>
      </c>
      <c r="H34">
        <v>1175</v>
      </c>
      <c r="I34" t="s">
        <v>22</v>
      </c>
      <c r="J34">
        <v>312</v>
      </c>
      <c r="K34">
        <v>0</v>
      </c>
      <c r="L34">
        <v>16.3</v>
      </c>
      <c r="M34" t="s">
        <v>829</v>
      </c>
      <c r="N34">
        <v>46</v>
      </c>
      <c r="O34">
        <v>-7.782</v>
      </c>
      <c r="P34">
        <v>107.297</v>
      </c>
      <c r="Q34" t="s">
        <v>1228</v>
      </c>
      <c r="R34" t="s">
        <v>54</v>
      </c>
      <c r="S34" t="s">
        <v>108</v>
      </c>
      <c r="T34">
        <v>2</v>
      </c>
    </row>
    <row r="35" spans="1:20">
      <c r="A35" t="s">
        <v>263</v>
      </c>
      <c r="B35">
        <v>6.6</v>
      </c>
      <c r="C35" s="1">
        <v>43989.95416666667</v>
      </c>
      <c r="D35">
        <v>4</v>
      </c>
      <c r="E35">
        <v>2</v>
      </c>
      <c r="F35" t="s">
        <v>21</v>
      </c>
      <c r="G35">
        <v>0</v>
      </c>
      <c r="H35">
        <v>684</v>
      </c>
      <c r="I35" t="s">
        <v>22</v>
      </c>
      <c r="J35">
        <v>0</v>
      </c>
      <c r="K35">
        <v>1.458</v>
      </c>
      <c r="L35">
        <v>14</v>
      </c>
      <c r="M35" t="s">
        <v>23</v>
      </c>
      <c r="N35">
        <v>533.76</v>
      </c>
      <c r="O35">
        <v>-5.6368</v>
      </c>
      <c r="P35">
        <v>110.678</v>
      </c>
      <c r="Q35" t="s">
        <v>264</v>
      </c>
      <c r="R35" t="s">
        <v>54</v>
      </c>
      <c r="S35" t="s">
        <v>108</v>
      </c>
      <c r="T35">
        <v>2</v>
      </c>
    </row>
    <row r="36" spans="1:20">
      <c r="A36" t="s">
        <v>1349</v>
      </c>
      <c r="B36">
        <v>8.4</v>
      </c>
      <c r="C36" s="1">
        <v>39425.465277777781</v>
      </c>
      <c r="D36">
        <v>0</v>
      </c>
      <c r="E36">
        <v>6</v>
      </c>
      <c r="G36">
        <v>0</v>
      </c>
      <c r="H36">
        <v>1086</v>
      </c>
      <c r="I36" t="s">
        <v>1039</v>
      </c>
      <c r="J36">
        <v>411</v>
      </c>
      <c r="K36">
        <v>0</v>
      </c>
      <c r="L36">
        <v>32.299999999999997</v>
      </c>
      <c r="M36" t="s">
        <v>23</v>
      </c>
      <c r="N36">
        <v>34</v>
      </c>
      <c r="O36">
        <v>-4.4379999999999997</v>
      </c>
      <c r="P36">
        <v>101.367</v>
      </c>
      <c r="Q36" t="s">
        <v>29</v>
      </c>
      <c r="R36" t="s">
        <v>54</v>
      </c>
      <c r="S36" t="s">
        <v>108</v>
      </c>
      <c r="T36">
        <v>2</v>
      </c>
    </row>
    <row r="37" spans="1:20">
      <c r="A37" t="s">
        <v>1718</v>
      </c>
      <c r="B37">
        <v>7.4</v>
      </c>
      <c r="C37" t="s">
        <v>1719</v>
      </c>
      <c r="D37">
        <v>0</v>
      </c>
      <c r="E37">
        <v>6</v>
      </c>
      <c r="G37">
        <v>0</v>
      </c>
      <c r="H37">
        <v>842</v>
      </c>
      <c r="I37" t="s">
        <v>22</v>
      </c>
      <c r="J37">
        <v>221</v>
      </c>
      <c r="K37">
        <v>0</v>
      </c>
      <c r="L37">
        <v>0</v>
      </c>
      <c r="M37" t="s">
        <v>829</v>
      </c>
      <c r="N37">
        <v>36</v>
      </c>
      <c r="O37">
        <v>-4.68</v>
      </c>
      <c r="P37">
        <v>102.562</v>
      </c>
      <c r="Q37" t="s">
        <v>29</v>
      </c>
      <c r="R37" t="s">
        <v>54</v>
      </c>
      <c r="S37" t="s">
        <v>108</v>
      </c>
      <c r="T37">
        <v>2</v>
      </c>
    </row>
    <row r="38" spans="1:20">
      <c r="A38" t="s">
        <v>251</v>
      </c>
      <c r="B38">
        <v>6.9</v>
      </c>
      <c r="C38" t="s">
        <v>252</v>
      </c>
      <c r="D38">
        <v>4</v>
      </c>
      <c r="E38">
        <v>4</v>
      </c>
      <c r="F38" t="s">
        <v>21</v>
      </c>
      <c r="G38">
        <v>0</v>
      </c>
      <c r="H38">
        <v>735</v>
      </c>
      <c r="I38" t="s">
        <v>22</v>
      </c>
      <c r="J38">
        <v>0</v>
      </c>
      <c r="K38">
        <v>1.716</v>
      </c>
      <c r="L38">
        <v>25</v>
      </c>
      <c r="M38" t="s">
        <v>23</v>
      </c>
      <c r="N38">
        <v>26</v>
      </c>
      <c r="O38">
        <v>-4.2790999999999997</v>
      </c>
      <c r="P38">
        <v>101.215</v>
      </c>
      <c r="Q38" t="s">
        <v>29</v>
      </c>
      <c r="R38" t="s">
        <v>54</v>
      </c>
      <c r="S38" t="s">
        <v>108</v>
      </c>
      <c r="T38">
        <v>2</v>
      </c>
    </row>
    <row r="39" spans="1:20">
      <c r="A39" t="s">
        <v>1727</v>
      </c>
      <c r="B39">
        <v>6.9</v>
      </c>
      <c r="C39" t="s">
        <v>1728</v>
      </c>
      <c r="D39">
        <v>0</v>
      </c>
      <c r="E39">
        <v>6</v>
      </c>
      <c r="G39">
        <v>0</v>
      </c>
      <c r="H39">
        <v>732</v>
      </c>
      <c r="I39" t="s">
        <v>22</v>
      </c>
      <c r="J39">
        <v>117</v>
      </c>
      <c r="K39">
        <v>0</v>
      </c>
      <c r="L39">
        <v>0</v>
      </c>
      <c r="M39" t="s">
        <v>36</v>
      </c>
      <c r="N39">
        <v>28</v>
      </c>
      <c r="O39">
        <v>-4.0220000000000002</v>
      </c>
      <c r="P39">
        <v>101.776</v>
      </c>
      <c r="Q39" t="s">
        <v>29</v>
      </c>
      <c r="R39" t="s">
        <v>54</v>
      </c>
      <c r="S39" t="s">
        <v>108</v>
      </c>
      <c r="T39">
        <v>2</v>
      </c>
    </row>
    <row r="40" spans="1:20">
      <c r="A40" t="s">
        <v>253</v>
      </c>
      <c r="B40">
        <v>6.8</v>
      </c>
      <c r="C40" t="s">
        <v>254</v>
      </c>
      <c r="D40">
        <v>5</v>
      </c>
      <c r="E40">
        <v>4</v>
      </c>
      <c r="F40" t="s">
        <v>21</v>
      </c>
      <c r="G40">
        <v>0</v>
      </c>
      <c r="H40">
        <v>716</v>
      </c>
      <c r="I40" t="s">
        <v>22</v>
      </c>
      <c r="J40">
        <v>0</v>
      </c>
      <c r="K40">
        <v>1.8160000000000001</v>
      </c>
      <c r="L40">
        <v>34</v>
      </c>
      <c r="M40" t="s">
        <v>23</v>
      </c>
      <c r="N40">
        <v>22</v>
      </c>
      <c r="O40">
        <v>-4.3723999999999998</v>
      </c>
      <c r="P40">
        <v>101.095</v>
      </c>
      <c r="Q40" t="s">
        <v>29</v>
      </c>
      <c r="R40" t="s">
        <v>54</v>
      </c>
      <c r="S40" t="s">
        <v>108</v>
      </c>
      <c r="T40">
        <v>2</v>
      </c>
    </row>
    <row r="41" spans="1:20">
      <c r="A41" t="s">
        <v>1188</v>
      </c>
      <c r="B41">
        <v>6.8</v>
      </c>
      <c r="C41" s="1">
        <v>40301.671527777777</v>
      </c>
      <c r="D41">
        <v>4</v>
      </c>
      <c r="E41">
        <v>6</v>
      </c>
      <c r="G41">
        <v>0</v>
      </c>
      <c r="H41">
        <v>717</v>
      </c>
      <c r="I41" t="s">
        <v>22</v>
      </c>
      <c r="J41">
        <v>401</v>
      </c>
      <c r="K41">
        <v>0</v>
      </c>
      <c r="L41">
        <v>23.2</v>
      </c>
      <c r="M41" t="s">
        <v>829</v>
      </c>
      <c r="N41">
        <v>26</v>
      </c>
      <c r="O41">
        <v>-3.762</v>
      </c>
      <c r="P41">
        <v>100.991</v>
      </c>
      <c r="Q41" t="s">
        <v>29</v>
      </c>
      <c r="R41" t="s">
        <v>54</v>
      </c>
      <c r="S41" t="s">
        <v>108</v>
      </c>
      <c r="T41">
        <v>2</v>
      </c>
    </row>
    <row r="42" spans="1:20">
      <c r="A42" t="s">
        <v>1334</v>
      </c>
      <c r="B42">
        <v>6.8</v>
      </c>
      <c r="C42" t="s">
        <v>1335</v>
      </c>
      <c r="D42">
        <v>3</v>
      </c>
      <c r="E42">
        <v>5</v>
      </c>
      <c r="G42">
        <v>0</v>
      </c>
      <c r="H42">
        <v>713</v>
      </c>
      <c r="I42" t="s">
        <v>22</v>
      </c>
      <c r="J42">
        <v>494</v>
      </c>
      <c r="K42">
        <v>0</v>
      </c>
      <c r="L42">
        <v>23.9</v>
      </c>
      <c r="M42" t="s">
        <v>829</v>
      </c>
      <c r="N42">
        <v>21</v>
      </c>
      <c r="O42">
        <v>-3.899</v>
      </c>
      <c r="P42">
        <v>101.02</v>
      </c>
      <c r="Q42" t="s">
        <v>29</v>
      </c>
      <c r="R42" t="s">
        <v>54</v>
      </c>
      <c r="S42" t="s">
        <v>108</v>
      </c>
      <c r="T42">
        <v>2</v>
      </c>
    </row>
    <row r="43" spans="1:20">
      <c r="A43" t="s">
        <v>27</v>
      </c>
      <c r="B43">
        <v>6.9</v>
      </c>
      <c r="C43" t="s">
        <v>28</v>
      </c>
      <c r="D43">
        <v>4</v>
      </c>
      <c r="E43">
        <v>4</v>
      </c>
      <c r="F43" t="s">
        <v>21</v>
      </c>
      <c r="G43">
        <v>0</v>
      </c>
      <c r="H43">
        <v>735</v>
      </c>
      <c r="I43" t="s">
        <v>22</v>
      </c>
      <c r="J43">
        <v>99</v>
      </c>
      <c r="K43">
        <v>2.2290000000000001</v>
      </c>
      <c r="L43">
        <v>34</v>
      </c>
      <c r="M43" t="s">
        <v>23</v>
      </c>
      <c r="N43">
        <v>25</v>
      </c>
      <c r="O43">
        <v>-4.9558999999999997</v>
      </c>
      <c r="P43">
        <v>100.738</v>
      </c>
      <c r="Q43" t="s">
        <v>29</v>
      </c>
      <c r="R43" s="3" t="s">
        <v>54</v>
      </c>
      <c r="S43" t="s">
        <v>108</v>
      </c>
      <c r="T43">
        <v>2</v>
      </c>
    </row>
    <row r="44" spans="1:20">
      <c r="A44" t="s">
        <v>1164</v>
      </c>
      <c r="B44">
        <v>7</v>
      </c>
      <c r="C44" t="s">
        <v>1165</v>
      </c>
      <c r="D44">
        <v>3</v>
      </c>
      <c r="E44">
        <v>7</v>
      </c>
      <c r="G44">
        <v>0</v>
      </c>
      <c r="H44">
        <v>755</v>
      </c>
      <c r="I44" t="s">
        <v>22</v>
      </c>
      <c r="J44">
        <v>307</v>
      </c>
      <c r="K44">
        <v>0</v>
      </c>
      <c r="L44">
        <v>18.100000000000001</v>
      </c>
      <c r="M44" t="s">
        <v>829</v>
      </c>
      <c r="N44">
        <v>18</v>
      </c>
      <c r="O44">
        <v>-2.1739999999999999</v>
      </c>
      <c r="P44">
        <v>136.54300000000001</v>
      </c>
      <c r="Q44" t="s">
        <v>1163</v>
      </c>
      <c r="R44" t="s">
        <v>54</v>
      </c>
      <c r="S44" t="s">
        <v>108</v>
      </c>
      <c r="T44">
        <v>2</v>
      </c>
    </row>
    <row r="45" spans="1:20">
      <c r="A45" t="s">
        <v>1161</v>
      </c>
      <c r="B45">
        <v>6.6</v>
      </c>
      <c r="C45" t="s">
        <v>1162</v>
      </c>
      <c r="D45">
        <v>0</v>
      </c>
      <c r="E45">
        <v>7</v>
      </c>
      <c r="G45">
        <v>0</v>
      </c>
      <c r="H45">
        <v>670</v>
      </c>
      <c r="I45" t="s">
        <v>22</v>
      </c>
      <c r="J45">
        <v>309</v>
      </c>
      <c r="K45">
        <v>0</v>
      </c>
      <c r="L45">
        <v>25</v>
      </c>
      <c r="M45" t="s">
        <v>829</v>
      </c>
      <c r="N45">
        <v>10.5</v>
      </c>
      <c r="O45">
        <v>-2.3290000000000002</v>
      </c>
      <c r="P45">
        <v>136.48400000000001</v>
      </c>
      <c r="Q45" t="s">
        <v>1163</v>
      </c>
      <c r="R45" t="s">
        <v>54</v>
      </c>
      <c r="S45" t="s">
        <v>108</v>
      </c>
      <c r="T45">
        <v>2</v>
      </c>
    </row>
    <row r="46" spans="1:20">
      <c r="A46" t="s">
        <v>1211</v>
      </c>
      <c r="B46">
        <v>6.6</v>
      </c>
      <c r="C46" s="1">
        <v>40036.820138888892</v>
      </c>
      <c r="D46">
        <v>7</v>
      </c>
      <c r="E46">
        <v>6</v>
      </c>
      <c r="G46">
        <v>0</v>
      </c>
      <c r="H46">
        <v>677</v>
      </c>
      <c r="I46" t="s">
        <v>22</v>
      </c>
      <c r="J46">
        <v>305</v>
      </c>
      <c r="K46">
        <v>0</v>
      </c>
      <c r="L46">
        <v>20.399999999999999</v>
      </c>
      <c r="M46" t="s">
        <v>829</v>
      </c>
      <c r="N46">
        <v>18</v>
      </c>
      <c r="O46">
        <v>-8.2070000000000007</v>
      </c>
      <c r="P46">
        <v>118.631</v>
      </c>
      <c r="Q46" t="s">
        <v>1212</v>
      </c>
      <c r="R46" t="s">
        <v>54</v>
      </c>
      <c r="S46" t="s">
        <v>108</v>
      </c>
      <c r="T46">
        <v>2</v>
      </c>
    </row>
    <row r="47" spans="1:20">
      <c r="A47" t="s">
        <v>306</v>
      </c>
      <c r="B47">
        <v>7.1</v>
      </c>
      <c r="C47" t="s">
        <v>307</v>
      </c>
      <c r="D47">
        <v>6</v>
      </c>
      <c r="E47">
        <v>6</v>
      </c>
      <c r="F47" t="s">
        <v>21</v>
      </c>
      <c r="G47">
        <v>1</v>
      </c>
      <c r="H47">
        <v>799</v>
      </c>
      <c r="I47" t="s">
        <v>22</v>
      </c>
      <c r="J47">
        <v>0</v>
      </c>
      <c r="K47">
        <v>1.2709999999999999</v>
      </c>
      <c r="L47">
        <v>11</v>
      </c>
      <c r="M47" t="s">
        <v>23</v>
      </c>
      <c r="N47">
        <v>33</v>
      </c>
      <c r="O47">
        <v>1.6213</v>
      </c>
      <c r="P47">
        <v>126.416</v>
      </c>
      <c r="Q47" t="s">
        <v>308</v>
      </c>
      <c r="R47" t="s">
        <v>54</v>
      </c>
      <c r="S47" t="s">
        <v>108</v>
      </c>
      <c r="T47">
        <v>2</v>
      </c>
    </row>
    <row r="48" spans="1:20">
      <c r="A48" t="s">
        <v>1319</v>
      </c>
      <c r="B48">
        <v>6.5</v>
      </c>
      <c r="C48" t="s">
        <v>1320</v>
      </c>
      <c r="D48">
        <v>5</v>
      </c>
      <c r="E48">
        <v>7</v>
      </c>
      <c r="G48">
        <v>0</v>
      </c>
      <c r="H48">
        <v>653</v>
      </c>
      <c r="I48" t="s">
        <v>22</v>
      </c>
      <c r="J48">
        <v>272</v>
      </c>
      <c r="K48">
        <v>0</v>
      </c>
      <c r="L48">
        <v>27.6</v>
      </c>
      <c r="M48" t="s">
        <v>829</v>
      </c>
      <c r="N48">
        <v>18</v>
      </c>
      <c r="O48">
        <v>-8.2240000000000002</v>
      </c>
      <c r="P48">
        <v>118.467</v>
      </c>
      <c r="Q48" t="s">
        <v>1321</v>
      </c>
      <c r="R48" t="s">
        <v>54</v>
      </c>
      <c r="S48" t="s">
        <v>108</v>
      </c>
      <c r="T48">
        <v>2</v>
      </c>
    </row>
    <row r="49" spans="1:20">
      <c r="A49" t="s">
        <v>1322</v>
      </c>
      <c r="B49">
        <v>6.5</v>
      </c>
      <c r="C49" t="s">
        <v>1323</v>
      </c>
      <c r="D49">
        <v>7</v>
      </c>
      <c r="E49">
        <v>7</v>
      </c>
      <c r="G49">
        <v>0</v>
      </c>
      <c r="H49">
        <v>657</v>
      </c>
      <c r="I49" t="s">
        <v>22</v>
      </c>
      <c r="J49">
        <v>353</v>
      </c>
      <c r="K49">
        <v>0</v>
      </c>
      <c r="L49">
        <v>27.5</v>
      </c>
      <c r="M49" t="s">
        <v>829</v>
      </c>
      <c r="N49">
        <v>20</v>
      </c>
      <c r="O49">
        <v>-8.2919999999999998</v>
      </c>
      <c r="P49">
        <v>118.37</v>
      </c>
      <c r="Q49" t="s">
        <v>1321</v>
      </c>
      <c r="R49" t="s">
        <v>54</v>
      </c>
      <c r="S49" t="s">
        <v>108</v>
      </c>
      <c r="T49">
        <v>2</v>
      </c>
    </row>
    <row r="50" spans="1:20">
      <c r="A50" t="s">
        <v>135</v>
      </c>
      <c r="B50">
        <v>7.3</v>
      </c>
      <c r="C50" t="s">
        <v>136</v>
      </c>
      <c r="D50">
        <v>9</v>
      </c>
      <c r="E50">
        <v>5</v>
      </c>
      <c r="F50" t="s">
        <v>21</v>
      </c>
      <c r="G50">
        <v>1</v>
      </c>
      <c r="H50">
        <v>854</v>
      </c>
      <c r="I50" t="s">
        <v>22</v>
      </c>
      <c r="J50">
        <v>0</v>
      </c>
      <c r="K50">
        <v>1.0249999999999999</v>
      </c>
      <c r="L50">
        <v>32</v>
      </c>
      <c r="M50" t="s">
        <v>23</v>
      </c>
      <c r="N50">
        <v>14.27</v>
      </c>
      <c r="O50">
        <v>-7.6032999999999999</v>
      </c>
      <c r="P50">
        <v>122.2</v>
      </c>
      <c r="Q50" t="s">
        <v>137</v>
      </c>
      <c r="R50" t="s">
        <v>54</v>
      </c>
      <c r="S50" t="s">
        <v>108</v>
      </c>
      <c r="T50">
        <v>2</v>
      </c>
    </row>
    <row r="51" spans="1:20">
      <c r="A51" t="s">
        <v>1255</v>
      </c>
      <c r="B51">
        <v>7.4</v>
      </c>
      <c r="C51" t="s">
        <v>1256</v>
      </c>
      <c r="D51">
        <v>9</v>
      </c>
      <c r="E51">
        <v>7</v>
      </c>
      <c r="G51">
        <v>0</v>
      </c>
      <c r="H51">
        <v>848</v>
      </c>
      <c r="I51" t="s">
        <v>22</v>
      </c>
      <c r="J51">
        <v>365</v>
      </c>
      <c r="K51">
        <v>0</v>
      </c>
      <c r="L51">
        <v>33.700000000000003</v>
      </c>
      <c r="M51" t="s">
        <v>23</v>
      </c>
      <c r="N51">
        <v>30</v>
      </c>
      <c r="O51">
        <v>1.2709999999999999</v>
      </c>
      <c r="P51">
        <v>122.09099999999999</v>
      </c>
      <c r="Q51" t="s">
        <v>1257</v>
      </c>
      <c r="R51" t="s">
        <v>54</v>
      </c>
      <c r="S51" t="s">
        <v>108</v>
      </c>
      <c r="T51">
        <v>2</v>
      </c>
    </row>
    <row r="52" spans="1:20">
      <c r="A52" t="s">
        <v>936</v>
      </c>
      <c r="B52">
        <v>6.7</v>
      </c>
      <c r="C52" t="s">
        <v>937</v>
      </c>
      <c r="D52">
        <v>5</v>
      </c>
      <c r="E52">
        <v>4</v>
      </c>
      <c r="F52" t="s">
        <v>21</v>
      </c>
      <c r="G52">
        <v>0</v>
      </c>
      <c r="H52">
        <v>710</v>
      </c>
      <c r="I52" t="s">
        <v>22</v>
      </c>
      <c r="J52">
        <v>515</v>
      </c>
      <c r="K52">
        <v>0</v>
      </c>
      <c r="L52">
        <v>24</v>
      </c>
      <c r="M52" t="s">
        <v>23</v>
      </c>
      <c r="N52">
        <v>9</v>
      </c>
      <c r="O52">
        <v>-10.004</v>
      </c>
      <c r="P52">
        <v>107.236</v>
      </c>
      <c r="Q52" t="s">
        <v>938</v>
      </c>
      <c r="R52" t="s">
        <v>54</v>
      </c>
      <c r="S52" t="s">
        <v>108</v>
      </c>
      <c r="T52">
        <v>2</v>
      </c>
    </row>
    <row r="53" spans="1:20">
      <c r="A53" t="s">
        <v>1074</v>
      </c>
      <c r="B53">
        <v>6.7</v>
      </c>
      <c r="C53" s="1">
        <v>40672.746527777781</v>
      </c>
      <c r="D53">
        <v>5</v>
      </c>
      <c r="E53">
        <v>6</v>
      </c>
      <c r="G53">
        <v>0</v>
      </c>
      <c r="H53">
        <v>915</v>
      </c>
      <c r="I53" t="s">
        <v>22</v>
      </c>
      <c r="J53">
        <v>447</v>
      </c>
      <c r="K53">
        <v>0</v>
      </c>
      <c r="L53">
        <v>15.3</v>
      </c>
      <c r="M53" t="s">
        <v>23</v>
      </c>
      <c r="N53">
        <v>91</v>
      </c>
      <c r="O53">
        <v>2.9649999999999999</v>
      </c>
      <c r="P53">
        <v>97.893000000000001</v>
      </c>
      <c r="Q53" t="s">
        <v>1075</v>
      </c>
      <c r="R53" t="s">
        <v>54</v>
      </c>
      <c r="S53" t="s">
        <v>108</v>
      </c>
      <c r="T53">
        <v>2</v>
      </c>
    </row>
    <row r="54" spans="1:20">
      <c r="A54" t="s">
        <v>321</v>
      </c>
      <c r="B54">
        <v>6.5</v>
      </c>
      <c r="C54" t="s">
        <v>322</v>
      </c>
      <c r="D54">
        <v>7</v>
      </c>
      <c r="E54">
        <v>7</v>
      </c>
      <c r="F54" t="s">
        <v>45</v>
      </c>
      <c r="G54">
        <v>1</v>
      </c>
      <c r="H54">
        <v>656</v>
      </c>
      <c r="I54" t="s">
        <v>22</v>
      </c>
      <c r="J54">
        <v>0</v>
      </c>
      <c r="K54">
        <v>3.9089999999999998</v>
      </c>
      <c r="L54">
        <v>15</v>
      </c>
      <c r="M54" t="s">
        <v>23</v>
      </c>
      <c r="N54">
        <v>12.26</v>
      </c>
      <c r="O54">
        <v>-3.4527999999999999</v>
      </c>
      <c r="P54">
        <v>128.37</v>
      </c>
      <c r="Q54" t="s">
        <v>323</v>
      </c>
      <c r="R54" t="s">
        <v>54</v>
      </c>
      <c r="S54" t="s">
        <v>108</v>
      </c>
      <c r="T54">
        <v>2</v>
      </c>
    </row>
    <row r="55" spans="1:20">
      <c r="A55" t="s">
        <v>248</v>
      </c>
      <c r="B55">
        <v>6.9</v>
      </c>
      <c r="C55" t="s">
        <v>249</v>
      </c>
      <c r="D55">
        <v>4</v>
      </c>
      <c r="E55">
        <v>3</v>
      </c>
      <c r="F55" t="s">
        <v>21</v>
      </c>
      <c r="G55">
        <v>0</v>
      </c>
      <c r="H55">
        <v>749</v>
      </c>
      <c r="I55" t="s">
        <v>22</v>
      </c>
      <c r="J55">
        <v>0</v>
      </c>
      <c r="K55">
        <v>2.2669999999999999</v>
      </c>
      <c r="L55">
        <v>20</v>
      </c>
      <c r="M55" t="s">
        <v>23</v>
      </c>
      <c r="N55">
        <v>624</v>
      </c>
      <c r="O55">
        <v>-6.6703999999999999</v>
      </c>
      <c r="P55">
        <v>123.49299999999999</v>
      </c>
      <c r="Q55" t="s">
        <v>250</v>
      </c>
      <c r="R55" t="s">
        <v>54</v>
      </c>
      <c r="S55" t="s">
        <v>108</v>
      </c>
      <c r="T55">
        <v>2</v>
      </c>
    </row>
    <row r="56" spans="1:20">
      <c r="A56" t="s">
        <v>1489</v>
      </c>
      <c r="B56">
        <v>6.5</v>
      </c>
      <c r="C56" t="s">
        <v>1490</v>
      </c>
      <c r="D56">
        <v>0</v>
      </c>
      <c r="E56">
        <v>7</v>
      </c>
      <c r="G56">
        <v>0</v>
      </c>
      <c r="H56">
        <v>650</v>
      </c>
      <c r="I56" t="s">
        <v>22</v>
      </c>
      <c r="J56">
        <v>371</v>
      </c>
      <c r="K56">
        <v>0</v>
      </c>
      <c r="L56">
        <v>31.8</v>
      </c>
      <c r="M56" t="s">
        <v>36</v>
      </c>
      <c r="N56">
        <v>10</v>
      </c>
      <c r="O56">
        <v>-5.5620000000000003</v>
      </c>
      <c r="P56">
        <v>122.129</v>
      </c>
      <c r="Q56" t="s">
        <v>250</v>
      </c>
      <c r="R56" t="s">
        <v>54</v>
      </c>
      <c r="S56" t="s">
        <v>108</v>
      </c>
      <c r="T56">
        <v>2</v>
      </c>
    </row>
    <row r="57" spans="1:20">
      <c r="A57" t="s">
        <v>482</v>
      </c>
      <c r="B57">
        <v>6.5</v>
      </c>
      <c r="C57" t="s">
        <v>483</v>
      </c>
      <c r="D57">
        <v>8</v>
      </c>
      <c r="E57">
        <v>7</v>
      </c>
      <c r="F57" t="s">
        <v>21</v>
      </c>
      <c r="G57">
        <v>0</v>
      </c>
      <c r="H57">
        <v>998</v>
      </c>
      <c r="I57" t="s">
        <v>22</v>
      </c>
      <c r="J57">
        <v>0</v>
      </c>
      <c r="K57">
        <v>2.3650000000000002</v>
      </c>
      <c r="L57">
        <v>28</v>
      </c>
      <c r="M57" t="s">
        <v>23</v>
      </c>
      <c r="N57">
        <v>90</v>
      </c>
      <c r="O57">
        <v>-7.4920999999999998</v>
      </c>
      <c r="P57">
        <v>108.17400000000001</v>
      </c>
      <c r="Q57" t="s">
        <v>484</v>
      </c>
      <c r="R57" t="s">
        <v>54</v>
      </c>
      <c r="S57" t="s">
        <v>108</v>
      </c>
      <c r="T57">
        <v>2</v>
      </c>
    </row>
    <row r="58" spans="1:20">
      <c r="A58" t="s">
        <v>1683</v>
      </c>
      <c r="B58">
        <v>7.5</v>
      </c>
      <c r="C58" t="s">
        <v>1684</v>
      </c>
      <c r="D58">
        <v>0</v>
      </c>
      <c r="E58">
        <v>6</v>
      </c>
      <c r="G58">
        <v>0</v>
      </c>
      <c r="H58">
        <v>865</v>
      </c>
      <c r="I58" t="s">
        <v>22</v>
      </c>
      <c r="J58">
        <v>234</v>
      </c>
      <c r="K58">
        <v>0</v>
      </c>
      <c r="L58">
        <v>0</v>
      </c>
      <c r="M58" t="s">
        <v>829</v>
      </c>
      <c r="N58">
        <v>33</v>
      </c>
      <c r="O58">
        <v>-4.1020000000000003</v>
      </c>
      <c r="P58">
        <v>123.907</v>
      </c>
      <c r="Q58" t="s">
        <v>1685</v>
      </c>
      <c r="R58" t="s">
        <v>54</v>
      </c>
      <c r="S58" t="s">
        <v>108</v>
      </c>
      <c r="T58">
        <v>2</v>
      </c>
    </row>
    <row r="59" spans="1:20">
      <c r="A59" t="s">
        <v>1344</v>
      </c>
      <c r="B59">
        <v>6.5</v>
      </c>
      <c r="C59" t="s">
        <v>1345</v>
      </c>
      <c r="D59">
        <v>0</v>
      </c>
      <c r="E59">
        <v>5</v>
      </c>
      <c r="G59">
        <v>0</v>
      </c>
      <c r="H59">
        <v>650</v>
      </c>
      <c r="I59" t="s">
        <v>22</v>
      </c>
      <c r="J59">
        <v>409</v>
      </c>
      <c r="K59">
        <v>0</v>
      </c>
      <c r="L59">
        <v>26.2</v>
      </c>
      <c r="M59" t="s">
        <v>829</v>
      </c>
      <c r="N59">
        <v>28.9</v>
      </c>
      <c r="O59">
        <v>-1.6890000000000001</v>
      </c>
      <c r="P59">
        <v>99.668000000000006</v>
      </c>
      <c r="Q59" t="s">
        <v>1346</v>
      </c>
      <c r="R59" t="s">
        <v>54</v>
      </c>
      <c r="S59" t="s">
        <v>108</v>
      </c>
      <c r="T59">
        <v>2</v>
      </c>
    </row>
    <row r="60" spans="1:20">
      <c r="A60" t="s">
        <v>341</v>
      </c>
      <c r="B60">
        <v>6.9</v>
      </c>
      <c r="C60" s="1">
        <v>43653.630555555559</v>
      </c>
      <c r="D60">
        <v>7</v>
      </c>
      <c r="E60">
        <v>5</v>
      </c>
      <c r="F60" t="s">
        <v>21</v>
      </c>
      <c r="G60">
        <v>0</v>
      </c>
      <c r="H60">
        <v>747</v>
      </c>
      <c r="I60" t="s">
        <v>22</v>
      </c>
      <c r="J60">
        <v>0</v>
      </c>
      <c r="K60">
        <v>1.2050000000000001</v>
      </c>
      <c r="L60">
        <v>21</v>
      </c>
      <c r="M60" t="s">
        <v>23</v>
      </c>
      <c r="N60">
        <v>35</v>
      </c>
      <c r="O60">
        <v>0.51259999999999994</v>
      </c>
      <c r="P60">
        <v>126.18899999999999</v>
      </c>
      <c r="Q60" t="s">
        <v>342</v>
      </c>
      <c r="R60" t="s">
        <v>54</v>
      </c>
      <c r="S60" t="s">
        <v>108</v>
      </c>
      <c r="T60">
        <v>2</v>
      </c>
    </row>
    <row r="61" spans="1:20">
      <c r="A61" t="s">
        <v>448</v>
      </c>
      <c r="B61">
        <v>6.5</v>
      </c>
      <c r="C61" t="s">
        <v>449</v>
      </c>
      <c r="D61">
        <v>5</v>
      </c>
      <c r="E61">
        <v>3</v>
      </c>
      <c r="F61" t="s">
        <v>21</v>
      </c>
      <c r="G61">
        <v>0</v>
      </c>
      <c r="H61">
        <v>743</v>
      </c>
      <c r="I61" t="s">
        <v>22</v>
      </c>
      <c r="J61">
        <v>0</v>
      </c>
      <c r="K61">
        <v>2.7189999999999999</v>
      </c>
      <c r="L61">
        <v>23</v>
      </c>
      <c r="M61" t="s">
        <v>23</v>
      </c>
      <c r="N61">
        <v>529</v>
      </c>
      <c r="O61">
        <v>-7.3718000000000004</v>
      </c>
      <c r="P61">
        <v>119.80200000000001</v>
      </c>
      <c r="Q61" t="s">
        <v>450</v>
      </c>
      <c r="R61" t="s">
        <v>54</v>
      </c>
      <c r="S61" t="s">
        <v>108</v>
      </c>
      <c r="T61">
        <v>2</v>
      </c>
    </row>
    <row r="62" spans="1:20">
      <c r="A62" t="s">
        <v>443</v>
      </c>
      <c r="B62">
        <v>6.9</v>
      </c>
      <c r="C62" t="s">
        <v>444</v>
      </c>
      <c r="D62">
        <v>7</v>
      </c>
      <c r="E62">
        <v>7</v>
      </c>
      <c r="F62" t="s">
        <v>21</v>
      </c>
      <c r="G62">
        <v>0</v>
      </c>
      <c r="H62">
        <v>1206</v>
      </c>
      <c r="I62" t="s">
        <v>22</v>
      </c>
      <c r="J62">
        <v>0</v>
      </c>
      <c r="K62">
        <v>2.4529999999999998</v>
      </c>
      <c r="L62">
        <v>31</v>
      </c>
      <c r="M62" t="s">
        <v>23</v>
      </c>
      <c r="N62">
        <v>21</v>
      </c>
      <c r="O62">
        <v>-8.3190000000000008</v>
      </c>
      <c r="P62">
        <v>116.627</v>
      </c>
      <c r="Q62" t="s">
        <v>445</v>
      </c>
      <c r="R62" t="s">
        <v>54</v>
      </c>
      <c r="S62" t="s">
        <v>108</v>
      </c>
      <c r="T62">
        <v>2</v>
      </c>
    </row>
    <row r="63" spans="1:20">
      <c r="A63" t="s">
        <v>454</v>
      </c>
      <c r="B63">
        <v>6.9</v>
      </c>
      <c r="C63" s="1">
        <v>43228.490277777775</v>
      </c>
      <c r="D63">
        <v>9</v>
      </c>
      <c r="E63">
        <v>8</v>
      </c>
      <c r="F63" t="s">
        <v>66</v>
      </c>
      <c r="G63">
        <v>0</v>
      </c>
      <c r="H63">
        <v>1704</v>
      </c>
      <c r="I63" t="s">
        <v>22</v>
      </c>
      <c r="J63">
        <v>0</v>
      </c>
      <c r="K63">
        <v>2.2709999999999999</v>
      </c>
      <c r="L63">
        <v>15</v>
      </c>
      <c r="M63" t="s">
        <v>23</v>
      </c>
      <c r="N63">
        <v>34</v>
      </c>
      <c r="O63">
        <v>-8.2581000000000007</v>
      </c>
      <c r="P63">
        <v>116.438</v>
      </c>
      <c r="Q63" t="s">
        <v>445</v>
      </c>
      <c r="R63" t="s">
        <v>54</v>
      </c>
      <c r="S63" t="s">
        <v>108</v>
      </c>
      <c r="T63">
        <v>2</v>
      </c>
    </row>
    <row r="64" spans="1:20">
      <c r="A64" t="s">
        <v>117</v>
      </c>
      <c r="B64">
        <v>6.6</v>
      </c>
      <c r="C64" t="s">
        <v>118</v>
      </c>
      <c r="D64">
        <v>8</v>
      </c>
      <c r="E64">
        <v>6</v>
      </c>
      <c r="F64" t="s">
        <v>21</v>
      </c>
      <c r="G64">
        <v>0</v>
      </c>
      <c r="H64">
        <v>785</v>
      </c>
      <c r="I64" t="s">
        <v>22</v>
      </c>
      <c r="J64">
        <v>0</v>
      </c>
      <c r="K64">
        <v>2.4180000000000001</v>
      </c>
      <c r="L64">
        <v>22</v>
      </c>
      <c r="M64" t="s">
        <v>23</v>
      </c>
      <c r="N64">
        <v>33</v>
      </c>
      <c r="O64">
        <v>-6.9291</v>
      </c>
      <c r="P64">
        <v>105.251</v>
      </c>
      <c r="Q64" t="s">
        <v>119</v>
      </c>
      <c r="R64" t="s">
        <v>54</v>
      </c>
      <c r="S64" t="s">
        <v>108</v>
      </c>
      <c r="T64">
        <v>2</v>
      </c>
    </row>
    <row r="65" spans="1:20">
      <c r="A65" t="s">
        <v>329</v>
      </c>
      <c r="B65">
        <v>6.9</v>
      </c>
      <c r="C65" s="1">
        <v>43504.502083333333</v>
      </c>
      <c r="D65">
        <v>4</v>
      </c>
      <c r="E65">
        <v>6</v>
      </c>
      <c r="F65" t="s">
        <v>21</v>
      </c>
      <c r="G65">
        <v>0</v>
      </c>
      <c r="H65">
        <v>875</v>
      </c>
      <c r="I65" t="s">
        <v>22</v>
      </c>
      <c r="J65">
        <v>0</v>
      </c>
      <c r="K65">
        <v>2.839</v>
      </c>
      <c r="L65">
        <v>23</v>
      </c>
      <c r="M65" t="s">
        <v>23</v>
      </c>
      <c r="N65">
        <v>49</v>
      </c>
      <c r="O65">
        <v>-7.2821999999999996</v>
      </c>
      <c r="P65">
        <v>104.791</v>
      </c>
      <c r="Q65" t="s">
        <v>119</v>
      </c>
      <c r="R65" t="s">
        <v>54</v>
      </c>
      <c r="S65" t="s">
        <v>108</v>
      </c>
      <c r="T65">
        <v>2</v>
      </c>
    </row>
    <row r="66" spans="1:20">
      <c r="A66" t="s">
        <v>335</v>
      </c>
      <c r="B66">
        <v>7.2</v>
      </c>
      <c r="C66" t="s">
        <v>336</v>
      </c>
      <c r="D66">
        <v>7</v>
      </c>
      <c r="E66">
        <v>7</v>
      </c>
      <c r="F66" t="s">
        <v>21</v>
      </c>
      <c r="G66">
        <v>1</v>
      </c>
      <c r="H66">
        <v>809</v>
      </c>
      <c r="I66" t="s">
        <v>22</v>
      </c>
      <c r="J66">
        <v>0</v>
      </c>
      <c r="K66">
        <v>1.504</v>
      </c>
      <c r="L66">
        <v>38</v>
      </c>
      <c r="M66" t="s">
        <v>23</v>
      </c>
      <c r="N66">
        <v>18.98</v>
      </c>
      <c r="O66">
        <v>-0.58579999999999999</v>
      </c>
      <c r="P66">
        <v>128.03399999999999</v>
      </c>
      <c r="Q66" t="s">
        <v>337</v>
      </c>
      <c r="R66" t="s">
        <v>54</v>
      </c>
      <c r="S66" t="s">
        <v>108</v>
      </c>
      <c r="T66">
        <v>2</v>
      </c>
    </row>
    <row r="67" spans="1:20">
      <c r="A67" t="s">
        <v>132</v>
      </c>
      <c r="B67">
        <v>7.3</v>
      </c>
      <c r="C67" t="s">
        <v>133</v>
      </c>
      <c r="D67">
        <v>8</v>
      </c>
      <c r="E67">
        <v>7</v>
      </c>
      <c r="F67" t="s">
        <v>21</v>
      </c>
      <c r="G67">
        <v>0</v>
      </c>
      <c r="H67">
        <v>921</v>
      </c>
      <c r="I67" t="s">
        <v>22</v>
      </c>
      <c r="J67">
        <v>0</v>
      </c>
      <c r="K67">
        <v>3.7130000000000001</v>
      </c>
      <c r="L67">
        <v>19</v>
      </c>
      <c r="M67" t="s">
        <v>23</v>
      </c>
      <c r="N67">
        <v>165.49</v>
      </c>
      <c r="O67">
        <v>-7.5923999999999996</v>
      </c>
      <c r="P67">
        <v>127.581</v>
      </c>
      <c r="Q67" t="s">
        <v>134</v>
      </c>
      <c r="R67" t="s">
        <v>54</v>
      </c>
      <c r="S67" t="s">
        <v>108</v>
      </c>
      <c r="T67">
        <v>2</v>
      </c>
    </row>
    <row r="68" spans="1:20">
      <c r="A68" t="s">
        <v>572</v>
      </c>
      <c r="B68">
        <v>6.7</v>
      </c>
      <c r="C68" t="s">
        <v>573</v>
      </c>
      <c r="D68">
        <v>5</v>
      </c>
      <c r="E68">
        <v>5</v>
      </c>
      <c r="F68" t="s">
        <v>21</v>
      </c>
      <c r="G68">
        <v>0</v>
      </c>
      <c r="H68">
        <v>726</v>
      </c>
      <c r="I68" t="s">
        <v>22</v>
      </c>
      <c r="J68">
        <v>0</v>
      </c>
      <c r="K68">
        <v>3.38</v>
      </c>
      <c r="L68">
        <v>17</v>
      </c>
      <c r="M68" t="s">
        <v>23</v>
      </c>
      <c r="N68">
        <v>152</v>
      </c>
      <c r="O68">
        <v>-7.5082000000000004</v>
      </c>
      <c r="P68">
        <v>127.92100000000001</v>
      </c>
      <c r="Q68" t="s">
        <v>134</v>
      </c>
      <c r="R68" t="s">
        <v>54</v>
      </c>
      <c r="S68" t="s">
        <v>108</v>
      </c>
      <c r="T68">
        <v>2</v>
      </c>
    </row>
    <row r="69" spans="1:20">
      <c r="A69" t="s">
        <v>917</v>
      </c>
      <c r="B69">
        <v>6.5</v>
      </c>
      <c r="C69" s="1">
        <v>41283.494444444441</v>
      </c>
      <c r="D69">
        <v>4</v>
      </c>
      <c r="E69">
        <v>5</v>
      </c>
      <c r="F69" t="s">
        <v>21</v>
      </c>
      <c r="G69">
        <v>0</v>
      </c>
      <c r="H69">
        <v>668</v>
      </c>
      <c r="I69" t="s">
        <v>22</v>
      </c>
      <c r="J69">
        <v>0</v>
      </c>
      <c r="K69">
        <v>3.097</v>
      </c>
      <c r="L69">
        <v>11</v>
      </c>
      <c r="M69" t="s">
        <v>23</v>
      </c>
      <c r="N69">
        <v>112</v>
      </c>
      <c r="O69">
        <v>-7.44</v>
      </c>
      <c r="P69">
        <v>128.221</v>
      </c>
      <c r="Q69" t="s">
        <v>134</v>
      </c>
      <c r="R69" t="s">
        <v>54</v>
      </c>
      <c r="S69" t="s">
        <v>108</v>
      </c>
      <c r="T69">
        <v>2</v>
      </c>
    </row>
    <row r="70" spans="1:20">
      <c r="A70" t="s">
        <v>364</v>
      </c>
      <c r="B70">
        <v>6.8</v>
      </c>
      <c r="C70" s="1">
        <v>43803.486111111109</v>
      </c>
      <c r="D70">
        <v>5</v>
      </c>
      <c r="E70">
        <v>6</v>
      </c>
      <c r="F70" t="s">
        <v>21</v>
      </c>
      <c r="G70">
        <v>1</v>
      </c>
      <c r="H70">
        <v>717</v>
      </c>
      <c r="I70" t="s">
        <v>22</v>
      </c>
      <c r="J70">
        <v>0</v>
      </c>
      <c r="K70">
        <v>0.79100000000000004</v>
      </c>
      <c r="L70">
        <v>28</v>
      </c>
      <c r="M70" t="s">
        <v>23</v>
      </c>
      <c r="N70">
        <v>15.46</v>
      </c>
      <c r="O70">
        <v>-1.8146</v>
      </c>
      <c r="P70">
        <v>122.58</v>
      </c>
      <c r="Q70" t="s">
        <v>365</v>
      </c>
      <c r="R70" t="s">
        <v>54</v>
      </c>
      <c r="S70" t="s">
        <v>108</v>
      </c>
      <c r="T70">
        <v>2</v>
      </c>
    </row>
    <row r="71" spans="1:20">
      <c r="A71" t="s">
        <v>1254</v>
      </c>
      <c r="B71">
        <v>7.7</v>
      </c>
      <c r="C71" s="1">
        <v>39873.821527777778</v>
      </c>
      <c r="D71">
        <v>5</v>
      </c>
      <c r="E71">
        <v>7</v>
      </c>
      <c r="G71">
        <v>0</v>
      </c>
      <c r="H71">
        <v>918</v>
      </c>
      <c r="I71" t="s">
        <v>22</v>
      </c>
      <c r="J71">
        <v>288</v>
      </c>
      <c r="K71">
        <v>0</v>
      </c>
      <c r="L71">
        <v>29.8</v>
      </c>
      <c r="M71" t="s">
        <v>829</v>
      </c>
      <c r="N71">
        <v>17</v>
      </c>
      <c r="O71">
        <v>-0.41399999999999998</v>
      </c>
      <c r="P71">
        <v>132.88499999999999</v>
      </c>
      <c r="Q71" t="s">
        <v>1025</v>
      </c>
      <c r="R71" t="s">
        <v>54</v>
      </c>
      <c r="S71" t="s">
        <v>108</v>
      </c>
      <c r="T71">
        <v>2</v>
      </c>
    </row>
    <row r="72" spans="1:20">
      <c r="A72" t="s">
        <v>1634</v>
      </c>
      <c r="B72">
        <v>7.6</v>
      </c>
      <c r="C72" s="1">
        <v>37539.451388888891</v>
      </c>
      <c r="D72">
        <v>0</v>
      </c>
      <c r="E72">
        <v>7</v>
      </c>
      <c r="G72">
        <v>0</v>
      </c>
      <c r="H72">
        <v>889</v>
      </c>
      <c r="I72" t="s">
        <v>22</v>
      </c>
      <c r="J72">
        <v>375</v>
      </c>
      <c r="K72">
        <v>0</v>
      </c>
      <c r="L72">
        <v>0</v>
      </c>
      <c r="M72" t="s">
        <v>829</v>
      </c>
      <c r="N72">
        <v>10</v>
      </c>
      <c r="O72">
        <v>-1.7569999999999999</v>
      </c>
      <c r="P72">
        <v>134.297</v>
      </c>
      <c r="Q72" t="s">
        <v>1025</v>
      </c>
      <c r="R72" t="s">
        <v>54</v>
      </c>
      <c r="S72" t="s">
        <v>108</v>
      </c>
      <c r="T72">
        <v>2</v>
      </c>
    </row>
    <row r="73" spans="1:20">
      <c r="A73" t="s">
        <v>1251</v>
      </c>
      <c r="B73">
        <v>7.4</v>
      </c>
      <c r="C73" s="1">
        <v>39873.939583333333</v>
      </c>
      <c r="D73">
        <v>7</v>
      </c>
      <c r="E73">
        <v>7</v>
      </c>
      <c r="G73">
        <v>0</v>
      </c>
      <c r="H73">
        <v>846</v>
      </c>
      <c r="I73" t="s">
        <v>22</v>
      </c>
      <c r="J73">
        <v>314</v>
      </c>
      <c r="K73">
        <v>0</v>
      </c>
      <c r="L73">
        <v>21.1</v>
      </c>
      <c r="M73" t="s">
        <v>829</v>
      </c>
      <c r="N73">
        <v>23</v>
      </c>
      <c r="O73">
        <v>-0.69099999999999995</v>
      </c>
      <c r="P73">
        <v>133.30500000000001</v>
      </c>
      <c r="Q73" t="s">
        <v>1025</v>
      </c>
      <c r="R73" t="s">
        <v>54</v>
      </c>
      <c r="S73" t="s">
        <v>108</v>
      </c>
      <c r="T73">
        <v>2</v>
      </c>
    </row>
    <row r="74" spans="1:20">
      <c r="A74" t="s">
        <v>1023</v>
      </c>
      <c r="B74">
        <v>6.7</v>
      </c>
      <c r="C74" t="s">
        <v>1024</v>
      </c>
      <c r="D74">
        <v>0</v>
      </c>
      <c r="E74">
        <v>7</v>
      </c>
      <c r="G74">
        <v>0</v>
      </c>
      <c r="H74">
        <v>691</v>
      </c>
      <c r="I74" t="s">
        <v>22</v>
      </c>
      <c r="J74">
        <v>370</v>
      </c>
      <c r="K74">
        <v>0</v>
      </c>
      <c r="L74">
        <v>15.4</v>
      </c>
      <c r="M74" t="s">
        <v>23</v>
      </c>
      <c r="N74">
        <v>16</v>
      </c>
      <c r="O74">
        <v>-1.617</v>
      </c>
      <c r="P74">
        <v>134.27600000000001</v>
      </c>
      <c r="Q74" t="s">
        <v>1025</v>
      </c>
      <c r="R74" t="s">
        <v>54</v>
      </c>
      <c r="S74" t="s">
        <v>108</v>
      </c>
      <c r="T74">
        <v>2</v>
      </c>
    </row>
    <row r="75" spans="1:20">
      <c r="A75" t="s">
        <v>1633</v>
      </c>
      <c r="B75">
        <v>6.7</v>
      </c>
      <c r="C75" s="1">
        <v>37539.519444444442</v>
      </c>
      <c r="D75">
        <v>0</v>
      </c>
      <c r="E75">
        <v>7</v>
      </c>
      <c r="G75">
        <v>0</v>
      </c>
      <c r="H75">
        <v>691</v>
      </c>
      <c r="I75" t="s">
        <v>22</v>
      </c>
      <c r="J75">
        <v>250</v>
      </c>
      <c r="K75">
        <v>0</v>
      </c>
      <c r="L75">
        <v>0</v>
      </c>
      <c r="M75" t="s">
        <v>1104</v>
      </c>
      <c r="N75">
        <v>10</v>
      </c>
      <c r="O75">
        <v>-1.5109999999999999</v>
      </c>
      <c r="P75">
        <v>133.97300000000001</v>
      </c>
      <c r="Q75" t="s">
        <v>1025</v>
      </c>
      <c r="R75" t="s">
        <v>54</v>
      </c>
      <c r="S75" t="s">
        <v>108</v>
      </c>
      <c r="T75">
        <v>2</v>
      </c>
    </row>
    <row r="76" spans="1:20">
      <c r="A76" t="s">
        <v>1546</v>
      </c>
      <c r="B76">
        <v>6.5</v>
      </c>
      <c r="C76" t="s">
        <v>1547</v>
      </c>
      <c r="D76">
        <v>0</v>
      </c>
      <c r="E76">
        <v>7</v>
      </c>
      <c r="G76">
        <v>0</v>
      </c>
      <c r="H76">
        <v>650</v>
      </c>
      <c r="I76" t="s">
        <v>22</v>
      </c>
      <c r="J76">
        <v>305</v>
      </c>
      <c r="K76">
        <v>0</v>
      </c>
      <c r="L76">
        <v>39</v>
      </c>
      <c r="M76" t="s">
        <v>829</v>
      </c>
      <c r="N76">
        <v>13.4</v>
      </c>
      <c r="O76">
        <v>-0.443</v>
      </c>
      <c r="P76">
        <v>133.09100000000001</v>
      </c>
      <c r="Q76" t="s">
        <v>1025</v>
      </c>
      <c r="R76" t="s">
        <v>54</v>
      </c>
      <c r="S76" t="s">
        <v>108</v>
      </c>
      <c r="T76">
        <v>2</v>
      </c>
    </row>
    <row r="77" spans="1:20">
      <c r="A77" t="s">
        <v>1688</v>
      </c>
      <c r="B77">
        <v>6.5</v>
      </c>
      <c r="C77" s="1">
        <v>37204.62222222222</v>
      </c>
      <c r="D77">
        <v>0</v>
      </c>
      <c r="E77">
        <v>6</v>
      </c>
      <c r="G77">
        <v>0</v>
      </c>
      <c r="H77">
        <v>650</v>
      </c>
      <c r="I77" t="s">
        <v>22</v>
      </c>
      <c r="J77">
        <v>174</v>
      </c>
      <c r="K77">
        <v>0</v>
      </c>
      <c r="L77">
        <v>0</v>
      </c>
      <c r="M77" t="s">
        <v>829</v>
      </c>
      <c r="N77">
        <v>33</v>
      </c>
      <c r="O77">
        <v>-0.57799999999999996</v>
      </c>
      <c r="P77">
        <v>133.13</v>
      </c>
      <c r="Q77" t="s">
        <v>1025</v>
      </c>
      <c r="R77" t="s">
        <v>54</v>
      </c>
      <c r="S77" t="s">
        <v>108</v>
      </c>
      <c r="T77">
        <v>2</v>
      </c>
    </row>
    <row r="78" spans="1:20">
      <c r="A78" t="s">
        <v>1526</v>
      </c>
      <c r="B78">
        <v>7.5</v>
      </c>
      <c r="C78" s="1">
        <v>38302.893055555556</v>
      </c>
      <c r="D78">
        <v>5</v>
      </c>
      <c r="E78">
        <v>7</v>
      </c>
      <c r="G78">
        <v>0</v>
      </c>
      <c r="H78">
        <v>870</v>
      </c>
      <c r="I78" t="s">
        <v>22</v>
      </c>
      <c r="J78">
        <v>301</v>
      </c>
      <c r="K78">
        <v>0</v>
      </c>
      <c r="L78">
        <v>33.799999999999997</v>
      </c>
      <c r="M78" t="s">
        <v>829</v>
      </c>
      <c r="N78">
        <v>10</v>
      </c>
      <c r="O78">
        <v>-8.1519999999999992</v>
      </c>
      <c r="P78">
        <v>124.86799999999999</v>
      </c>
      <c r="Q78" t="s">
        <v>701</v>
      </c>
      <c r="R78" t="s">
        <v>54</v>
      </c>
      <c r="S78" t="s">
        <v>108</v>
      </c>
      <c r="T78">
        <v>2</v>
      </c>
    </row>
    <row r="79" spans="1:20">
      <c r="A79" t="s">
        <v>700</v>
      </c>
      <c r="B79">
        <v>6.5</v>
      </c>
      <c r="C79" s="1">
        <v>42105.155555555553</v>
      </c>
      <c r="D79">
        <v>5</v>
      </c>
      <c r="E79">
        <v>7</v>
      </c>
      <c r="F79" t="s">
        <v>21</v>
      </c>
      <c r="G79">
        <v>0</v>
      </c>
      <c r="H79">
        <v>657</v>
      </c>
      <c r="I79" t="s">
        <v>22</v>
      </c>
      <c r="J79">
        <v>0</v>
      </c>
      <c r="K79">
        <v>1.53</v>
      </c>
      <c r="L79">
        <v>21</v>
      </c>
      <c r="M79" t="s">
        <v>23</v>
      </c>
      <c r="N79">
        <v>20</v>
      </c>
      <c r="O79">
        <v>-8.3381000000000007</v>
      </c>
      <c r="P79">
        <v>124.875</v>
      </c>
      <c r="Q79" t="s">
        <v>701</v>
      </c>
      <c r="R79" t="s">
        <v>54</v>
      </c>
      <c r="S79" t="s">
        <v>108</v>
      </c>
      <c r="T79">
        <v>2</v>
      </c>
    </row>
    <row r="80" spans="1:20">
      <c r="A80" t="s">
        <v>776</v>
      </c>
      <c r="B80">
        <v>7</v>
      </c>
      <c r="C80" t="s">
        <v>777</v>
      </c>
      <c r="D80">
        <v>4</v>
      </c>
      <c r="E80">
        <v>6</v>
      </c>
      <c r="F80" t="s">
        <v>21</v>
      </c>
      <c r="G80">
        <v>0</v>
      </c>
      <c r="H80">
        <v>760</v>
      </c>
      <c r="I80" t="s">
        <v>22</v>
      </c>
      <c r="J80">
        <v>0</v>
      </c>
      <c r="K80">
        <v>1.3620000000000001</v>
      </c>
      <c r="L80">
        <v>12</v>
      </c>
      <c r="M80" t="s">
        <v>23</v>
      </c>
      <c r="N80">
        <v>552.05999999999995</v>
      </c>
      <c r="O80">
        <v>-7.2968000000000002</v>
      </c>
      <c r="P80">
        <v>122.535</v>
      </c>
      <c r="Q80" t="s">
        <v>508</v>
      </c>
      <c r="R80" t="s">
        <v>54</v>
      </c>
      <c r="S80" t="s">
        <v>108</v>
      </c>
      <c r="T80">
        <v>2</v>
      </c>
    </row>
    <row r="81" spans="1:20">
      <c r="A81" t="s">
        <v>506</v>
      </c>
      <c r="B81">
        <v>6.7</v>
      </c>
      <c r="C81" t="s">
        <v>507</v>
      </c>
      <c r="D81">
        <v>3</v>
      </c>
      <c r="E81">
        <v>3</v>
      </c>
      <c r="F81" t="s">
        <v>21</v>
      </c>
      <c r="G81">
        <v>0</v>
      </c>
      <c r="H81">
        <v>694</v>
      </c>
      <c r="I81" t="s">
        <v>22</v>
      </c>
      <c r="J81">
        <v>0</v>
      </c>
      <c r="K81">
        <v>1.6339999999999999</v>
      </c>
      <c r="L81">
        <v>16</v>
      </c>
      <c r="M81" t="s">
        <v>23</v>
      </c>
      <c r="N81">
        <v>553.80999999999995</v>
      </c>
      <c r="O81">
        <v>-7.2168000000000001</v>
      </c>
      <c r="P81">
        <v>123.074</v>
      </c>
      <c r="Q81" t="s">
        <v>508</v>
      </c>
      <c r="R81" t="s">
        <v>54</v>
      </c>
      <c r="S81" t="s">
        <v>108</v>
      </c>
      <c r="T81">
        <v>2</v>
      </c>
    </row>
    <row r="82" spans="1:20">
      <c r="A82" t="s">
        <v>1169</v>
      </c>
      <c r="B82">
        <v>7.2</v>
      </c>
      <c r="C82" s="1">
        <v>40426.249305555553</v>
      </c>
      <c r="D82">
        <v>5</v>
      </c>
      <c r="E82">
        <v>6</v>
      </c>
      <c r="G82">
        <v>0</v>
      </c>
      <c r="H82">
        <v>918</v>
      </c>
      <c r="I82" t="s">
        <v>22</v>
      </c>
      <c r="J82">
        <v>611</v>
      </c>
      <c r="K82">
        <v>0</v>
      </c>
      <c r="L82">
        <v>20.6</v>
      </c>
      <c r="M82" t="s">
        <v>829</v>
      </c>
      <c r="N82">
        <v>38</v>
      </c>
      <c r="O82">
        <v>3.7480000000000002</v>
      </c>
      <c r="P82">
        <v>96.018000000000001</v>
      </c>
      <c r="Q82" t="s">
        <v>1170</v>
      </c>
      <c r="R82" t="s">
        <v>54</v>
      </c>
      <c r="S82" t="s">
        <v>108</v>
      </c>
      <c r="T82">
        <v>2</v>
      </c>
    </row>
    <row r="83" spans="1:20">
      <c r="A83" t="s">
        <v>383</v>
      </c>
      <c r="B83">
        <v>6.6</v>
      </c>
      <c r="C83" s="1">
        <v>43617.727083333331</v>
      </c>
      <c r="D83">
        <v>2</v>
      </c>
      <c r="E83">
        <v>4</v>
      </c>
      <c r="F83" t="s">
        <v>21</v>
      </c>
      <c r="G83">
        <v>1</v>
      </c>
      <c r="H83">
        <v>672</v>
      </c>
      <c r="I83" t="s">
        <v>22</v>
      </c>
      <c r="J83">
        <v>0</v>
      </c>
      <c r="K83">
        <v>1.5960000000000001</v>
      </c>
      <c r="L83">
        <v>33</v>
      </c>
      <c r="M83" t="s">
        <v>23</v>
      </c>
      <c r="N83">
        <v>43.21</v>
      </c>
      <c r="O83">
        <v>2.258</v>
      </c>
      <c r="P83">
        <v>126.758</v>
      </c>
      <c r="Q83" t="s">
        <v>384</v>
      </c>
      <c r="R83" t="s">
        <v>54</v>
      </c>
      <c r="S83" t="s">
        <v>108</v>
      </c>
      <c r="T83">
        <v>2</v>
      </c>
    </row>
    <row r="84" spans="1:20">
      <c r="A84" t="s">
        <v>1517</v>
      </c>
      <c r="B84">
        <v>7.1</v>
      </c>
      <c r="C84" t="s">
        <v>1518</v>
      </c>
      <c r="D84">
        <v>0</v>
      </c>
      <c r="E84">
        <v>7</v>
      </c>
      <c r="G84">
        <v>0</v>
      </c>
      <c r="H84">
        <v>776</v>
      </c>
      <c r="I84" t="s">
        <v>22</v>
      </c>
      <c r="J84">
        <v>439</v>
      </c>
      <c r="K84">
        <v>0</v>
      </c>
      <c r="L84">
        <v>28.8</v>
      </c>
      <c r="M84" t="s">
        <v>829</v>
      </c>
      <c r="N84">
        <v>10</v>
      </c>
      <c r="O84">
        <v>-3.609</v>
      </c>
      <c r="P84">
        <v>135.404</v>
      </c>
      <c r="Q84" t="s">
        <v>1519</v>
      </c>
      <c r="R84" t="s">
        <v>54</v>
      </c>
      <c r="S84" t="s">
        <v>108</v>
      </c>
      <c r="T84">
        <v>2</v>
      </c>
    </row>
    <row r="85" spans="1:20">
      <c r="A85" t="s">
        <v>1559</v>
      </c>
      <c r="B85">
        <v>7</v>
      </c>
      <c r="C85" s="1">
        <v>38109.878472222219</v>
      </c>
      <c r="D85">
        <v>0</v>
      </c>
      <c r="E85">
        <v>7</v>
      </c>
      <c r="G85">
        <v>0</v>
      </c>
      <c r="H85">
        <v>754</v>
      </c>
      <c r="I85" t="s">
        <v>22</v>
      </c>
      <c r="J85">
        <v>367</v>
      </c>
      <c r="K85">
        <v>0</v>
      </c>
      <c r="L85">
        <v>33</v>
      </c>
      <c r="M85" t="s">
        <v>829</v>
      </c>
      <c r="N85">
        <v>16.600000000000001</v>
      </c>
      <c r="O85">
        <v>-3.6150000000000002</v>
      </c>
      <c r="P85">
        <v>135.53800000000001</v>
      </c>
      <c r="Q85" t="s">
        <v>1519</v>
      </c>
      <c r="R85" t="s">
        <v>54</v>
      </c>
      <c r="S85" t="s">
        <v>108</v>
      </c>
      <c r="T85">
        <v>2</v>
      </c>
    </row>
    <row r="86" spans="1:20">
      <c r="A86" t="s">
        <v>1557</v>
      </c>
      <c r="B86">
        <v>6.7</v>
      </c>
      <c r="C86" s="1">
        <v>38201.373611111114</v>
      </c>
      <c r="D86">
        <v>0</v>
      </c>
      <c r="E86">
        <v>7</v>
      </c>
      <c r="G86">
        <v>0</v>
      </c>
      <c r="H86">
        <v>691</v>
      </c>
      <c r="I86" t="s">
        <v>22</v>
      </c>
      <c r="J86">
        <v>256</v>
      </c>
      <c r="K86">
        <v>0</v>
      </c>
      <c r="L86">
        <v>33.299999999999997</v>
      </c>
      <c r="M86" t="s">
        <v>829</v>
      </c>
      <c r="N86">
        <v>25.7</v>
      </c>
      <c r="O86">
        <v>-3.665</v>
      </c>
      <c r="P86">
        <v>135.339</v>
      </c>
      <c r="Q86" t="s">
        <v>1519</v>
      </c>
      <c r="R86" t="s">
        <v>54</v>
      </c>
      <c r="S86" t="s">
        <v>108</v>
      </c>
      <c r="T86">
        <v>2</v>
      </c>
    </row>
    <row r="87" spans="1:20">
      <c r="A87" t="s">
        <v>1551</v>
      </c>
      <c r="B87">
        <v>6.7</v>
      </c>
      <c r="C87" t="s">
        <v>1552</v>
      </c>
      <c r="D87">
        <v>0</v>
      </c>
      <c r="E87">
        <v>5</v>
      </c>
      <c r="G87">
        <v>0</v>
      </c>
      <c r="H87">
        <v>691</v>
      </c>
      <c r="I87" t="s">
        <v>22</v>
      </c>
      <c r="J87">
        <v>386</v>
      </c>
      <c r="K87">
        <v>0</v>
      </c>
      <c r="L87">
        <v>27.6</v>
      </c>
      <c r="M87" t="s">
        <v>36</v>
      </c>
      <c r="N87">
        <v>65.8</v>
      </c>
      <c r="O87">
        <v>-9.3620000000000001</v>
      </c>
      <c r="P87">
        <v>122.839</v>
      </c>
      <c r="Q87" t="s">
        <v>1553</v>
      </c>
      <c r="R87" t="s">
        <v>54</v>
      </c>
      <c r="S87" t="s">
        <v>108</v>
      </c>
      <c r="T87">
        <v>2</v>
      </c>
    </row>
    <row r="88" spans="1:20">
      <c r="A88" t="s">
        <v>1342</v>
      </c>
      <c r="B88">
        <v>7</v>
      </c>
      <c r="C88" t="s">
        <v>1343</v>
      </c>
      <c r="D88">
        <v>4</v>
      </c>
      <c r="E88">
        <v>7</v>
      </c>
      <c r="G88">
        <v>0</v>
      </c>
      <c r="H88">
        <v>768</v>
      </c>
      <c r="I88" t="s">
        <v>22</v>
      </c>
      <c r="J88">
        <v>537</v>
      </c>
      <c r="K88">
        <v>0</v>
      </c>
      <c r="L88">
        <v>23.1</v>
      </c>
      <c r="M88" t="s">
        <v>829</v>
      </c>
      <c r="N88">
        <v>22</v>
      </c>
      <c r="O88">
        <v>-2.13</v>
      </c>
      <c r="P88">
        <v>99.626999999999995</v>
      </c>
      <c r="Q88" t="s">
        <v>1231</v>
      </c>
      <c r="R88" t="s">
        <v>54</v>
      </c>
      <c r="S88" t="s">
        <v>108</v>
      </c>
      <c r="T88">
        <v>2</v>
      </c>
    </row>
    <row r="89" spans="1:20">
      <c r="A89" t="s">
        <v>1229</v>
      </c>
      <c r="B89">
        <v>6.7</v>
      </c>
      <c r="C89" t="s">
        <v>1230</v>
      </c>
      <c r="D89">
        <v>5</v>
      </c>
      <c r="E89">
        <v>6</v>
      </c>
      <c r="G89">
        <v>0</v>
      </c>
      <c r="H89">
        <v>753</v>
      </c>
      <c r="I89" t="s">
        <v>22</v>
      </c>
      <c r="J89">
        <v>369</v>
      </c>
      <c r="K89">
        <v>0</v>
      </c>
      <c r="L89">
        <v>14.9</v>
      </c>
      <c r="M89" t="s">
        <v>829</v>
      </c>
      <c r="N89">
        <v>20</v>
      </c>
      <c r="O89">
        <v>-1.4790000000000001</v>
      </c>
      <c r="P89">
        <v>99.49</v>
      </c>
      <c r="Q89" t="s">
        <v>1231</v>
      </c>
      <c r="R89" t="s">
        <v>54</v>
      </c>
      <c r="S89" t="s">
        <v>108</v>
      </c>
      <c r="T89">
        <v>2</v>
      </c>
    </row>
    <row r="90" spans="1:20">
      <c r="A90" t="s">
        <v>1290</v>
      </c>
      <c r="B90">
        <v>6.7</v>
      </c>
      <c r="C90" t="s">
        <v>1291</v>
      </c>
      <c r="D90">
        <v>5</v>
      </c>
      <c r="E90">
        <v>6</v>
      </c>
      <c r="G90">
        <v>0</v>
      </c>
      <c r="H90">
        <v>696</v>
      </c>
      <c r="I90" t="s">
        <v>22</v>
      </c>
      <c r="J90">
        <v>543</v>
      </c>
      <c r="K90">
        <v>0</v>
      </c>
      <c r="L90">
        <v>15.1</v>
      </c>
      <c r="M90" t="s">
        <v>829</v>
      </c>
      <c r="N90">
        <v>25</v>
      </c>
      <c r="O90">
        <v>-2.2450000000000001</v>
      </c>
      <c r="P90">
        <v>99.808000000000007</v>
      </c>
      <c r="Q90" t="s">
        <v>1231</v>
      </c>
      <c r="R90" t="s">
        <v>54</v>
      </c>
      <c r="S90" t="s">
        <v>108</v>
      </c>
      <c r="T90">
        <v>2</v>
      </c>
    </row>
    <row r="91" spans="1:20">
      <c r="A91" t="s">
        <v>1340</v>
      </c>
      <c r="B91">
        <v>6.7</v>
      </c>
      <c r="C91" t="s">
        <v>1341</v>
      </c>
      <c r="D91">
        <v>3</v>
      </c>
      <c r="E91">
        <v>5</v>
      </c>
      <c r="G91">
        <v>0</v>
      </c>
      <c r="H91">
        <v>696</v>
      </c>
      <c r="I91" t="s">
        <v>22</v>
      </c>
      <c r="J91">
        <v>503</v>
      </c>
      <c r="K91">
        <v>0</v>
      </c>
      <c r="L91">
        <v>26.9</v>
      </c>
      <c r="M91" t="s">
        <v>829</v>
      </c>
      <c r="N91">
        <v>30</v>
      </c>
      <c r="O91">
        <v>-1.9990000000000001</v>
      </c>
      <c r="P91">
        <v>100.14100000000001</v>
      </c>
      <c r="Q91" t="s">
        <v>1231</v>
      </c>
      <c r="R91" t="s">
        <v>54</v>
      </c>
      <c r="S91" t="s">
        <v>108</v>
      </c>
      <c r="T91">
        <v>2</v>
      </c>
    </row>
    <row r="92" spans="1:20">
      <c r="A92" t="s">
        <v>1481</v>
      </c>
      <c r="B92">
        <v>6.7</v>
      </c>
      <c r="C92" s="1">
        <v>38629.436805555553</v>
      </c>
      <c r="D92">
        <v>5</v>
      </c>
      <c r="E92">
        <v>6</v>
      </c>
      <c r="G92">
        <v>0</v>
      </c>
      <c r="H92">
        <v>717</v>
      </c>
      <c r="I92" t="s">
        <v>22</v>
      </c>
      <c r="J92">
        <v>656</v>
      </c>
      <c r="K92">
        <v>0</v>
      </c>
      <c r="L92">
        <v>21.2</v>
      </c>
      <c r="M92" t="s">
        <v>829</v>
      </c>
      <c r="N92">
        <v>19</v>
      </c>
      <c r="O92">
        <v>-1.6439999999999999</v>
      </c>
      <c r="P92">
        <v>99.606999999999999</v>
      </c>
      <c r="Q92" t="s">
        <v>1231</v>
      </c>
      <c r="R92" t="s">
        <v>54</v>
      </c>
      <c r="S92" t="s">
        <v>108</v>
      </c>
      <c r="T92">
        <v>2</v>
      </c>
    </row>
    <row r="93" spans="1:20">
      <c r="A93" t="s">
        <v>1292</v>
      </c>
      <c r="B93">
        <v>6.6</v>
      </c>
      <c r="C93" t="s">
        <v>1293</v>
      </c>
      <c r="D93">
        <v>4</v>
      </c>
      <c r="E93">
        <v>6</v>
      </c>
      <c r="G93">
        <v>0</v>
      </c>
      <c r="H93">
        <v>674</v>
      </c>
      <c r="I93" t="s">
        <v>22</v>
      </c>
      <c r="J93">
        <v>421</v>
      </c>
      <c r="K93">
        <v>0</v>
      </c>
      <c r="L93">
        <v>17.7</v>
      </c>
      <c r="M93" t="s">
        <v>829</v>
      </c>
      <c r="N93">
        <v>25</v>
      </c>
      <c r="O93">
        <v>-2.3319999999999999</v>
      </c>
      <c r="P93">
        <v>99.891000000000005</v>
      </c>
      <c r="Q93" t="s">
        <v>1231</v>
      </c>
      <c r="R93" t="s">
        <v>54</v>
      </c>
      <c r="S93" t="s">
        <v>108</v>
      </c>
      <c r="T93">
        <v>2</v>
      </c>
    </row>
    <row r="94" spans="1:20">
      <c r="A94" t="s">
        <v>1480</v>
      </c>
      <c r="B94">
        <v>6.5</v>
      </c>
      <c r="C94" s="1">
        <v>38629.468055555553</v>
      </c>
      <c r="D94">
        <v>3</v>
      </c>
      <c r="E94">
        <v>6</v>
      </c>
      <c r="G94">
        <v>0</v>
      </c>
      <c r="H94">
        <v>657</v>
      </c>
      <c r="I94" t="s">
        <v>22</v>
      </c>
      <c r="J94">
        <v>478</v>
      </c>
      <c r="K94">
        <v>0</v>
      </c>
      <c r="L94">
        <v>21.2</v>
      </c>
      <c r="M94" t="s">
        <v>829</v>
      </c>
      <c r="N94">
        <v>30</v>
      </c>
      <c r="O94">
        <v>-1.714</v>
      </c>
      <c r="P94">
        <v>99.778999999999996</v>
      </c>
      <c r="Q94" t="s">
        <v>1231</v>
      </c>
      <c r="R94" t="s">
        <v>54</v>
      </c>
      <c r="S94" t="s">
        <v>108</v>
      </c>
      <c r="T94">
        <v>2</v>
      </c>
    </row>
    <row r="95" spans="1:20">
      <c r="A95" t="s">
        <v>1477</v>
      </c>
      <c r="B95">
        <v>6.7</v>
      </c>
      <c r="C95" t="s">
        <v>1478</v>
      </c>
      <c r="D95">
        <v>6</v>
      </c>
      <c r="E95">
        <v>5</v>
      </c>
      <c r="G95">
        <v>0</v>
      </c>
      <c r="H95">
        <v>731</v>
      </c>
      <c r="I95" t="s">
        <v>22</v>
      </c>
      <c r="J95">
        <v>695</v>
      </c>
      <c r="K95">
        <v>0</v>
      </c>
      <c r="L95">
        <v>20.9</v>
      </c>
      <c r="M95" t="s">
        <v>36</v>
      </c>
      <c r="N95">
        <v>34</v>
      </c>
      <c r="O95">
        <v>0.58699999999999997</v>
      </c>
      <c r="P95">
        <v>98.459000000000003</v>
      </c>
      <c r="Q95" t="s">
        <v>1479</v>
      </c>
      <c r="R95" t="s">
        <v>54</v>
      </c>
      <c r="S95" t="s">
        <v>108</v>
      </c>
      <c r="T95">
        <v>2</v>
      </c>
    </row>
    <row r="96" spans="1:20">
      <c r="A96" t="s">
        <v>421</v>
      </c>
      <c r="B96">
        <v>7.5</v>
      </c>
      <c r="C96" t="s">
        <v>422</v>
      </c>
      <c r="D96">
        <v>8</v>
      </c>
      <c r="E96">
        <v>8</v>
      </c>
      <c r="F96" t="s">
        <v>103</v>
      </c>
      <c r="G96">
        <v>0</v>
      </c>
      <c r="H96">
        <v>2026</v>
      </c>
      <c r="I96" t="s">
        <v>22</v>
      </c>
      <c r="J96">
        <v>0</v>
      </c>
      <c r="K96">
        <v>1.649</v>
      </c>
      <c r="L96">
        <v>13</v>
      </c>
      <c r="M96" t="s">
        <v>23</v>
      </c>
      <c r="N96">
        <v>20</v>
      </c>
      <c r="O96">
        <v>-0.25590000000000002</v>
      </c>
      <c r="P96">
        <v>119.846</v>
      </c>
      <c r="Q96" t="s">
        <v>423</v>
      </c>
      <c r="R96" t="s">
        <v>54</v>
      </c>
      <c r="S96" t="s">
        <v>108</v>
      </c>
      <c r="T96">
        <v>2</v>
      </c>
    </row>
    <row r="97" spans="1:20">
      <c r="A97" t="s">
        <v>604</v>
      </c>
      <c r="B97">
        <v>6.6</v>
      </c>
      <c r="C97" t="s">
        <v>605</v>
      </c>
      <c r="D97">
        <v>3</v>
      </c>
      <c r="E97">
        <v>3</v>
      </c>
      <c r="F97" t="s">
        <v>21</v>
      </c>
      <c r="G97">
        <v>0</v>
      </c>
      <c r="H97">
        <v>677</v>
      </c>
      <c r="I97" t="s">
        <v>22</v>
      </c>
      <c r="J97">
        <v>0</v>
      </c>
      <c r="K97">
        <v>2.0219999999999998</v>
      </c>
      <c r="L97">
        <v>16</v>
      </c>
      <c r="M97" t="s">
        <v>23</v>
      </c>
      <c r="N97">
        <v>614</v>
      </c>
      <c r="O97">
        <v>-4.8625999999999996</v>
      </c>
      <c r="P97">
        <v>108.163</v>
      </c>
      <c r="Q97" t="s">
        <v>606</v>
      </c>
      <c r="R97" t="s">
        <v>54</v>
      </c>
      <c r="S97" t="s">
        <v>108</v>
      </c>
      <c r="T97">
        <v>2</v>
      </c>
    </row>
    <row r="98" spans="1:20">
      <c r="A98" t="s">
        <v>1558</v>
      </c>
      <c r="B98">
        <v>7.3</v>
      </c>
      <c r="C98" s="1">
        <v>38170.112500000003</v>
      </c>
      <c r="D98">
        <v>0</v>
      </c>
      <c r="E98">
        <v>7</v>
      </c>
      <c r="G98">
        <v>0</v>
      </c>
      <c r="H98">
        <v>820</v>
      </c>
      <c r="I98" t="s">
        <v>22</v>
      </c>
      <c r="J98">
        <v>390</v>
      </c>
      <c r="K98">
        <v>0</v>
      </c>
      <c r="L98">
        <v>23</v>
      </c>
      <c r="M98" t="s">
        <v>36</v>
      </c>
      <c r="N98">
        <v>10</v>
      </c>
      <c r="O98">
        <v>-4.0030000000000001</v>
      </c>
      <c r="P98">
        <v>135.023</v>
      </c>
      <c r="Q98" t="s">
        <v>1140</v>
      </c>
      <c r="R98" t="s">
        <v>54</v>
      </c>
      <c r="S98" t="s">
        <v>108</v>
      </c>
      <c r="T98">
        <v>2</v>
      </c>
    </row>
    <row r="99" spans="1:20">
      <c r="A99" t="s">
        <v>1138</v>
      </c>
      <c r="B99">
        <v>7</v>
      </c>
      <c r="C99" t="s">
        <v>1139</v>
      </c>
      <c r="D99">
        <v>8</v>
      </c>
      <c r="E99">
        <v>5</v>
      </c>
      <c r="G99">
        <v>0</v>
      </c>
      <c r="H99">
        <v>772</v>
      </c>
      <c r="I99" t="s">
        <v>22</v>
      </c>
      <c r="J99">
        <v>271</v>
      </c>
      <c r="K99">
        <v>0</v>
      </c>
      <c r="L99">
        <v>15.1</v>
      </c>
      <c r="M99" t="s">
        <v>829</v>
      </c>
      <c r="N99">
        <v>26</v>
      </c>
      <c r="O99">
        <v>-4.9630000000000001</v>
      </c>
      <c r="P99">
        <v>133.76</v>
      </c>
      <c r="Q99" t="s">
        <v>1140</v>
      </c>
      <c r="R99" t="s">
        <v>54</v>
      </c>
      <c r="S99" t="s">
        <v>108</v>
      </c>
      <c r="T99">
        <v>2</v>
      </c>
    </row>
    <row r="100" spans="1:20">
      <c r="A100" t="s">
        <v>1222</v>
      </c>
      <c r="B100">
        <v>7.6</v>
      </c>
      <c r="C100" t="s">
        <v>1223</v>
      </c>
      <c r="D100">
        <v>8</v>
      </c>
      <c r="E100">
        <v>8</v>
      </c>
      <c r="G100">
        <v>0</v>
      </c>
      <c r="H100">
        <v>1639</v>
      </c>
      <c r="I100" t="s">
        <v>22</v>
      </c>
      <c r="J100">
        <v>498</v>
      </c>
      <c r="K100">
        <v>0</v>
      </c>
      <c r="L100">
        <v>14</v>
      </c>
      <c r="M100" t="s">
        <v>829</v>
      </c>
      <c r="N100">
        <v>81</v>
      </c>
      <c r="O100">
        <v>-0.72</v>
      </c>
      <c r="P100">
        <v>99.867000000000004</v>
      </c>
      <c r="Q100" t="s">
        <v>107</v>
      </c>
      <c r="R100" t="s">
        <v>54</v>
      </c>
      <c r="S100" t="s">
        <v>108</v>
      </c>
      <c r="T100">
        <v>2</v>
      </c>
    </row>
    <row r="101" spans="1:20">
      <c r="A101" t="s">
        <v>105</v>
      </c>
      <c r="B101">
        <v>6.7</v>
      </c>
      <c r="C101" t="s">
        <v>106</v>
      </c>
      <c r="D101">
        <v>9</v>
      </c>
      <c r="E101">
        <v>6</v>
      </c>
      <c r="F101" t="s">
        <v>21</v>
      </c>
      <c r="G101">
        <v>0</v>
      </c>
      <c r="H101">
        <v>708</v>
      </c>
      <c r="I101" t="s">
        <v>22</v>
      </c>
      <c r="J101">
        <v>0</v>
      </c>
      <c r="K101">
        <v>2.1880000000000002</v>
      </c>
      <c r="L101">
        <v>43</v>
      </c>
      <c r="M101" t="s">
        <v>23</v>
      </c>
      <c r="N101">
        <v>28</v>
      </c>
      <c r="O101">
        <v>-0.68310000000000004</v>
      </c>
      <c r="P101">
        <v>98.603399999999993</v>
      </c>
      <c r="Q101" t="s">
        <v>107</v>
      </c>
      <c r="R101" t="s">
        <v>54</v>
      </c>
      <c r="S101" t="s">
        <v>108</v>
      </c>
      <c r="T101">
        <v>2</v>
      </c>
    </row>
    <row r="102" spans="1:20">
      <c r="A102" t="s">
        <v>536</v>
      </c>
      <c r="B102">
        <v>6.6</v>
      </c>
      <c r="C102" t="s">
        <v>537</v>
      </c>
      <c r="D102">
        <v>7</v>
      </c>
      <c r="E102">
        <v>7</v>
      </c>
      <c r="F102" t="s">
        <v>21</v>
      </c>
      <c r="G102">
        <v>0</v>
      </c>
      <c r="H102">
        <v>678</v>
      </c>
      <c r="I102" t="s">
        <v>22</v>
      </c>
      <c r="J102">
        <v>0</v>
      </c>
      <c r="K102">
        <v>2.3530000000000002</v>
      </c>
      <c r="L102">
        <v>18</v>
      </c>
      <c r="M102" t="s">
        <v>23</v>
      </c>
      <c r="N102">
        <v>12</v>
      </c>
      <c r="O102">
        <v>-1.2923</v>
      </c>
      <c r="P102">
        <v>120.431</v>
      </c>
      <c r="Q102" t="s">
        <v>538</v>
      </c>
      <c r="R102" t="s">
        <v>54</v>
      </c>
      <c r="S102" t="s">
        <v>108</v>
      </c>
      <c r="T102">
        <v>2</v>
      </c>
    </row>
    <row r="103" spans="1:20">
      <c r="A103" t="s">
        <v>1491</v>
      </c>
      <c r="B103">
        <v>6.5</v>
      </c>
      <c r="C103" t="s">
        <v>1492</v>
      </c>
      <c r="D103">
        <v>3</v>
      </c>
      <c r="E103">
        <v>5</v>
      </c>
      <c r="G103">
        <v>0</v>
      </c>
      <c r="H103">
        <v>652</v>
      </c>
      <c r="I103" t="s">
        <v>22</v>
      </c>
      <c r="J103">
        <v>286</v>
      </c>
      <c r="K103">
        <v>0</v>
      </c>
      <c r="L103">
        <v>47.3</v>
      </c>
      <c r="M103" t="s">
        <v>829</v>
      </c>
      <c r="N103">
        <v>39.700000000000003</v>
      </c>
      <c r="O103">
        <v>4.7560000000000002</v>
      </c>
      <c r="P103">
        <v>126.42100000000001</v>
      </c>
      <c r="Q103" t="s">
        <v>1493</v>
      </c>
      <c r="R103" t="s">
        <v>54</v>
      </c>
      <c r="S103" t="s">
        <v>108</v>
      </c>
      <c r="T103">
        <v>2</v>
      </c>
    </row>
    <row r="104" spans="1:20">
      <c r="A104" t="s">
        <v>1358</v>
      </c>
      <c r="B104">
        <v>7.5</v>
      </c>
      <c r="C104" s="1">
        <v>39302.711805555555</v>
      </c>
      <c r="D104">
        <v>0</v>
      </c>
      <c r="E104">
        <v>5</v>
      </c>
      <c r="G104">
        <v>0</v>
      </c>
      <c r="H104">
        <v>865</v>
      </c>
      <c r="I104" t="s">
        <v>22</v>
      </c>
      <c r="J104">
        <v>228</v>
      </c>
      <c r="K104">
        <v>0</v>
      </c>
      <c r="L104">
        <v>30.7</v>
      </c>
      <c r="M104" t="s">
        <v>829</v>
      </c>
      <c r="N104">
        <v>280</v>
      </c>
      <c r="O104">
        <v>-5.859</v>
      </c>
      <c r="P104">
        <v>107.419</v>
      </c>
      <c r="Q104" t="s">
        <v>1359</v>
      </c>
      <c r="R104" t="s">
        <v>54</v>
      </c>
      <c r="S104" t="s">
        <v>108</v>
      </c>
      <c r="T104">
        <v>2</v>
      </c>
    </row>
    <row r="105" spans="1:20">
      <c r="A105" t="s">
        <v>581</v>
      </c>
      <c r="B105">
        <v>6.5</v>
      </c>
      <c r="C105" s="1">
        <v>42533.918749999997</v>
      </c>
      <c r="D105">
        <v>9</v>
      </c>
      <c r="E105">
        <v>8</v>
      </c>
      <c r="F105" t="s">
        <v>45</v>
      </c>
      <c r="G105">
        <v>0</v>
      </c>
      <c r="H105">
        <v>731</v>
      </c>
      <c r="I105" t="s">
        <v>22</v>
      </c>
      <c r="J105">
        <v>0</v>
      </c>
      <c r="K105">
        <v>0.77800000000000002</v>
      </c>
      <c r="L105">
        <v>27</v>
      </c>
      <c r="M105" t="s">
        <v>23</v>
      </c>
      <c r="N105">
        <v>13</v>
      </c>
      <c r="O105">
        <v>5.2834000000000003</v>
      </c>
      <c r="P105">
        <v>96.1678</v>
      </c>
      <c r="Q105" t="s">
        <v>582</v>
      </c>
      <c r="R105" t="s">
        <v>54</v>
      </c>
      <c r="S105" t="s">
        <v>108</v>
      </c>
      <c r="T105">
        <v>2</v>
      </c>
    </row>
    <row r="106" spans="1:20">
      <c r="A106" t="s">
        <v>1614</v>
      </c>
      <c r="B106">
        <v>6.5</v>
      </c>
      <c r="C106" t="s">
        <v>1615</v>
      </c>
      <c r="D106">
        <v>0</v>
      </c>
      <c r="E106">
        <v>7</v>
      </c>
      <c r="G106">
        <v>0</v>
      </c>
      <c r="H106">
        <v>650</v>
      </c>
      <c r="I106" t="s">
        <v>22</v>
      </c>
      <c r="J106">
        <v>247</v>
      </c>
      <c r="K106">
        <v>0</v>
      </c>
      <c r="L106">
        <v>28.7</v>
      </c>
      <c r="M106" t="s">
        <v>829</v>
      </c>
      <c r="N106">
        <v>33</v>
      </c>
      <c r="O106">
        <v>-8.2940000000000005</v>
      </c>
      <c r="P106">
        <v>120.74299999999999</v>
      </c>
      <c r="Q106" t="s">
        <v>1616</v>
      </c>
      <c r="R106" t="s">
        <v>54</v>
      </c>
      <c r="S106" t="s">
        <v>108</v>
      </c>
      <c r="T106">
        <v>2</v>
      </c>
    </row>
    <row r="107" spans="1:20">
      <c r="A107" t="s">
        <v>1381</v>
      </c>
      <c r="B107">
        <v>6.7</v>
      </c>
      <c r="C107" t="s">
        <v>1382</v>
      </c>
      <c r="D107">
        <v>0</v>
      </c>
      <c r="E107">
        <v>6</v>
      </c>
      <c r="G107">
        <v>0</v>
      </c>
      <c r="H107">
        <v>691</v>
      </c>
      <c r="I107" t="s">
        <v>22</v>
      </c>
      <c r="J107">
        <v>253</v>
      </c>
      <c r="K107">
        <v>0</v>
      </c>
      <c r="L107">
        <v>40.299999999999997</v>
      </c>
      <c r="M107" t="s">
        <v>829</v>
      </c>
      <c r="N107">
        <v>12</v>
      </c>
      <c r="O107">
        <v>-1.034</v>
      </c>
      <c r="P107">
        <v>126.976</v>
      </c>
      <c r="Q107" t="s">
        <v>1383</v>
      </c>
      <c r="R107" t="s">
        <v>54</v>
      </c>
      <c r="S107" t="s">
        <v>108</v>
      </c>
      <c r="T107">
        <v>2</v>
      </c>
    </row>
    <row r="108" spans="1:20">
      <c r="A108" t="s">
        <v>1250</v>
      </c>
      <c r="B108">
        <v>7.2</v>
      </c>
      <c r="C108" s="1">
        <v>40119.731944444444</v>
      </c>
      <c r="D108">
        <v>3</v>
      </c>
      <c r="E108">
        <v>7</v>
      </c>
      <c r="G108">
        <v>0</v>
      </c>
      <c r="H108">
        <v>802</v>
      </c>
      <c r="I108" t="s">
        <v>22</v>
      </c>
      <c r="J108">
        <v>432</v>
      </c>
      <c r="K108">
        <v>0</v>
      </c>
      <c r="L108">
        <v>18.600000000000001</v>
      </c>
      <c r="M108" t="s">
        <v>829</v>
      </c>
      <c r="N108">
        <v>20</v>
      </c>
      <c r="O108">
        <v>3.8860000000000001</v>
      </c>
      <c r="P108">
        <v>126.387</v>
      </c>
      <c r="Q108" t="s">
        <v>668</v>
      </c>
      <c r="R108" t="s">
        <v>54</v>
      </c>
      <c r="S108" t="s">
        <v>108</v>
      </c>
      <c r="T108">
        <v>2</v>
      </c>
    </row>
    <row r="109" spans="1:20">
      <c r="A109" t="s">
        <v>667</v>
      </c>
      <c r="B109">
        <v>6.5</v>
      </c>
      <c r="C109" s="1">
        <v>42675.693055555559</v>
      </c>
      <c r="D109">
        <v>3</v>
      </c>
      <c r="E109">
        <v>6</v>
      </c>
      <c r="F109" t="s">
        <v>21</v>
      </c>
      <c r="G109">
        <v>1</v>
      </c>
      <c r="H109">
        <v>651</v>
      </c>
      <c r="I109" t="s">
        <v>22</v>
      </c>
      <c r="J109">
        <v>0</v>
      </c>
      <c r="K109">
        <v>3.1440000000000001</v>
      </c>
      <c r="L109">
        <v>22</v>
      </c>
      <c r="M109" t="s">
        <v>23</v>
      </c>
      <c r="N109">
        <v>13</v>
      </c>
      <c r="O109">
        <v>3.8965000000000001</v>
      </c>
      <c r="P109">
        <v>126.86199999999999</v>
      </c>
      <c r="Q109" t="s">
        <v>668</v>
      </c>
      <c r="R109" t="s">
        <v>54</v>
      </c>
      <c r="S109" t="s">
        <v>108</v>
      </c>
      <c r="T109">
        <v>2</v>
      </c>
    </row>
    <row r="110" spans="1:20">
      <c r="A110" t="s">
        <v>347</v>
      </c>
      <c r="B110">
        <v>7.3</v>
      </c>
      <c r="C110" t="s">
        <v>348</v>
      </c>
      <c r="D110">
        <v>4</v>
      </c>
      <c r="E110">
        <v>6</v>
      </c>
      <c r="F110" t="s">
        <v>21</v>
      </c>
      <c r="G110">
        <v>1</v>
      </c>
      <c r="H110">
        <v>952</v>
      </c>
      <c r="I110" t="s">
        <v>22</v>
      </c>
      <c r="J110">
        <v>0</v>
      </c>
      <c r="K110">
        <v>2.629</v>
      </c>
      <c r="L110">
        <v>16</v>
      </c>
      <c r="M110" t="s">
        <v>23</v>
      </c>
      <c r="N110">
        <v>212</v>
      </c>
      <c r="O110">
        <v>-6.4077999999999999</v>
      </c>
      <c r="P110">
        <v>129.16900000000001</v>
      </c>
      <c r="Q110" t="s">
        <v>349</v>
      </c>
      <c r="R110" t="s">
        <v>54</v>
      </c>
      <c r="S110" t="s">
        <v>108</v>
      </c>
      <c r="T110">
        <v>2</v>
      </c>
    </row>
    <row r="111" spans="1:20">
      <c r="A111" t="s">
        <v>1175</v>
      </c>
      <c r="B111">
        <v>7.8</v>
      </c>
      <c r="C111" s="1">
        <v>40333.927083333336</v>
      </c>
      <c r="D111">
        <v>0</v>
      </c>
      <c r="E111">
        <v>7</v>
      </c>
      <c r="G111">
        <v>0</v>
      </c>
      <c r="H111">
        <v>936</v>
      </c>
      <c r="I111" t="s">
        <v>22</v>
      </c>
      <c r="J111">
        <v>352</v>
      </c>
      <c r="K111">
        <v>0</v>
      </c>
      <c r="L111">
        <v>19.2</v>
      </c>
      <c r="M111" t="s">
        <v>829</v>
      </c>
      <c r="N111">
        <v>31</v>
      </c>
      <c r="O111">
        <v>2.383</v>
      </c>
      <c r="P111">
        <v>97.048000000000002</v>
      </c>
      <c r="Q111" t="s">
        <v>197</v>
      </c>
      <c r="R111" t="s">
        <v>54</v>
      </c>
      <c r="S111" t="s">
        <v>108</v>
      </c>
      <c r="T111">
        <v>2</v>
      </c>
    </row>
    <row r="112" spans="1:20">
      <c r="A112" t="s">
        <v>1298</v>
      </c>
      <c r="B112">
        <v>7.4</v>
      </c>
      <c r="C112" t="s">
        <v>1299</v>
      </c>
      <c r="D112">
        <v>5</v>
      </c>
      <c r="E112">
        <v>7</v>
      </c>
      <c r="G112">
        <v>0</v>
      </c>
      <c r="H112">
        <v>914</v>
      </c>
      <c r="I112" t="s">
        <v>22</v>
      </c>
      <c r="J112">
        <v>607</v>
      </c>
      <c r="K112">
        <v>0</v>
      </c>
      <c r="L112">
        <v>16.399999999999999</v>
      </c>
      <c r="M112" t="s">
        <v>829</v>
      </c>
      <c r="N112">
        <v>26</v>
      </c>
      <c r="O112">
        <v>2.7679999999999998</v>
      </c>
      <c r="P112">
        <v>95.963999999999999</v>
      </c>
      <c r="Q112" t="s">
        <v>197</v>
      </c>
      <c r="R112" t="s">
        <v>54</v>
      </c>
      <c r="S112" t="s">
        <v>108</v>
      </c>
      <c r="T112">
        <v>2</v>
      </c>
    </row>
    <row r="113" spans="1:20">
      <c r="A113" t="s">
        <v>1630</v>
      </c>
      <c r="B113">
        <v>7.4</v>
      </c>
      <c r="C113" s="1">
        <v>37298.05972222222</v>
      </c>
      <c r="D113">
        <v>0</v>
      </c>
      <c r="E113">
        <v>7</v>
      </c>
      <c r="G113">
        <v>0</v>
      </c>
      <c r="H113">
        <v>842</v>
      </c>
      <c r="I113" t="s">
        <v>22</v>
      </c>
      <c r="J113">
        <v>418</v>
      </c>
      <c r="K113">
        <v>0</v>
      </c>
      <c r="L113">
        <v>0</v>
      </c>
      <c r="M113" t="s">
        <v>36</v>
      </c>
      <c r="N113">
        <v>30</v>
      </c>
      <c r="O113">
        <v>2.8239999999999998</v>
      </c>
      <c r="P113">
        <v>96.084999999999994</v>
      </c>
      <c r="Q113" t="s">
        <v>197</v>
      </c>
      <c r="R113" t="s">
        <v>54</v>
      </c>
      <c r="S113" t="s">
        <v>108</v>
      </c>
      <c r="T113">
        <v>2</v>
      </c>
    </row>
    <row r="114" spans="1:20">
      <c r="A114" t="s">
        <v>1487</v>
      </c>
      <c r="B114">
        <v>6.8</v>
      </c>
      <c r="C114" t="s">
        <v>1488</v>
      </c>
      <c r="D114">
        <v>0</v>
      </c>
      <c r="E114">
        <v>6</v>
      </c>
      <c r="G114">
        <v>0</v>
      </c>
      <c r="H114">
        <v>711</v>
      </c>
      <c r="I114" t="s">
        <v>22</v>
      </c>
      <c r="J114">
        <v>444</v>
      </c>
      <c r="K114">
        <v>0</v>
      </c>
      <c r="L114">
        <v>33.799999999999997</v>
      </c>
      <c r="M114" t="s">
        <v>36</v>
      </c>
      <c r="N114">
        <v>36</v>
      </c>
      <c r="O114">
        <v>2.9079999999999999</v>
      </c>
      <c r="P114">
        <v>95.591999999999999</v>
      </c>
      <c r="Q114" t="s">
        <v>197</v>
      </c>
      <c r="R114" t="s">
        <v>54</v>
      </c>
      <c r="S114" t="s">
        <v>108</v>
      </c>
      <c r="T114">
        <v>2</v>
      </c>
    </row>
    <row r="115" spans="1:20">
      <c r="A115" t="s">
        <v>1451</v>
      </c>
      <c r="B115">
        <v>6.5</v>
      </c>
      <c r="C115" t="s">
        <v>1452</v>
      </c>
      <c r="D115">
        <v>3</v>
      </c>
      <c r="E115">
        <v>6</v>
      </c>
      <c r="G115">
        <v>0</v>
      </c>
      <c r="H115">
        <v>651</v>
      </c>
      <c r="I115" t="s">
        <v>22</v>
      </c>
      <c r="J115">
        <v>358</v>
      </c>
      <c r="K115">
        <v>0</v>
      </c>
      <c r="L115">
        <v>20.7</v>
      </c>
      <c r="M115" t="s">
        <v>36</v>
      </c>
      <c r="N115">
        <v>21</v>
      </c>
      <c r="O115">
        <v>2.1640000000000001</v>
      </c>
      <c r="P115">
        <v>96.786000000000001</v>
      </c>
      <c r="Q115" t="s">
        <v>197</v>
      </c>
      <c r="R115" t="s">
        <v>54</v>
      </c>
      <c r="S115" t="s">
        <v>108</v>
      </c>
      <c r="T115">
        <v>2</v>
      </c>
    </row>
    <row r="116" spans="1:20">
      <c r="A116" t="s">
        <v>195</v>
      </c>
      <c r="B116">
        <v>6.7</v>
      </c>
      <c r="C116" t="s">
        <v>196</v>
      </c>
      <c r="D116">
        <v>8</v>
      </c>
      <c r="E116">
        <v>4</v>
      </c>
      <c r="F116" t="s">
        <v>21</v>
      </c>
      <c r="G116">
        <v>0</v>
      </c>
      <c r="H116">
        <v>698</v>
      </c>
      <c r="I116" t="s">
        <v>22</v>
      </c>
      <c r="J116">
        <v>0</v>
      </c>
      <c r="K116">
        <v>1.4870000000000001</v>
      </c>
      <c r="L116">
        <v>37</v>
      </c>
      <c r="M116" t="s">
        <v>23</v>
      </c>
      <c r="N116">
        <v>11</v>
      </c>
      <c r="O116">
        <v>0.16839999999999999</v>
      </c>
      <c r="P116">
        <v>96.647499999999994</v>
      </c>
      <c r="Q116" t="s">
        <v>197</v>
      </c>
      <c r="R116" t="s">
        <v>54</v>
      </c>
      <c r="S116" t="s">
        <v>108</v>
      </c>
      <c r="T116">
        <v>2</v>
      </c>
    </row>
    <row r="117" spans="1:20">
      <c r="A117" t="s">
        <v>1412</v>
      </c>
      <c r="B117">
        <v>7.7</v>
      </c>
      <c r="C117" t="s">
        <v>1413</v>
      </c>
      <c r="D117">
        <v>7</v>
      </c>
      <c r="E117">
        <v>5</v>
      </c>
      <c r="G117">
        <v>0</v>
      </c>
      <c r="H117">
        <v>947</v>
      </c>
      <c r="I117" t="s">
        <v>22</v>
      </c>
      <c r="J117">
        <v>357</v>
      </c>
      <c r="K117">
        <v>0</v>
      </c>
      <c r="L117">
        <v>36.799999999999997</v>
      </c>
      <c r="M117" t="s">
        <v>829</v>
      </c>
      <c r="N117">
        <v>20</v>
      </c>
      <c r="O117">
        <v>-9.2840000000000007</v>
      </c>
      <c r="P117">
        <v>107.419</v>
      </c>
      <c r="Q117" t="s">
        <v>1414</v>
      </c>
      <c r="R117" t="s">
        <v>54</v>
      </c>
      <c r="S117" t="s">
        <v>108</v>
      </c>
      <c r="T117">
        <v>2</v>
      </c>
    </row>
    <row r="118" spans="1:20">
      <c r="A118" t="s">
        <v>1482</v>
      </c>
      <c r="B118">
        <v>8.6</v>
      </c>
      <c r="C118" t="s">
        <v>1483</v>
      </c>
      <c r="D118">
        <v>0</v>
      </c>
      <c r="E118">
        <v>8</v>
      </c>
      <c r="G118">
        <v>0</v>
      </c>
      <c r="H118">
        <v>1138</v>
      </c>
      <c r="I118" t="s">
        <v>1039</v>
      </c>
      <c r="J118">
        <v>510</v>
      </c>
      <c r="K118">
        <v>0</v>
      </c>
      <c r="L118">
        <v>22.1</v>
      </c>
      <c r="M118" t="s">
        <v>23</v>
      </c>
      <c r="N118">
        <v>30</v>
      </c>
      <c r="O118">
        <v>2.085</v>
      </c>
      <c r="P118">
        <v>97.108000000000004</v>
      </c>
      <c r="Q118" t="s">
        <v>1422</v>
      </c>
      <c r="R118" t="s">
        <v>54</v>
      </c>
      <c r="S118" t="s">
        <v>108</v>
      </c>
      <c r="T118">
        <v>2</v>
      </c>
    </row>
    <row r="119" spans="1:20">
      <c r="A119" t="s">
        <v>1475</v>
      </c>
      <c r="B119">
        <v>6.9</v>
      </c>
      <c r="C119" t="s">
        <v>1476</v>
      </c>
      <c r="D119">
        <v>5</v>
      </c>
      <c r="E119">
        <v>7</v>
      </c>
      <c r="G119">
        <v>0</v>
      </c>
      <c r="H119">
        <v>740</v>
      </c>
      <c r="I119" t="s">
        <v>22</v>
      </c>
      <c r="J119">
        <v>635</v>
      </c>
      <c r="K119">
        <v>0</v>
      </c>
      <c r="L119">
        <v>26</v>
      </c>
      <c r="M119" t="s">
        <v>829</v>
      </c>
      <c r="N119">
        <v>30</v>
      </c>
      <c r="O119">
        <v>1.9890000000000001</v>
      </c>
      <c r="P119">
        <v>97.040999999999997</v>
      </c>
      <c r="Q119" t="s">
        <v>1422</v>
      </c>
      <c r="R119" t="s">
        <v>54</v>
      </c>
      <c r="S119" t="s">
        <v>108</v>
      </c>
      <c r="T119">
        <v>2</v>
      </c>
    </row>
    <row r="120" spans="1:20">
      <c r="A120" t="s">
        <v>1467</v>
      </c>
      <c r="B120">
        <v>6.7</v>
      </c>
      <c r="C120" s="1">
        <v>38479.077777777777</v>
      </c>
      <c r="D120">
        <v>3</v>
      </c>
      <c r="E120">
        <v>6</v>
      </c>
      <c r="G120">
        <v>0</v>
      </c>
      <c r="H120">
        <v>693</v>
      </c>
      <c r="I120" t="s">
        <v>22</v>
      </c>
      <c r="J120">
        <v>398</v>
      </c>
      <c r="K120">
        <v>0</v>
      </c>
      <c r="L120">
        <v>22.3</v>
      </c>
      <c r="M120" t="s">
        <v>829</v>
      </c>
      <c r="N120">
        <v>21</v>
      </c>
      <c r="O120">
        <v>1.819</v>
      </c>
      <c r="P120">
        <v>97.081999999999994</v>
      </c>
      <c r="Q120" t="s">
        <v>1422</v>
      </c>
      <c r="R120" t="s">
        <v>54</v>
      </c>
      <c r="S120" t="s">
        <v>108</v>
      </c>
      <c r="T120">
        <v>2</v>
      </c>
    </row>
    <row r="121" spans="1:20">
      <c r="A121" t="s">
        <v>1420</v>
      </c>
      <c r="B121">
        <v>6.8</v>
      </c>
      <c r="C121" t="s">
        <v>1421</v>
      </c>
      <c r="D121">
        <v>4</v>
      </c>
      <c r="E121">
        <v>5</v>
      </c>
      <c r="G121">
        <v>0</v>
      </c>
      <c r="H121">
        <v>719</v>
      </c>
      <c r="I121" t="s">
        <v>22</v>
      </c>
      <c r="J121">
        <v>701</v>
      </c>
      <c r="K121">
        <v>0</v>
      </c>
      <c r="L121">
        <v>16.3</v>
      </c>
      <c r="M121" t="s">
        <v>36</v>
      </c>
      <c r="N121">
        <v>12</v>
      </c>
      <c r="O121">
        <v>9.2999999999999999E-2</v>
      </c>
      <c r="P121">
        <v>97.05</v>
      </c>
      <c r="Q121" t="s">
        <v>1422</v>
      </c>
      <c r="R121" t="s">
        <v>54</v>
      </c>
      <c r="S121" t="s">
        <v>108</v>
      </c>
      <c r="T121">
        <v>2</v>
      </c>
    </row>
    <row r="122" spans="1:20">
      <c r="A122" t="s">
        <v>707</v>
      </c>
      <c r="B122">
        <v>6.6</v>
      </c>
      <c r="C122" t="s">
        <v>708</v>
      </c>
      <c r="D122">
        <v>7</v>
      </c>
      <c r="E122">
        <v>7</v>
      </c>
      <c r="F122" t="s">
        <v>21</v>
      </c>
      <c r="G122">
        <v>0</v>
      </c>
      <c r="H122">
        <v>671</v>
      </c>
      <c r="I122" t="s">
        <v>22</v>
      </c>
      <c r="J122">
        <v>0</v>
      </c>
      <c r="K122">
        <v>2.4860000000000002</v>
      </c>
      <c r="L122">
        <v>13</v>
      </c>
      <c r="M122" t="s">
        <v>23</v>
      </c>
      <c r="N122">
        <v>18</v>
      </c>
      <c r="O122">
        <v>-0.62119999999999997</v>
      </c>
      <c r="P122">
        <v>131.262</v>
      </c>
      <c r="Q122" t="s">
        <v>709</v>
      </c>
      <c r="R122" t="s">
        <v>54</v>
      </c>
      <c r="S122" t="s">
        <v>108</v>
      </c>
      <c r="T122">
        <v>2</v>
      </c>
    </row>
    <row r="123" spans="1:20">
      <c r="A123" t="s">
        <v>1347</v>
      </c>
      <c r="B123">
        <v>7.9</v>
      </c>
      <c r="C123" s="1">
        <v>39425.992361111108</v>
      </c>
      <c r="D123">
        <v>8</v>
      </c>
      <c r="E123">
        <v>7</v>
      </c>
      <c r="G123">
        <v>0</v>
      </c>
      <c r="H123">
        <v>1133</v>
      </c>
      <c r="I123" t="s">
        <v>22</v>
      </c>
      <c r="J123">
        <v>446</v>
      </c>
      <c r="K123">
        <v>0</v>
      </c>
      <c r="L123">
        <v>29.1</v>
      </c>
      <c r="M123" t="s">
        <v>829</v>
      </c>
      <c r="N123">
        <v>35</v>
      </c>
      <c r="O123">
        <v>-2.625</v>
      </c>
      <c r="P123">
        <v>100.84099999999999</v>
      </c>
      <c r="Q123" t="s">
        <v>626</v>
      </c>
      <c r="R123" t="s">
        <v>54</v>
      </c>
      <c r="S123" t="s">
        <v>108</v>
      </c>
      <c r="T123">
        <v>2</v>
      </c>
    </row>
    <row r="124" spans="1:20">
      <c r="A124" t="s">
        <v>1348</v>
      </c>
      <c r="B124">
        <v>7.8</v>
      </c>
      <c r="C124" s="1">
        <v>39425.992361111108</v>
      </c>
      <c r="D124">
        <v>7</v>
      </c>
      <c r="E124">
        <v>8</v>
      </c>
      <c r="G124">
        <v>0</v>
      </c>
      <c r="H124">
        <v>1152</v>
      </c>
      <c r="I124" t="s">
        <v>1276</v>
      </c>
      <c r="J124">
        <v>0</v>
      </c>
      <c r="K124">
        <v>0</v>
      </c>
      <c r="L124">
        <v>0</v>
      </c>
      <c r="M124" t="s">
        <v>23</v>
      </c>
      <c r="N124">
        <v>40.5</v>
      </c>
      <c r="O124">
        <v>-2.52</v>
      </c>
      <c r="P124">
        <v>100.139</v>
      </c>
      <c r="Q124" t="s">
        <v>626</v>
      </c>
      <c r="R124" t="s">
        <v>54</v>
      </c>
      <c r="S124" t="s">
        <v>108</v>
      </c>
      <c r="T124">
        <v>2</v>
      </c>
    </row>
    <row r="125" spans="1:20">
      <c r="A125" t="s">
        <v>1294</v>
      </c>
      <c r="B125">
        <v>7.2</v>
      </c>
      <c r="C125" t="s">
        <v>1295</v>
      </c>
      <c r="D125">
        <v>4</v>
      </c>
      <c r="E125">
        <v>7</v>
      </c>
      <c r="G125">
        <v>0</v>
      </c>
      <c r="H125">
        <v>832</v>
      </c>
      <c r="I125" t="s">
        <v>22</v>
      </c>
      <c r="J125">
        <v>505</v>
      </c>
      <c r="K125">
        <v>0</v>
      </c>
      <c r="L125">
        <v>18.399999999999999</v>
      </c>
      <c r="M125" t="s">
        <v>829</v>
      </c>
      <c r="N125">
        <v>25</v>
      </c>
      <c r="O125">
        <v>-2.4860000000000002</v>
      </c>
      <c r="P125">
        <v>99.971999999999994</v>
      </c>
      <c r="Q125" t="s">
        <v>626</v>
      </c>
      <c r="R125" t="s">
        <v>54</v>
      </c>
      <c r="S125" t="s">
        <v>108</v>
      </c>
      <c r="T125">
        <v>2</v>
      </c>
    </row>
    <row r="126" spans="1:20">
      <c r="A126" t="s">
        <v>625</v>
      </c>
      <c r="B126">
        <v>6.6</v>
      </c>
      <c r="C126" s="1">
        <v>42375.955555555556</v>
      </c>
      <c r="D126">
        <v>4</v>
      </c>
      <c r="E126">
        <v>6</v>
      </c>
      <c r="F126" t="s">
        <v>21</v>
      </c>
      <c r="G126">
        <v>0</v>
      </c>
      <c r="H126">
        <v>671</v>
      </c>
      <c r="I126" t="s">
        <v>22</v>
      </c>
      <c r="J126">
        <v>0</v>
      </c>
      <c r="K126">
        <v>2.4350000000000001</v>
      </c>
      <c r="L126">
        <v>16</v>
      </c>
      <c r="M126" t="s">
        <v>23</v>
      </c>
      <c r="N126">
        <v>50</v>
      </c>
      <c r="O126">
        <v>-2.0966999999999998</v>
      </c>
      <c r="P126">
        <v>100.66500000000001</v>
      </c>
      <c r="Q126" t="s">
        <v>626</v>
      </c>
      <c r="R126" t="s">
        <v>54</v>
      </c>
      <c r="S126" t="s">
        <v>108</v>
      </c>
      <c r="T126">
        <v>2</v>
      </c>
    </row>
    <row r="127" spans="1:20">
      <c r="A127" t="s">
        <v>1221</v>
      </c>
      <c r="B127">
        <v>6.6</v>
      </c>
      <c r="C127" s="1">
        <v>39823.077777777777</v>
      </c>
      <c r="D127">
        <v>7</v>
      </c>
      <c r="E127">
        <v>7</v>
      </c>
      <c r="G127">
        <v>0</v>
      </c>
      <c r="H127">
        <v>787</v>
      </c>
      <c r="I127" t="s">
        <v>22</v>
      </c>
      <c r="J127">
        <v>417</v>
      </c>
      <c r="K127">
        <v>0</v>
      </c>
      <c r="L127">
        <v>30.1</v>
      </c>
      <c r="M127" t="s">
        <v>829</v>
      </c>
      <c r="N127">
        <v>9</v>
      </c>
      <c r="O127">
        <v>-2.4820000000000002</v>
      </c>
      <c r="P127">
        <v>101.524</v>
      </c>
      <c r="Q127" t="s">
        <v>626</v>
      </c>
      <c r="R127" t="s">
        <v>54</v>
      </c>
      <c r="S127" t="s">
        <v>108</v>
      </c>
      <c r="T127">
        <v>2</v>
      </c>
    </row>
    <row r="128" spans="1:20">
      <c r="A128" t="s">
        <v>1296</v>
      </c>
      <c r="B128">
        <v>6.5</v>
      </c>
      <c r="C128" t="s">
        <v>1297</v>
      </c>
      <c r="D128">
        <v>4</v>
      </c>
      <c r="E128">
        <v>6</v>
      </c>
      <c r="G128">
        <v>0</v>
      </c>
      <c r="H128">
        <v>654</v>
      </c>
      <c r="I128" t="s">
        <v>22</v>
      </c>
      <c r="J128">
        <v>429</v>
      </c>
      <c r="K128">
        <v>0</v>
      </c>
      <c r="L128">
        <v>28.3</v>
      </c>
      <c r="M128" t="s">
        <v>829</v>
      </c>
      <c r="N128">
        <v>22</v>
      </c>
      <c r="O128">
        <v>-2.4049999999999998</v>
      </c>
      <c r="P128">
        <v>99.930999999999997</v>
      </c>
      <c r="Q128" t="s">
        <v>626</v>
      </c>
      <c r="R128" t="s">
        <v>54</v>
      </c>
      <c r="S128" t="s">
        <v>108</v>
      </c>
      <c r="T128">
        <v>2</v>
      </c>
    </row>
    <row r="129" spans="1:20">
      <c r="A129" t="s">
        <v>1384</v>
      </c>
      <c r="B129">
        <v>7.5</v>
      </c>
      <c r="C129" t="s">
        <v>1385</v>
      </c>
      <c r="D129">
        <v>6</v>
      </c>
      <c r="E129">
        <v>5</v>
      </c>
      <c r="G129">
        <v>0</v>
      </c>
      <c r="H129">
        <v>874</v>
      </c>
      <c r="I129" t="s">
        <v>22</v>
      </c>
      <c r="J129">
        <v>570</v>
      </c>
      <c r="K129">
        <v>0</v>
      </c>
      <c r="L129">
        <v>21.6</v>
      </c>
      <c r="M129" t="s">
        <v>829</v>
      </c>
      <c r="N129">
        <v>22</v>
      </c>
      <c r="O129">
        <v>1.0649999999999999</v>
      </c>
      <c r="P129">
        <v>126.282</v>
      </c>
      <c r="Q129" t="s">
        <v>794</v>
      </c>
      <c r="R129" t="s">
        <v>54</v>
      </c>
      <c r="S129" t="s">
        <v>108</v>
      </c>
      <c r="T129">
        <v>2</v>
      </c>
    </row>
    <row r="130" spans="1:20">
      <c r="A130" t="s">
        <v>800</v>
      </c>
      <c r="B130">
        <v>7.1</v>
      </c>
      <c r="C130" t="s">
        <v>801</v>
      </c>
      <c r="D130">
        <v>4</v>
      </c>
      <c r="E130">
        <v>6</v>
      </c>
      <c r="F130" t="s">
        <v>21</v>
      </c>
      <c r="G130">
        <v>1</v>
      </c>
      <c r="H130">
        <v>779</v>
      </c>
      <c r="I130" t="s">
        <v>22</v>
      </c>
      <c r="J130">
        <v>0</v>
      </c>
      <c r="K130">
        <v>1.397</v>
      </c>
      <c r="L130">
        <v>18</v>
      </c>
      <c r="M130" t="s">
        <v>23</v>
      </c>
      <c r="N130">
        <v>45</v>
      </c>
      <c r="O130">
        <v>1.8929</v>
      </c>
      <c r="P130">
        <v>126.52200000000001</v>
      </c>
      <c r="Q130" t="s">
        <v>794</v>
      </c>
      <c r="R130" t="s">
        <v>54</v>
      </c>
      <c r="S130" t="s">
        <v>108</v>
      </c>
      <c r="T130">
        <v>2</v>
      </c>
    </row>
    <row r="131" spans="1:20">
      <c r="A131" t="s">
        <v>1716</v>
      </c>
      <c r="B131">
        <v>7.1</v>
      </c>
      <c r="C131" t="s">
        <v>1717</v>
      </c>
      <c r="D131">
        <v>0</v>
      </c>
      <c r="E131">
        <v>7</v>
      </c>
      <c r="G131">
        <v>0</v>
      </c>
      <c r="H131">
        <v>776</v>
      </c>
      <c r="I131" t="s">
        <v>22</v>
      </c>
      <c r="J131">
        <v>426</v>
      </c>
      <c r="K131">
        <v>0</v>
      </c>
      <c r="L131">
        <v>0</v>
      </c>
      <c r="M131" t="s">
        <v>829</v>
      </c>
      <c r="N131">
        <v>35</v>
      </c>
      <c r="O131">
        <v>1.2709999999999999</v>
      </c>
      <c r="P131">
        <v>126.249</v>
      </c>
      <c r="Q131" t="s">
        <v>794</v>
      </c>
      <c r="R131" t="s">
        <v>54</v>
      </c>
      <c r="S131" t="s">
        <v>108</v>
      </c>
      <c r="T131">
        <v>2</v>
      </c>
    </row>
    <row r="132" spans="1:20">
      <c r="A132" t="s">
        <v>792</v>
      </c>
      <c r="B132">
        <v>6.8</v>
      </c>
      <c r="C132" t="s">
        <v>793</v>
      </c>
      <c r="D132">
        <v>6</v>
      </c>
      <c r="E132">
        <v>5</v>
      </c>
      <c r="F132" t="s">
        <v>21</v>
      </c>
      <c r="G132">
        <v>1</v>
      </c>
      <c r="H132">
        <v>713</v>
      </c>
      <c r="I132" t="s">
        <v>22</v>
      </c>
      <c r="J132">
        <v>0</v>
      </c>
      <c r="K132">
        <v>1.421</v>
      </c>
      <c r="L132">
        <v>19</v>
      </c>
      <c r="M132" t="s">
        <v>23</v>
      </c>
      <c r="N132">
        <v>39</v>
      </c>
      <c r="O132">
        <v>1.9603999999999999</v>
      </c>
      <c r="P132">
        <v>126.575</v>
      </c>
      <c r="Q132" t="s">
        <v>794</v>
      </c>
      <c r="R132" t="s">
        <v>54</v>
      </c>
      <c r="S132" t="s">
        <v>108</v>
      </c>
      <c r="T132">
        <v>2</v>
      </c>
    </row>
    <row r="133" spans="1:20">
      <c r="A133" t="s">
        <v>1606</v>
      </c>
      <c r="B133">
        <v>7</v>
      </c>
      <c r="C133" t="s">
        <v>1607</v>
      </c>
      <c r="D133">
        <v>0</v>
      </c>
      <c r="E133">
        <v>6</v>
      </c>
      <c r="G133">
        <v>0</v>
      </c>
      <c r="H133">
        <v>754</v>
      </c>
      <c r="I133" t="s">
        <v>22</v>
      </c>
      <c r="J133">
        <v>473</v>
      </c>
      <c r="K133">
        <v>0</v>
      </c>
      <c r="L133">
        <v>30.3</v>
      </c>
      <c r="M133" t="s">
        <v>829</v>
      </c>
      <c r="N133">
        <v>31</v>
      </c>
      <c r="O133">
        <v>2.3540000000000001</v>
      </c>
      <c r="P133">
        <v>128.85499999999999</v>
      </c>
      <c r="Q133" t="s">
        <v>797</v>
      </c>
      <c r="R133" t="s">
        <v>54</v>
      </c>
      <c r="S133" t="s">
        <v>108</v>
      </c>
      <c r="T133">
        <v>2</v>
      </c>
    </row>
    <row r="134" spans="1:20">
      <c r="A134" t="s">
        <v>1362</v>
      </c>
      <c r="B134">
        <v>6.9</v>
      </c>
      <c r="C134" t="s">
        <v>1363</v>
      </c>
      <c r="D134">
        <v>3</v>
      </c>
      <c r="E134">
        <v>5</v>
      </c>
      <c r="G134">
        <v>0</v>
      </c>
      <c r="H134">
        <v>734</v>
      </c>
      <c r="I134" t="s">
        <v>22</v>
      </c>
      <c r="J134">
        <v>374</v>
      </c>
      <c r="K134">
        <v>0</v>
      </c>
      <c r="L134">
        <v>24.1</v>
      </c>
      <c r="M134" t="s">
        <v>36</v>
      </c>
      <c r="N134">
        <v>25</v>
      </c>
      <c r="O134">
        <v>2.8719999999999999</v>
      </c>
      <c r="P134">
        <v>127.464</v>
      </c>
      <c r="Q134" t="s">
        <v>797</v>
      </c>
      <c r="R134" t="s">
        <v>54</v>
      </c>
      <c r="S134" t="s">
        <v>108</v>
      </c>
      <c r="T134">
        <v>2</v>
      </c>
    </row>
    <row r="135" spans="1:20">
      <c r="A135" t="s">
        <v>1013</v>
      </c>
      <c r="B135">
        <v>6.6</v>
      </c>
      <c r="C135" t="s">
        <v>1014</v>
      </c>
      <c r="D135">
        <v>4</v>
      </c>
      <c r="E135">
        <v>5</v>
      </c>
      <c r="G135">
        <v>0</v>
      </c>
      <c r="H135">
        <v>678</v>
      </c>
      <c r="I135" t="s">
        <v>22</v>
      </c>
      <c r="J135">
        <v>497</v>
      </c>
      <c r="K135">
        <v>0</v>
      </c>
      <c r="L135">
        <v>14.6</v>
      </c>
      <c r="M135" t="s">
        <v>23</v>
      </c>
      <c r="N135">
        <v>91.1</v>
      </c>
      <c r="O135">
        <v>2.19</v>
      </c>
      <c r="P135">
        <v>126.837</v>
      </c>
      <c r="Q135" t="s">
        <v>797</v>
      </c>
      <c r="R135" t="s">
        <v>54</v>
      </c>
      <c r="S135" t="s">
        <v>108</v>
      </c>
      <c r="T135">
        <v>2</v>
      </c>
    </row>
    <row r="136" spans="1:20">
      <c r="A136" t="s">
        <v>1265</v>
      </c>
      <c r="B136">
        <v>6.6</v>
      </c>
      <c r="C136" s="1">
        <v>39761</v>
      </c>
      <c r="D136">
        <v>0</v>
      </c>
      <c r="E136">
        <v>6</v>
      </c>
      <c r="G136">
        <v>0</v>
      </c>
      <c r="H136">
        <v>670</v>
      </c>
      <c r="I136" t="s">
        <v>22</v>
      </c>
      <c r="J136">
        <v>463</v>
      </c>
      <c r="K136">
        <v>0</v>
      </c>
      <c r="L136">
        <v>14.1</v>
      </c>
      <c r="M136" t="s">
        <v>829</v>
      </c>
      <c r="N136">
        <v>96</v>
      </c>
      <c r="O136">
        <v>1.885</v>
      </c>
      <c r="P136">
        <v>127.363</v>
      </c>
      <c r="Q136" t="s">
        <v>797</v>
      </c>
      <c r="R136" t="s">
        <v>54</v>
      </c>
      <c r="S136" t="s">
        <v>108</v>
      </c>
      <c r="T136">
        <v>2</v>
      </c>
    </row>
    <row r="137" spans="1:20">
      <c r="A137" t="s">
        <v>795</v>
      </c>
      <c r="B137">
        <v>6.5</v>
      </c>
      <c r="C137" t="s">
        <v>796</v>
      </c>
      <c r="D137">
        <v>5</v>
      </c>
      <c r="E137">
        <v>5</v>
      </c>
      <c r="F137" t="s">
        <v>21</v>
      </c>
      <c r="G137">
        <v>1</v>
      </c>
      <c r="H137">
        <v>652</v>
      </c>
      <c r="I137" t="s">
        <v>22</v>
      </c>
      <c r="J137">
        <v>0</v>
      </c>
      <c r="K137">
        <v>1.5489999999999999</v>
      </c>
      <c r="L137">
        <v>9</v>
      </c>
      <c r="M137" t="s">
        <v>23</v>
      </c>
      <c r="N137">
        <v>35</v>
      </c>
      <c r="O137">
        <v>2.2999000000000001</v>
      </c>
      <c r="P137">
        <v>127.056</v>
      </c>
      <c r="Q137" t="s">
        <v>797</v>
      </c>
      <c r="R137" t="s">
        <v>54</v>
      </c>
      <c r="S137" t="s">
        <v>108</v>
      </c>
      <c r="T137">
        <v>2</v>
      </c>
    </row>
    <row r="138" spans="1:20">
      <c r="A138" t="s">
        <v>1215</v>
      </c>
      <c r="B138">
        <v>6.9</v>
      </c>
      <c r="C138" t="s">
        <v>1216</v>
      </c>
      <c r="D138">
        <v>4</v>
      </c>
      <c r="E138">
        <v>6</v>
      </c>
      <c r="G138">
        <v>0</v>
      </c>
      <c r="H138">
        <v>972</v>
      </c>
      <c r="I138" t="s">
        <v>22</v>
      </c>
      <c r="J138">
        <v>397</v>
      </c>
      <c r="K138">
        <v>0</v>
      </c>
      <c r="L138">
        <v>11</v>
      </c>
      <c r="M138" t="s">
        <v>829</v>
      </c>
      <c r="N138">
        <v>130</v>
      </c>
      <c r="O138">
        <v>-6.133</v>
      </c>
      <c r="P138">
        <v>130.38499999999999</v>
      </c>
      <c r="Q138" t="s">
        <v>1002</v>
      </c>
      <c r="R138" t="s">
        <v>54</v>
      </c>
      <c r="S138" t="s">
        <v>108</v>
      </c>
      <c r="T138">
        <v>2</v>
      </c>
    </row>
    <row r="139" spans="1:20">
      <c r="A139" t="s">
        <v>1001</v>
      </c>
      <c r="B139">
        <v>6.6</v>
      </c>
      <c r="C139" s="1">
        <v>41253.021527777775</v>
      </c>
      <c r="D139">
        <v>3</v>
      </c>
      <c r="E139">
        <v>5</v>
      </c>
      <c r="G139">
        <v>0</v>
      </c>
      <c r="H139">
        <v>675</v>
      </c>
      <c r="I139" t="s">
        <v>22</v>
      </c>
      <c r="J139">
        <v>291</v>
      </c>
      <c r="K139">
        <v>0</v>
      </c>
      <c r="L139">
        <v>17.7</v>
      </c>
      <c r="M139" t="s">
        <v>23</v>
      </c>
      <c r="N139">
        <v>13</v>
      </c>
      <c r="O139">
        <v>-4.8920000000000003</v>
      </c>
      <c r="P139">
        <v>134.03</v>
      </c>
      <c r="Q139" t="s">
        <v>1002</v>
      </c>
      <c r="R139" t="s">
        <v>54</v>
      </c>
      <c r="S139" t="s">
        <v>108</v>
      </c>
      <c r="T139">
        <v>2</v>
      </c>
    </row>
    <row r="140" spans="1:20">
      <c r="A140" t="s">
        <v>1501</v>
      </c>
      <c r="B140">
        <v>7.2</v>
      </c>
      <c r="C140" t="s">
        <v>1502</v>
      </c>
      <c r="D140">
        <v>5</v>
      </c>
      <c r="E140">
        <v>6</v>
      </c>
      <c r="G140">
        <v>0</v>
      </c>
      <c r="H140">
        <v>802</v>
      </c>
      <c r="I140" t="s">
        <v>22</v>
      </c>
      <c r="J140">
        <v>385</v>
      </c>
      <c r="K140">
        <v>0</v>
      </c>
      <c r="L140">
        <v>27.9</v>
      </c>
      <c r="M140" t="s">
        <v>829</v>
      </c>
      <c r="N140">
        <v>39.200000000000003</v>
      </c>
      <c r="O140">
        <v>6.91</v>
      </c>
      <c r="P140">
        <v>92.957999999999998</v>
      </c>
      <c r="Q140" t="s">
        <v>1503</v>
      </c>
      <c r="R140" t="s">
        <v>54</v>
      </c>
      <c r="S140" t="s">
        <v>108</v>
      </c>
      <c r="T140">
        <v>2</v>
      </c>
    </row>
    <row r="141" spans="1:20">
      <c r="A141" t="s">
        <v>653</v>
      </c>
      <c r="B141">
        <v>7.8</v>
      </c>
      <c r="C141" s="1">
        <v>42403.53402777778</v>
      </c>
      <c r="D141">
        <v>4</v>
      </c>
      <c r="E141">
        <v>3</v>
      </c>
      <c r="F141" t="s">
        <v>21</v>
      </c>
      <c r="G141">
        <v>0</v>
      </c>
      <c r="H141">
        <v>948</v>
      </c>
      <c r="I141" t="s">
        <v>22</v>
      </c>
      <c r="J141">
        <v>0</v>
      </c>
      <c r="K141">
        <v>7.0090000000000003</v>
      </c>
      <c r="L141">
        <v>20</v>
      </c>
      <c r="M141" t="s">
        <v>23</v>
      </c>
      <c r="N141">
        <v>24</v>
      </c>
      <c r="O141">
        <v>-4.9520999999999997</v>
      </c>
      <c r="P141">
        <v>94.329899999999995</v>
      </c>
      <c r="Q141" t="s">
        <v>654</v>
      </c>
      <c r="R141" t="s">
        <v>54</v>
      </c>
      <c r="S141" t="s">
        <v>108</v>
      </c>
      <c r="T141">
        <v>2</v>
      </c>
    </row>
    <row r="142" spans="1:20">
      <c r="A142" t="s">
        <v>1133</v>
      </c>
      <c r="B142">
        <v>7.8</v>
      </c>
      <c r="C142" t="s">
        <v>1134</v>
      </c>
      <c r="D142">
        <v>4</v>
      </c>
      <c r="E142">
        <v>7</v>
      </c>
      <c r="G142">
        <v>0</v>
      </c>
      <c r="H142">
        <v>946</v>
      </c>
      <c r="I142" t="s">
        <v>22</v>
      </c>
      <c r="J142">
        <v>379</v>
      </c>
      <c r="K142">
        <v>0</v>
      </c>
      <c r="L142">
        <v>23</v>
      </c>
      <c r="M142" t="s">
        <v>829</v>
      </c>
      <c r="N142">
        <v>20.100000000000001</v>
      </c>
      <c r="O142">
        <v>-3.4870000000000001</v>
      </c>
      <c r="P142">
        <v>100.08199999999999</v>
      </c>
      <c r="Q142" t="s">
        <v>626</v>
      </c>
      <c r="R142" t="s">
        <v>54</v>
      </c>
      <c r="S142" t="s">
        <v>108</v>
      </c>
      <c r="T142">
        <v>2</v>
      </c>
    </row>
    <row r="143" spans="1:20">
      <c r="A143" t="s">
        <v>496</v>
      </c>
      <c r="B143">
        <v>7.3</v>
      </c>
      <c r="C143" s="1">
        <v>43080.762499999997</v>
      </c>
      <c r="D143">
        <v>8</v>
      </c>
      <c r="E143">
        <v>9</v>
      </c>
      <c r="F143" t="s">
        <v>103</v>
      </c>
      <c r="G143">
        <v>0</v>
      </c>
      <c r="H143">
        <v>2790</v>
      </c>
      <c r="I143" t="s">
        <v>22</v>
      </c>
      <c r="J143">
        <v>0</v>
      </c>
      <c r="K143">
        <v>0.28399999999999997</v>
      </c>
      <c r="L143">
        <v>33</v>
      </c>
      <c r="M143" t="s">
        <v>23</v>
      </c>
      <c r="N143">
        <v>19</v>
      </c>
      <c r="O143">
        <v>34.910899999999998</v>
      </c>
      <c r="P143">
        <v>45.959200000000003</v>
      </c>
      <c r="Q143" t="s">
        <v>497</v>
      </c>
      <c r="R143" t="s">
        <v>54</v>
      </c>
      <c r="S143" t="s">
        <v>498</v>
      </c>
      <c r="T143">
        <v>2</v>
      </c>
    </row>
    <row r="144" spans="1:20">
      <c r="A144" t="s">
        <v>1643</v>
      </c>
      <c r="B144">
        <v>6.5</v>
      </c>
      <c r="C144" t="s">
        <v>1644</v>
      </c>
      <c r="D144">
        <v>0</v>
      </c>
      <c r="E144">
        <v>8</v>
      </c>
      <c r="G144">
        <v>0</v>
      </c>
      <c r="H144">
        <v>650</v>
      </c>
      <c r="I144" t="s">
        <v>22</v>
      </c>
      <c r="J144">
        <v>555</v>
      </c>
      <c r="K144">
        <v>0</v>
      </c>
      <c r="L144">
        <v>0</v>
      </c>
      <c r="M144" t="s">
        <v>829</v>
      </c>
      <c r="N144">
        <v>10</v>
      </c>
      <c r="O144">
        <v>35.625999999999998</v>
      </c>
      <c r="P144">
        <v>49.046999999999997</v>
      </c>
      <c r="Q144" t="s">
        <v>1645</v>
      </c>
      <c r="R144" t="s">
        <v>54</v>
      </c>
      <c r="S144" t="s">
        <v>498</v>
      </c>
      <c r="T144">
        <v>2</v>
      </c>
    </row>
    <row r="145" spans="1:20">
      <c r="A145" t="s">
        <v>1129</v>
      </c>
      <c r="B145">
        <v>6.7</v>
      </c>
      <c r="C145" t="s">
        <v>1130</v>
      </c>
      <c r="D145">
        <v>3</v>
      </c>
      <c r="E145">
        <v>7</v>
      </c>
      <c r="G145">
        <v>0</v>
      </c>
      <c r="H145">
        <v>708</v>
      </c>
      <c r="I145" t="s">
        <v>22</v>
      </c>
      <c r="J145">
        <v>279</v>
      </c>
      <c r="K145">
        <v>0</v>
      </c>
      <c r="L145">
        <v>24.3</v>
      </c>
      <c r="M145" t="s">
        <v>829</v>
      </c>
      <c r="N145">
        <v>12</v>
      </c>
      <c r="O145">
        <v>28.411999999999999</v>
      </c>
      <c r="P145">
        <v>59.18</v>
      </c>
      <c r="Q145" t="s">
        <v>1131</v>
      </c>
      <c r="R145" t="s">
        <v>54</v>
      </c>
      <c r="S145" t="s">
        <v>498</v>
      </c>
      <c r="T145">
        <v>2</v>
      </c>
    </row>
    <row r="146" spans="1:20">
      <c r="A146" t="s">
        <v>1564</v>
      </c>
      <c r="B146">
        <v>6.6</v>
      </c>
      <c r="C146" t="s">
        <v>1565</v>
      </c>
      <c r="D146">
        <v>0</v>
      </c>
      <c r="E146">
        <v>9</v>
      </c>
      <c r="G146">
        <v>0</v>
      </c>
      <c r="H146">
        <v>670</v>
      </c>
      <c r="I146" t="s">
        <v>22</v>
      </c>
      <c r="J146">
        <v>552</v>
      </c>
      <c r="K146">
        <v>0</v>
      </c>
      <c r="L146">
        <v>44.8</v>
      </c>
      <c r="M146" t="s">
        <v>829</v>
      </c>
      <c r="N146">
        <v>10</v>
      </c>
      <c r="O146">
        <v>28.995000000000001</v>
      </c>
      <c r="P146">
        <v>58.311</v>
      </c>
      <c r="Q146" t="s">
        <v>1131</v>
      </c>
      <c r="R146" t="s">
        <v>54</v>
      </c>
      <c r="S146" t="s">
        <v>498</v>
      </c>
      <c r="T146">
        <v>2</v>
      </c>
    </row>
    <row r="147" spans="1:20">
      <c r="A147" t="s">
        <v>957</v>
      </c>
      <c r="B147">
        <v>7.7</v>
      </c>
      <c r="C147" t="s">
        <v>958</v>
      </c>
      <c r="D147">
        <v>8</v>
      </c>
      <c r="E147">
        <v>8</v>
      </c>
      <c r="F147" t="s">
        <v>45</v>
      </c>
      <c r="G147">
        <v>0</v>
      </c>
      <c r="H147">
        <v>1421</v>
      </c>
      <c r="I147" t="s">
        <v>22</v>
      </c>
      <c r="J147">
        <v>506</v>
      </c>
      <c r="K147">
        <v>0</v>
      </c>
      <c r="L147">
        <v>26.6</v>
      </c>
      <c r="M147" t="s">
        <v>23</v>
      </c>
      <c r="N147">
        <v>80</v>
      </c>
      <c r="O147">
        <v>28.033000000000001</v>
      </c>
      <c r="P147">
        <v>61.996000000000002</v>
      </c>
      <c r="Q147" t="s">
        <v>959</v>
      </c>
      <c r="R147" t="s">
        <v>54</v>
      </c>
      <c r="S147" t="s">
        <v>498</v>
      </c>
      <c r="T147">
        <v>2</v>
      </c>
    </row>
    <row r="148" spans="1:20">
      <c r="A148" t="s">
        <v>1111</v>
      </c>
      <c r="B148">
        <v>7.9</v>
      </c>
      <c r="C148" s="1">
        <v>40850.260416666664</v>
      </c>
      <c r="D148">
        <v>8</v>
      </c>
      <c r="E148">
        <v>7</v>
      </c>
      <c r="G148">
        <v>0</v>
      </c>
      <c r="H148">
        <v>1140</v>
      </c>
      <c r="I148" t="s">
        <v>22</v>
      </c>
      <c r="J148">
        <v>163</v>
      </c>
      <c r="K148">
        <v>0</v>
      </c>
      <c r="L148">
        <v>48.4</v>
      </c>
      <c r="M148" t="s">
        <v>829</v>
      </c>
      <c r="N148">
        <v>42.6</v>
      </c>
      <c r="O148">
        <v>36.280999999999999</v>
      </c>
      <c r="P148">
        <v>141.11099999999999</v>
      </c>
      <c r="Q148" t="s">
        <v>1112</v>
      </c>
      <c r="R148" t="s">
        <v>54</v>
      </c>
      <c r="S148" t="s">
        <v>200</v>
      </c>
      <c r="T148">
        <v>2</v>
      </c>
    </row>
    <row r="149" spans="1:20">
      <c r="A149" t="s">
        <v>1608</v>
      </c>
      <c r="B149">
        <v>7</v>
      </c>
      <c r="C149" t="s">
        <v>1609</v>
      </c>
      <c r="D149">
        <v>0</v>
      </c>
      <c r="E149">
        <v>7</v>
      </c>
      <c r="G149">
        <v>0</v>
      </c>
      <c r="H149">
        <v>754</v>
      </c>
      <c r="I149" t="s">
        <v>22</v>
      </c>
      <c r="J149">
        <v>690</v>
      </c>
      <c r="K149">
        <v>0</v>
      </c>
      <c r="L149">
        <v>19.100000000000001</v>
      </c>
      <c r="M149" t="s">
        <v>36</v>
      </c>
      <c r="N149">
        <v>68</v>
      </c>
      <c r="O149">
        <v>38.848999999999997</v>
      </c>
      <c r="P149">
        <v>141.56800000000001</v>
      </c>
      <c r="Q149" t="s">
        <v>754</v>
      </c>
      <c r="R149" t="s">
        <v>54</v>
      </c>
      <c r="S149" t="s">
        <v>200</v>
      </c>
      <c r="T149">
        <v>2</v>
      </c>
    </row>
    <row r="150" spans="1:20">
      <c r="A150" t="s">
        <v>753</v>
      </c>
      <c r="B150">
        <v>6.8</v>
      </c>
      <c r="C150" s="1">
        <v>42343.883333333331</v>
      </c>
      <c r="D150">
        <v>8</v>
      </c>
      <c r="E150">
        <v>6</v>
      </c>
      <c r="F150" t="s">
        <v>21</v>
      </c>
      <c r="G150">
        <v>1</v>
      </c>
      <c r="H150">
        <v>831</v>
      </c>
      <c r="I150" t="s">
        <v>22</v>
      </c>
      <c r="J150">
        <v>0</v>
      </c>
      <c r="K150">
        <v>1.4219999999999999</v>
      </c>
      <c r="L150">
        <v>8</v>
      </c>
      <c r="M150" t="s">
        <v>23</v>
      </c>
      <c r="N150">
        <v>35</v>
      </c>
      <c r="O150">
        <v>38.9056</v>
      </c>
      <c r="P150">
        <v>142.03200000000001</v>
      </c>
      <c r="Q150" t="s">
        <v>754</v>
      </c>
      <c r="R150" t="s">
        <v>54</v>
      </c>
      <c r="S150" t="s">
        <v>200</v>
      </c>
      <c r="T150">
        <v>2</v>
      </c>
    </row>
    <row r="151" spans="1:20">
      <c r="A151" t="s">
        <v>989</v>
      </c>
      <c r="B151">
        <v>7.3</v>
      </c>
      <c r="C151" s="1">
        <v>41102.345833333333</v>
      </c>
      <c r="D151">
        <v>6</v>
      </c>
      <c r="E151">
        <v>5</v>
      </c>
      <c r="G151">
        <v>0</v>
      </c>
      <c r="H151">
        <v>1014</v>
      </c>
      <c r="I151" t="s">
        <v>22</v>
      </c>
      <c r="J151">
        <v>918</v>
      </c>
      <c r="K151">
        <v>0</v>
      </c>
      <c r="L151">
        <v>14.8</v>
      </c>
      <c r="M151" t="s">
        <v>23</v>
      </c>
      <c r="N151">
        <v>31</v>
      </c>
      <c r="O151">
        <v>37.89</v>
      </c>
      <c r="P151">
        <v>143.94900000000001</v>
      </c>
      <c r="Q151" t="s">
        <v>754</v>
      </c>
      <c r="R151" t="s">
        <v>54</v>
      </c>
      <c r="S151" t="s">
        <v>200</v>
      </c>
      <c r="T151">
        <v>2</v>
      </c>
    </row>
    <row r="152" spans="1:20">
      <c r="A152" t="s">
        <v>1115</v>
      </c>
      <c r="B152">
        <v>7.3</v>
      </c>
      <c r="C152" s="1">
        <v>40789.114583333336</v>
      </c>
      <c r="D152">
        <v>5</v>
      </c>
      <c r="E152">
        <v>5</v>
      </c>
      <c r="G152">
        <v>0</v>
      </c>
      <c r="H152">
        <v>972</v>
      </c>
      <c r="I152" t="s">
        <v>22</v>
      </c>
      <c r="J152">
        <v>550</v>
      </c>
      <c r="K152">
        <v>0</v>
      </c>
      <c r="L152">
        <v>17.399999999999999</v>
      </c>
      <c r="M152" t="s">
        <v>23</v>
      </c>
      <c r="N152">
        <v>32</v>
      </c>
      <c r="O152">
        <v>38.435000000000002</v>
      </c>
      <c r="P152">
        <v>142.84200000000001</v>
      </c>
      <c r="Q152" t="s">
        <v>754</v>
      </c>
      <c r="R152" s="3" t="s">
        <v>54</v>
      </c>
      <c r="S152" t="s">
        <v>200</v>
      </c>
      <c r="T152">
        <v>2</v>
      </c>
    </row>
    <row r="153" spans="1:20">
      <c r="A153" t="s">
        <v>1103</v>
      </c>
      <c r="B153">
        <v>6.6</v>
      </c>
      <c r="C153" s="1">
        <v>40850.48333333333</v>
      </c>
      <c r="D153">
        <v>6</v>
      </c>
      <c r="E153">
        <v>5</v>
      </c>
      <c r="G153">
        <v>0</v>
      </c>
      <c r="H153">
        <v>673</v>
      </c>
      <c r="I153" t="s">
        <v>22</v>
      </c>
      <c r="J153">
        <v>668</v>
      </c>
      <c r="K153">
        <v>0</v>
      </c>
      <c r="L153">
        <v>9.5</v>
      </c>
      <c r="M153" t="s">
        <v>1104</v>
      </c>
      <c r="N153">
        <v>25.7</v>
      </c>
      <c r="O153">
        <v>39.241</v>
      </c>
      <c r="P153">
        <v>142.46299999999999</v>
      </c>
      <c r="Q153" t="s">
        <v>1105</v>
      </c>
      <c r="R153" t="s">
        <v>54</v>
      </c>
      <c r="S153" t="s">
        <v>200</v>
      </c>
      <c r="T153">
        <v>2</v>
      </c>
    </row>
    <row r="154" spans="1:20">
      <c r="A154" t="s">
        <v>1235</v>
      </c>
      <c r="B154">
        <v>7.1</v>
      </c>
      <c r="C154" s="1">
        <v>40064.454861111109</v>
      </c>
      <c r="D154">
        <v>5</v>
      </c>
      <c r="E154">
        <v>4</v>
      </c>
      <c r="G154">
        <v>0</v>
      </c>
      <c r="H154">
        <v>1005</v>
      </c>
      <c r="I154" t="s">
        <v>22</v>
      </c>
      <c r="J154">
        <v>447</v>
      </c>
      <c r="K154">
        <v>0</v>
      </c>
      <c r="L154">
        <v>14.2</v>
      </c>
      <c r="M154" t="s">
        <v>829</v>
      </c>
      <c r="N154">
        <v>292</v>
      </c>
      <c r="O154">
        <v>33.167000000000002</v>
      </c>
      <c r="P154">
        <v>137.94399999999999</v>
      </c>
      <c r="Q154" t="s">
        <v>1236</v>
      </c>
      <c r="R154" s="3" t="s">
        <v>54</v>
      </c>
      <c r="S154" t="s">
        <v>200</v>
      </c>
      <c r="T154">
        <v>2</v>
      </c>
    </row>
    <row r="155" spans="1:20">
      <c r="A155" t="s">
        <v>1113</v>
      </c>
      <c r="B155">
        <v>9.1</v>
      </c>
      <c r="C155" s="1">
        <v>40850.240277777775</v>
      </c>
      <c r="D155">
        <v>9</v>
      </c>
      <c r="E155">
        <v>8</v>
      </c>
      <c r="G155">
        <v>0</v>
      </c>
      <c r="H155">
        <v>2184</v>
      </c>
      <c r="I155" t="s">
        <v>1039</v>
      </c>
      <c r="J155">
        <v>541</v>
      </c>
      <c r="K155">
        <v>0</v>
      </c>
      <c r="L155">
        <v>9.5</v>
      </c>
      <c r="M155" t="s">
        <v>23</v>
      </c>
      <c r="N155">
        <v>29</v>
      </c>
      <c r="O155">
        <v>38.296999999999997</v>
      </c>
      <c r="P155">
        <v>142.37299999999999</v>
      </c>
      <c r="Q155" t="s">
        <v>1114</v>
      </c>
      <c r="R155" t="s">
        <v>54</v>
      </c>
      <c r="S155" t="s">
        <v>200</v>
      </c>
      <c r="T155">
        <v>2</v>
      </c>
    </row>
    <row r="156" spans="1:20">
      <c r="A156" t="s">
        <v>742</v>
      </c>
      <c r="B156">
        <v>7.8</v>
      </c>
      <c r="C156" t="s">
        <v>743</v>
      </c>
      <c r="D156">
        <v>6</v>
      </c>
      <c r="E156">
        <v>3</v>
      </c>
      <c r="F156" t="s">
        <v>21</v>
      </c>
      <c r="G156">
        <v>1</v>
      </c>
      <c r="H156">
        <v>1151</v>
      </c>
      <c r="I156" t="s">
        <v>22</v>
      </c>
      <c r="J156">
        <v>0</v>
      </c>
      <c r="K156">
        <v>1.675</v>
      </c>
      <c r="L156">
        <v>12</v>
      </c>
      <c r="M156" t="s">
        <v>23</v>
      </c>
      <c r="N156">
        <v>664</v>
      </c>
      <c r="O156">
        <v>27.8386</v>
      </c>
      <c r="P156">
        <v>140.49299999999999</v>
      </c>
      <c r="Q156" t="s">
        <v>741</v>
      </c>
      <c r="R156" t="s">
        <v>54</v>
      </c>
      <c r="S156" t="s">
        <v>200</v>
      </c>
      <c r="T156">
        <v>2</v>
      </c>
    </row>
    <row r="157" spans="1:20">
      <c r="A157" t="s">
        <v>739</v>
      </c>
      <c r="B157">
        <v>6.5</v>
      </c>
      <c r="C157" t="s">
        <v>740</v>
      </c>
      <c r="D157">
        <v>3</v>
      </c>
      <c r="E157">
        <v>4</v>
      </c>
      <c r="F157" t="s">
        <v>21</v>
      </c>
      <c r="G157">
        <v>0</v>
      </c>
      <c r="H157">
        <v>652</v>
      </c>
      <c r="I157" t="s">
        <v>22</v>
      </c>
      <c r="J157">
        <v>0</v>
      </c>
      <c r="K157">
        <v>2.2770000000000001</v>
      </c>
      <c r="L157">
        <v>11</v>
      </c>
      <c r="M157" t="s">
        <v>23</v>
      </c>
      <c r="N157">
        <v>460</v>
      </c>
      <c r="O157">
        <v>27.737500000000001</v>
      </c>
      <c r="P157">
        <v>139.72499999999999</v>
      </c>
      <c r="Q157" t="s">
        <v>741</v>
      </c>
      <c r="R157" t="s">
        <v>54</v>
      </c>
      <c r="S157" t="s">
        <v>200</v>
      </c>
      <c r="T157">
        <v>2</v>
      </c>
    </row>
    <row r="158" spans="1:20">
      <c r="A158" t="s">
        <v>430</v>
      </c>
      <c r="B158">
        <v>6.6</v>
      </c>
      <c r="C158" s="1">
        <v>43229.754861111112</v>
      </c>
      <c r="D158">
        <v>8</v>
      </c>
      <c r="E158">
        <v>9</v>
      </c>
      <c r="F158" t="s">
        <v>66</v>
      </c>
      <c r="G158">
        <v>1</v>
      </c>
      <c r="H158">
        <v>1075</v>
      </c>
      <c r="I158" t="s">
        <v>22</v>
      </c>
      <c r="J158">
        <v>0</v>
      </c>
      <c r="K158">
        <v>1.1299999999999999</v>
      </c>
      <c r="L158">
        <v>32</v>
      </c>
      <c r="M158" t="s">
        <v>23</v>
      </c>
      <c r="N158">
        <v>35</v>
      </c>
      <c r="O158">
        <v>42.686100000000003</v>
      </c>
      <c r="P158">
        <v>141.929</v>
      </c>
      <c r="Q158" t="s">
        <v>431</v>
      </c>
      <c r="R158" t="s">
        <v>54</v>
      </c>
      <c r="S158" t="s">
        <v>200</v>
      </c>
      <c r="T158">
        <v>2</v>
      </c>
    </row>
    <row r="159" spans="1:20">
      <c r="A159" t="s">
        <v>1677</v>
      </c>
      <c r="B159">
        <v>6.5</v>
      </c>
      <c r="C159" s="1">
        <v>36934.542361111111</v>
      </c>
      <c r="D159">
        <v>0</v>
      </c>
      <c r="E159">
        <v>5</v>
      </c>
      <c r="G159">
        <v>0</v>
      </c>
      <c r="H159">
        <v>650</v>
      </c>
      <c r="I159" t="s">
        <v>22</v>
      </c>
      <c r="J159">
        <v>605</v>
      </c>
      <c r="K159">
        <v>0</v>
      </c>
      <c r="L159">
        <v>0</v>
      </c>
      <c r="M159" t="s">
        <v>829</v>
      </c>
      <c r="N159">
        <v>123.8</v>
      </c>
      <c r="O159">
        <v>39.402000000000001</v>
      </c>
      <c r="P159">
        <v>141.089</v>
      </c>
      <c r="Q159" t="s">
        <v>1678</v>
      </c>
      <c r="R159" t="s">
        <v>54</v>
      </c>
      <c r="S159" t="s">
        <v>200</v>
      </c>
      <c r="T159">
        <v>2</v>
      </c>
    </row>
    <row r="160" spans="1:20">
      <c r="A160" t="s">
        <v>1284</v>
      </c>
      <c r="B160">
        <v>6.9</v>
      </c>
      <c r="C160" s="1">
        <v>39634.697916666664</v>
      </c>
      <c r="D160">
        <v>5</v>
      </c>
      <c r="E160">
        <v>5</v>
      </c>
      <c r="G160">
        <v>0</v>
      </c>
      <c r="H160">
        <v>910</v>
      </c>
      <c r="I160" t="s">
        <v>22</v>
      </c>
      <c r="J160">
        <v>519</v>
      </c>
      <c r="K160">
        <v>0</v>
      </c>
      <c r="L160">
        <v>21.1</v>
      </c>
      <c r="M160" t="s">
        <v>829</v>
      </c>
      <c r="N160">
        <v>27</v>
      </c>
      <c r="O160">
        <v>36.164000000000001</v>
      </c>
      <c r="P160">
        <v>141.52600000000001</v>
      </c>
      <c r="Q160" t="s">
        <v>1108</v>
      </c>
      <c r="R160" s="3" t="s">
        <v>54</v>
      </c>
      <c r="S160" t="s">
        <v>200</v>
      </c>
      <c r="T160">
        <v>2</v>
      </c>
    </row>
    <row r="161" spans="1:20">
      <c r="A161" t="s">
        <v>1106</v>
      </c>
      <c r="B161">
        <v>6.5</v>
      </c>
      <c r="C161" s="1">
        <v>40850.34652777778</v>
      </c>
      <c r="D161">
        <v>0</v>
      </c>
      <c r="E161">
        <v>4</v>
      </c>
      <c r="G161">
        <v>0</v>
      </c>
      <c r="H161">
        <v>650</v>
      </c>
      <c r="I161" t="s">
        <v>22</v>
      </c>
      <c r="J161">
        <v>369</v>
      </c>
      <c r="K161">
        <v>0</v>
      </c>
      <c r="L161">
        <v>18.7</v>
      </c>
      <c r="M161" t="s">
        <v>1107</v>
      </c>
      <c r="N161">
        <v>6.8</v>
      </c>
      <c r="O161">
        <v>36.165999999999997</v>
      </c>
      <c r="P161">
        <v>141.56200000000001</v>
      </c>
      <c r="Q161" t="s">
        <v>1108</v>
      </c>
      <c r="R161" t="s">
        <v>54</v>
      </c>
      <c r="S161" t="s">
        <v>200</v>
      </c>
      <c r="T161">
        <v>2</v>
      </c>
    </row>
    <row r="162" spans="1:20">
      <c r="A162" t="s">
        <v>140</v>
      </c>
      <c r="B162">
        <v>6.6</v>
      </c>
      <c r="C162" s="1">
        <v>44480.65625</v>
      </c>
      <c r="D162">
        <v>7</v>
      </c>
      <c r="E162">
        <v>4</v>
      </c>
      <c r="F162" t="s">
        <v>21</v>
      </c>
      <c r="G162">
        <v>1</v>
      </c>
      <c r="H162">
        <v>688</v>
      </c>
      <c r="I162" t="s">
        <v>22</v>
      </c>
      <c r="J162">
        <v>0</v>
      </c>
      <c r="K162">
        <v>3.2589999999999999</v>
      </c>
      <c r="L162">
        <v>15</v>
      </c>
      <c r="M162" t="s">
        <v>23</v>
      </c>
      <c r="N162">
        <v>12</v>
      </c>
      <c r="O162">
        <v>23.541399999999999</v>
      </c>
      <c r="P162">
        <v>126.48</v>
      </c>
      <c r="Q162" t="s">
        <v>141</v>
      </c>
      <c r="R162" t="s">
        <v>54</v>
      </c>
      <c r="S162" t="s">
        <v>200</v>
      </c>
      <c r="T162">
        <v>2</v>
      </c>
    </row>
    <row r="163" spans="1:20">
      <c r="A163" t="s">
        <v>1095</v>
      </c>
      <c r="B163">
        <v>6.6</v>
      </c>
      <c r="C163" s="1">
        <v>40851.344444444447</v>
      </c>
      <c r="D163">
        <v>7</v>
      </c>
      <c r="E163">
        <v>7</v>
      </c>
      <c r="G163">
        <v>0</v>
      </c>
      <c r="H163">
        <v>822</v>
      </c>
      <c r="I163" t="s">
        <v>22</v>
      </c>
      <c r="J163">
        <v>586</v>
      </c>
      <c r="K163">
        <v>0</v>
      </c>
      <c r="L163">
        <v>10.1</v>
      </c>
      <c r="M163" t="s">
        <v>23</v>
      </c>
      <c r="N163">
        <v>11</v>
      </c>
      <c r="O163">
        <v>37.000999999999998</v>
      </c>
      <c r="P163">
        <v>140.40100000000001</v>
      </c>
      <c r="Q163" t="s">
        <v>1096</v>
      </c>
      <c r="R163" t="s">
        <v>54</v>
      </c>
      <c r="S163" t="s">
        <v>200</v>
      </c>
      <c r="T163">
        <v>2</v>
      </c>
    </row>
    <row r="164" spans="1:20">
      <c r="A164" t="s">
        <v>1097</v>
      </c>
      <c r="B164">
        <v>7.1</v>
      </c>
      <c r="C164" s="1">
        <v>40728.605555555558</v>
      </c>
      <c r="D164">
        <v>8</v>
      </c>
      <c r="E164">
        <v>8</v>
      </c>
      <c r="G164">
        <v>0</v>
      </c>
      <c r="H164">
        <v>1114</v>
      </c>
      <c r="I164" t="s">
        <v>22</v>
      </c>
      <c r="J164">
        <v>446</v>
      </c>
      <c r="K164">
        <v>0</v>
      </c>
      <c r="L164">
        <v>17.7</v>
      </c>
      <c r="M164" t="s">
        <v>23</v>
      </c>
      <c r="N164">
        <v>42</v>
      </c>
      <c r="O164">
        <v>38.276000000000003</v>
      </c>
      <c r="P164">
        <v>141.58799999999999</v>
      </c>
      <c r="Q164" t="s">
        <v>209</v>
      </c>
      <c r="R164" t="s">
        <v>54</v>
      </c>
      <c r="S164" t="s">
        <v>200</v>
      </c>
      <c r="T164">
        <v>2</v>
      </c>
    </row>
    <row r="165" spans="1:20">
      <c r="A165" t="s">
        <v>207</v>
      </c>
      <c r="B165">
        <v>7</v>
      </c>
      <c r="C165" t="s">
        <v>208</v>
      </c>
      <c r="D165">
        <v>7</v>
      </c>
      <c r="E165">
        <v>7</v>
      </c>
      <c r="F165" t="s">
        <v>45</v>
      </c>
      <c r="G165">
        <v>1</v>
      </c>
      <c r="H165">
        <v>1052</v>
      </c>
      <c r="I165" t="s">
        <v>22</v>
      </c>
      <c r="J165">
        <v>0</v>
      </c>
      <c r="K165">
        <v>2.3780000000000001</v>
      </c>
      <c r="L165">
        <v>35</v>
      </c>
      <c r="M165" t="s">
        <v>23</v>
      </c>
      <c r="N165">
        <v>43</v>
      </c>
      <c r="O165">
        <v>38.475200000000001</v>
      </c>
      <c r="P165">
        <v>141.607</v>
      </c>
      <c r="Q165" t="s">
        <v>209</v>
      </c>
      <c r="R165" t="s">
        <v>54</v>
      </c>
      <c r="S165" t="s">
        <v>200</v>
      </c>
      <c r="T165">
        <v>2</v>
      </c>
    </row>
    <row r="166" spans="1:20">
      <c r="A166" t="s">
        <v>1463</v>
      </c>
      <c r="B166">
        <v>7.2</v>
      </c>
      <c r="C166" t="s">
        <v>1464</v>
      </c>
      <c r="D166">
        <v>7</v>
      </c>
      <c r="E166">
        <v>7</v>
      </c>
      <c r="G166">
        <v>0</v>
      </c>
      <c r="H166">
        <v>1104</v>
      </c>
      <c r="I166" t="s">
        <v>22</v>
      </c>
      <c r="J166">
        <v>698</v>
      </c>
      <c r="K166">
        <v>0</v>
      </c>
      <c r="L166">
        <v>19.600000000000001</v>
      </c>
      <c r="M166" t="s">
        <v>829</v>
      </c>
      <c r="N166">
        <v>36</v>
      </c>
      <c r="O166">
        <v>38.276000000000003</v>
      </c>
      <c r="P166">
        <v>142.03899999999999</v>
      </c>
      <c r="Q166" t="s">
        <v>209</v>
      </c>
      <c r="R166" t="s">
        <v>54</v>
      </c>
      <c r="S166" t="s">
        <v>200</v>
      </c>
      <c r="T166">
        <v>2</v>
      </c>
    </row>
    <row r="167" spans="1:20">
      <c r="A167" t="s">
        <v>1579</v>
      </c>
      <c r="B167">
        <v>7</v>
      </c>
      <c r="C167" t="s">
        <v>1580</v>
      </c>
      <c r="D167">
        <v>0</v>
      </c>
      <c r="E167">
        <v>5</v>
      </c>
      <c r="G167">
        <v>0</v>
      </c>
      <c r="H167">
        <v>754</v>
      </c>
      <c r="I167" t="s">
        <v>22</v>
      </c>
      <c r="J167">
        <v>568</v>
      </c>
      <c r="K167">
        <v>0</v>
      </c>
      <c r="L167">
        <v>61.2</v>
      </c>
      <c r="M167" t="s">
        <v>36</v>
      </c>
      <c r="N167">
        <v>10</v>
      </c>
      <c r="O167">
        <v>37.811999999999998</v>
      </c>
      <c r="P167">
        <v>142.619</v>
      </c>
      <c r="Q167" t="s">
        <v>209</v>
      </c>
      <c r="R167" s="3" t="s">
        <v>54</v>
      </c>
      <c r="S167" t="s">
        <v>200</v>
      </c>
      <c r="T167">
        <v>2</v>
      </c>
    </row>
    <row r="168" spans="1:20">
      <c r="A168" t="s">
        <v>1450</v>
      </c>
      <c r="B168">
        <v>6.5</v>
      </c>
      <c r="C168" s="1">
        <v>38395.550694444442</v>
      </c>
      <c r="D168">
        <v>4</v>
      </c>
      <c r="E168">
        <v>5</v>
      </c>
      <c r="G168">
        <v>0</v>
      </c>
      <c r="H168">
        <v>683</v>
      </c>
      <c r="I168" t="s">
        <v>22</v>
      </c>
      <c r="J168">
        <v>464</v>
      </c>
      <c r="K168">
        <v>0</v>
      </c>
      <c r="L168">
        <v>48.8</v>
      </c>
      <c r="M168" t="s">
        <v>829</v>
      </c>
      <c r="N168">
        <v>29</v>
      </c>
      <c r="O168">
        <v>38.088999999999999</v>
      </c>
      <c r="P168">
        <v>142.12200000000001</v>
      </c>
      <c r="Q168" t="s">
        <v>209</v>
      </c>
      <c r="R168" t="s">
        <v>54</v>
      </c>
      <c r="S168" t="s">
        <v>200</v>
      </c>
      <c r="T168">
        <v>2</v>
      </c>
    </row>
    <row r="169" spans="1:20">
      <c r="A169" t="s">
        <v>915</v>
      </c>
      <c r="B169">
        <v>6.5</v>
      </c>
      <c r="C169" s="1">
        <v>41373.012499999997</v>
      </c>
      <c r="D169">
        <v>5</v>
      </c>
      <c r="E169">
        <v>3</v>
      </c>
      <c r="F169" t="s">
        <v>21</v>
      </c>
      <c r="G169">
        <v>0</v>
      </c>
      <c r="H169">
        <v>739</v>
      </c>
      <c r="I169" t="s">
        <v>22</v>
      </c>
      <c r="J169">
        <v>0</v>
      </c>
      <c r="K169">
        <v>3.2759999999999998</v>
      </c>
      <c r="L169">
        <v>26</v>
      </c>
      <c r="M169" t="s">
        <v>23</v>
      </c>
      <c r="N169">
        <v>402</v>
      </c>
      <c r="O169">
        <v>29.9377</v>
      </c>
      <c r="P169">
        <v>138.833</v>
      </c>
      <c r="Q169" t="s">
        <v>916</v>
      </c>
      <c r="R169" t="s">
        <v>54</v>
      </c>
      <c r="S169" t="s">
        <v>200</v>
      </c>
      <c r="T169">
        <v>2</v>
      </c>
    </row>
    <row r="170" spans="1:20">
      <c r="A170" t="s">
        <v>1109</v>
      </c>
      <c r="B170">
        <v>7.7</v>
      </c>
      <c r="C170" s="1">
        <v>40850.267361111109</v>
      </c>
      <c r="D170">
        <v>7</v>
      </c>
      <c r="E170">
        <v>4</v>
      </c>
      <c r="G170">
        <v>0</v>
      </c>
      <c r="H170">
        <v>931</v>
      </c>
      <c r="I170" t="s">
        <v>22</v>
      </c>
      <c r="J170">
        <v>507</v>
      </c>
      <c r="K170">
        <v>0</v>
      </c>
      <c r="L170">
        <v>10.8</v>
      </c>
      <c r="M170" t="s">
        <v>829</v>
      </c>
      <c r="N170">
        <v>18.600000000000001</v>
      </c>
      <c r="O170">
        <v>38.058</v>
      </c>
      <c r="P170">
        <v>144.59</v>
      </c>
      <c r="Q170" t="s">
        <v>1110</v>
      </c>
      <c r="R170" t="s">
        <v>54</v>
      </c>
      <c r="S170" t="s">
        <v>200</v>
      </c>
      <c r="T170">
        <v>2</v>
      </c>
    </row>
    <row r="171" spans="1:20">
      <c r="A171" t="s">
        <v>1367</v>
      </c>
      <c r="B171">
        <v>6.6</v>
      </c>
      <c r="C171" t="s">
        <v>1368</v>
      </c>
      <c r="D171">
        <v>8</v>
      </c>
      <c r="E171">
        <v>8</v>
      </c>
      <c r="G171">
        <v>0</v>
      </c>
      <c r="H171">
        <v>831</v>
      </c>
      <c r="I171" t="s">
        <v>22</v>
      </c>
      <c r="J171">
        <v>782</v>
      </c>
      <c r="K171">
        <v>0</v>
      </c>
      <c r="L171">
        <v>16.7</v>
      </c>
      <c r="M171" t="s">
        <v>829</v>
      </c>
      <c r="N171">
        <v>12</v>
      </c>
      <c r="O171">
        <v>37.534999999999997</v>
      </c>
      <c r="P171">
        <v>138.446</v>
      </c>
      <c r="Q171" t="s">
        <v>1369</v>
      </c>
      <c r="R171" t="s">
        <v>54</v>
      </c>
      <c r="S171" t="s">
        <v>200</v>
      </c>
      <c r="T171">
        <v>2</v>
      </c>
    </row>
    <row r="172" spans="1:20">
      <c r="A172" t="s">
        <v>1198</v>
      </c>
      <c r="B172">
        <v>7</v>
      </c>
      <c r="C172" t="s">
        <v>1199</v>
      </c>
      <c r="D172">
        <v>6</v>
      </c>
      <c r="E172">
        <v>6</v>
      </c>
      <c r="G172">
        <v>0</v>
      </c>
      <c r="H172">
        <v>1180</v>
      </c>
      <c r="I172" t="s">
        <v>22</v>
      </c>
      <c r="J172">
        <v>487</v>
      </c>
      <c r="K172">
        <v>0</v>
      </c>
      <c r="L172">
        <v>15.7</v>
      </c>
      <c r="M172" t="s">
        <v>829</v>
      </c>
      <c r="N172">
        <v>25</v>
      </c>
      <c r="O172">
        <v>25.93</v>
      </c>
      <c r="P172">
        <v>128.42500000000001</v>
      </c>
      <c r="Q172" t="s">
        <v>1200</v>
      </c>
      <c r="R172" t="s">
        <v>54</v>
      </c>
      <c r="S172" t="s">
        <v>200</v>
      </c>
      <c r="T172">
        <v>2</v>
      </c>
    </row>
    <row r="173" spans="1:20">
      <c r="A173" t="s">
        <v>1497</v>
      </c>
      <c r="B173">
        <v>6.6</v>
      </c>
      <c r="C173" t="s">
        <v>1498</v>
      </c>
      <c r="D173">
        <v>6</v>
      </c>
      <c r="E173">
        <v>4</v>
      </c>
      <c r="G173">
        <v>0</v>
      </c>
      <c r="H173">
        <v>676</v>
      </c>
      <c r="I173" t="s">
        <v>22</v>
      </c>
      <c r="J173">
        <v>225</v>
      </c>
      <c r="K173">
        <v>0</v>
      </c>
      <c r="L173">
        <v>78.5</v>
      </c>
      <c r="M173" t="s">
        <v>829</v>
      </c>
      <c r="N173">
        <v>27.8</v>
      </c>
      <c r="O173">
        <v>34.064</v>
      </c>
      <c r="P173">
        <v>141.49100000000001</v>
      </c>
      <c r="Q173" t="s">
        <v>1499</v>
      </c>
      <c r="R173" t="s">
        <v>54</v>
      </c>
      <c r="S173" t="s">
        <v>200</v>
      </c>
      <c r="T173">
        <v>2</v>
      </c>
    </row>
    <row r="174" spans="1:20">
      <c r="A174" t="s">
        <v>641</v>
      </c>
      <c r="B174">
        <v>7</v>
      </c>
      <c r="C174" t="s">
        <v>642</v>
      </c>
      <c r="D174">
        <v>9</v>
      </c>
      <c r="E174">
        <v>9</v>
      </c>
      <c r="F174" t="s">
        <v>103</v>
      </c>
      <c r="G174">
        <v>1</v>
      </c>
      <c r="H174">
        <v>2074</v>
      </c>
      <c r="I174" t="s">
        <v>22</v>
      </c>
      <c r="J174">
        <v>0</v>
      </c>
      <c r="K174">
        <v>0.34899999999999998</v>
      </c>
      <c r="L174">
        <v>32</v>
      </c>
      <c r="M174" t="s">
        <v>23</v>
      </c>
      <c r="N174">
        <v>10</v>
      </c>
      <c r="O174">
        <v>32.790599999999998</v>
      </c>
      <c r="P174">
        <v>130.75399999999999</v>
      </c>
      <c r="Q174" t="s">
        <v>643</v>
      </c>
      <c r="R174" t="s">
        <v>54</v>
      </c>
      <c r="S174" t="s">
        <v>200</v>
      </c>
      <c r="T174">
        <v>2</v>
      </c>
    </row>
    <row r="175" spans="1:20">
      <c r="A175" t="s">
        <v>1707</v>
      </c>
      <c r="B175">
        <v>6.8</v>
      </c>
      <c r="C175" t="s">
        <v>1708</v>
      </c>
      <c r="D175">
        <v>0</v>
      </c>
      <c r="E175">
        <v>7</v>
      </c>
      <c r="G175">
        <v>0</v>
      </c>
      <c r="H175">
        <v>711</v>
      </c>
      <c r="I175" t="s">
        <v>22</v>
      </c>
      <c r="J175">
        <v>596</v>
      </c>
      <c r="K175">
        <v>0</v>
      </c>
      <c r="L175">
        <v>0</v>
      </c>
      <c r="M175" t="s">
        <v>829</v>
      </c>
      <c r="N175">
        <v>50</v>
      </c>
      <c r="O175">
        <v>34.082999999999998</v>
      </c>
      <c r="P175">
        <v>132.52600000000001</v>
      </c>
      <c r="Q175" t="s">
        <v>1709</v>
      </c>
      <c r="R175" t="s">
        <v>54</v>
      </c>
      <c r="S175" t="s">
        <v>200</v>
      </c>
      <c r="T175">
        <v>2</v>
      </c>
    </row>
    <row r="176" spans="1:20">
      <c r="A176" t="s">
        <v>1591</v>
      </c>
      <c r="B176">
        <v>8.16</v>
      </c>
      <c r="C176" t="s">
        <v>1592</v>
      </c>
      <c r="D176">
        <v>0</v>
      </c>
      <c r="E176">
        <v>9</v>
      </c>
      <c r="G176">
        <v>0</v>
      </c>
      <c r="H176">
        <v>1024</v>
      </c>
      <c r="I176" t="s">
        <v>1039</v>
      </c>
      <c r="J176">
        <v>0</v>
      </c>
      <c r="K176">
        <v>0</v>
      </c>
      <c r="L176">
        <v>0</v>
      </c>
      <c r="M176" t="s">
        <v>23</v>
      </c>
      <c r="N176">
        <v>27</v>
      </c>
      <c r="O176">
        <v>41.814999999999998</v>
      </c>
      <c r="P176">
        <v>143.91</v>
      </c>
      <c r="Q176" t="s">
        <v>1582</v>
      </c>
      <c r="R176" t="s">
        <v>54</v>
      </c>
      <c r="S176" t="s">
        <v>200</v>
      </c>
      <c r="T176">
        <v>2</v>
      </c>
    </row>
    <row r="177" spans="1:20">
      <c r="A177" t="s">
        <v>1581</v>
      </c>
      <c r="B177">
        <v>6.7</v>
      </c>
      <c r="C177" s="1">
        <v>37843.379166666666</v>
      </c>
      <c r="D177">
        <v>0</v>
      </c>
      <c r="E177">
        <v>6</v>
      </c>
      <c r="G177">
        <v>0</v>
      </c>
      <c r="H177">
        <v>691</v>
      </c>
      <c r="I177" t="s">
        <v>22</v>
      </c>
      <c r="J177">
        <v>556</v>
      </c>
      <c r="K177">
        <v>0</v>
      </c>
      <c r="L177">
        <v>55.4</v>
      </c>
      <c r="M177" t="s">
        <v>829</v>
      </c>
      <c r="N177">
        <v>32</v>
      </c>
      <c r="O177">
        <v>42.648000000000003</v>
      </c>
      <c r="P177">
        <v>144.57</v>
      </c>
      <c r="Q177" t="s">
        <v>1582</v>
      </c>
      <c r="R177" t="s">
        <v>54</v>
      </c>
      <c r="S177" t="s">
        <v>200</v>
      </c>
      <c r="T177">
        <v>2</v>
      </c>
    </row>
    <row r="178" spans="1:20">
      <c r="A178" t="s">
        <v>1585</v>
      </c>
      <c r="B178">
        <v>6.5</v>
      </c>
      <c r="C178" t="s">
        <v>1586</v>
      </c>
      <c r="D178">
        <v>0</v>
      </c>
      <c r="E178">
        <v>5</v>
      </c>
      <c r="G178">
        <v>0</v>
      </c>
      <c r="H178">
        <v>650</v>
      </c>
      <c r="I178" t="s">
        <v>22</v>
      </c>
      <c r="J178">
        <v>586</v>
      </c>
      <c r="K178">
        <v>0</v>
      </c>
      <c r="L178">
        <v>71.3</v>
      </c>
      <c r="M178" t="s">
        <v>829</v>
      </c>
      <c r="N178">
        <v>25</v>
      </c>
      <c r="O178">
        <v>42.45</v>
      </c>
      <c r="P178">
        <v>144.38</v>
      </c>
      <c r="Q178" t="s">
        <v>1582</v>
      </c>
      <c r="R178" t="s">
        <v>54</v>
      </c>
      <c r="S178" t="s">
        <v>200</v>
      </c>
      <c r="T178">
        <v>2</v>
      </c>
    </row>
    <row r="179" spans="1:20">
      <c r="A179" t="s">
        <v>1484</v>
      </c>
      <c r="B179">
        <v>6.6</v>
      </c>
      <c r="C179" t="s">
        <v>1485</v>
      </c>
      <c r="D179">
        <v>8</v>
      </c>
      <c r="E179">
        <v>7</v>
      </c>
      <c r="G179">
        <v>0</v>
      </c>
      <c r="H179">
        <v>805</v>
      </c>
      <c r="I179" t="s">
        <v>22</v>
      </c>
      <c r="J179">
        <v>401</v>
      </c>
      <c r="K179">
        <v>0</v>
      </c>
      <c r="L179">
        <v>22.9</v>
      </c>
      <c r="M179" t="s">
        <v>829</v>
      </c>
      <c r="N179">
        <v>10</v>
      </c>
      <c r="O179">
        <v>33.807000000000002</v>
      </c>
      <c r="P179">
        <v>130.131</v>
      </c>
      <c r="Q179" t="s">
        <v>1486</v>
      </c>
      <c r="R179" t="s">
        <v>54</v>
      </c>
      <c r="S179" t="s">
        <v>200</v>
      </c>
      <c r="T179">
        <v>2</v>
      </c>
    </row>
    <row r="180" spans="1:20">
      <c r="A180" t="s">
        <v>691</v>
      </c>
      <c r="B180">
        <v>6.7</v>
      </c>
      <c r="C180" t="s">
        <v>692</v>
      </c>
      <c r="D180">
        <v>5</v>
      </c>
      <c r="E180">
        <v>4</v>
      </c>
      <c r="F180" t="s">
        <v>21</v>
      </c>
      <c r="G180">
        <v>0</v>
      </c>
      <c r="H180">
        <v>702</v>
      </c>
      <c r="I180" t="s">
        <v>22</v>
      </c>
      <c r="J180">
        <v>0</v>
      </c>
      <c r="K180">
        <v>1.444</v>
      </c>
      <c r="L180">
        <v>17</v>
      </c>
      <c r="M180" t="s">
        <v>23</v>
      </c>
      <c r="N180">
        <v>12</v>
      </c>
      <c r="O180">
        <v>31.000900000000001</v>
      </c>
      <c r="P180">
        <v>128.87299999999999</v>
      </c>
      <c r="Q180" t="s">
        <v>693</v>
      </c>
      <c r="R180" t="s">
        <v>54</v>
      </c>
      <c r="S180" t="s">
        <v>200</v>
      </c>
      <c r="T180">
        <v>2</v>
      </c>
    </row>
    <row r="181" spans="1:20">
      <c r="A181" t="s">
        <v>1364</v>
      </c>
      <c r="B181">
        <v>6.8</v>
      </c>
      <c r="C181" t="s">
        <v>1365</v>
      </c>
      <c r="D181">
        <v>5</v>
      </c>
      <c r="E181">
        <v>4</v>
      </c>
      <c r="G181">
        <v>0</v>
      </c>
      <c r="H181">
        <v>779</v>
      </c>
      <c r="I181" t="s">
        <v>22</v>
      </c>
      <c r="J181">
        <v>664</v>
      </c>
      <c r="K181">
        <v>0</v>
      </c>
      <c r="L181">
        <v>18.2</v>
      </c>
      <c r="M181" t="s">
        <v>36</v>
      </c>
      <c r="N181">
        <v>350.4</v>
      </c>
      <c r="O181">
        <v>36.808</v>
      </c>
      <c r="P181">
        <v>134.85</v>
      </c>
      <c r="Q181" t="s">
        <v>1366</v>
      </c>
      <c r="R181" t="s">
        <v>54</v>
      </c>
      <c r="S181" t="s">
        <v>200</v>
      </c>
      <c r="T181">
        <v>2</v>
      </c>
    </row>
    <row r="182" spans="1:20">
      <c r="A182" t="s">
        <v>1089</v>
      </c>
      <c r="B182">
        <v>6.7</v>
      </c>
      <c r="C182" t="s">
        <v>1090</v>
      </c>
      <c r="D182">
        <v>6</v>
      </c>
      <c r="E182">
        <v>6</v>
      </c>
      <c r="G182">
        <v>0</v>
      </c>
      <c r="H182">
        <v>749</v>
      </c>
      <c r="I182" t="s">
        <v>22</v>
      </c>
      <c r="J182">
        <v>592</v>
      </c>
      <c r="K182">
        <v>0</v>
      </c>
      <c r="L182">
        <v>24.9</v>
      </c>
      <c r="M182" t="s">
        <v>23</v>
      </c>
      <c r="N182">
        <v>33</v>
      </c>
      <c r="O182">
        <v>39.954999999999998</v>
      </c>
      <c r="P182">
        <v>142.20500000000001</v>
      </c>
      <c r="Q182" t="s">
        <v>780</v>
      </c>
      <c r="R182" t="s">
        <v>54</v>
      </c>
      <c r="S182" t="s">
        <v>200</v>
      </c>
      <c r="T182">
        <v>2</v>
      </c>
    </row>
    <row r="183" spans="1:20">
      <c r="A183" t="s">
        <v>778</v>
      </c>
      <c r="B183">
        <v>6.7</v>
      </c>
      <c r="C183" t="s">
        <v>779</v>
      </c>
      <c r="D183">
        <v>5</v>
      </c>
      <c r="E183">
        <v>5</v>
      </c>
      <c r="F183" t="s">
        <v>21</v>
      </c>
      <c r="G183">
        <v>1</v>
      </c>
      <c r="H183">
        <v>714</v>
      </c>
      <c r="I183" t="s">
        <v>22</v>
      </c>
      <c r="J183">
        <v>0</v>
      </c>
      <c r="K183">
        <v>1.925</v>
      </c>
      <c r="L183">
        <v>20</v>
      </c>
      <c r="M183" t="s">
        <v>23</v>
      </c>
      <c r="N183">
        <v>23</v>
      </c>
      <c r="O183">
        <v>39.855800000000002</v>
      </c>
      <c r="P183">
        <v>142.881</v>
      </c>
      <c r="Q183" t="s">
        <v>780</v>
      </c>
      <c r="R183" t="s">
        <v>54</v>
      </c>
      <c r="S183" t="s">
        <v>200</v>
      </c>
      <c r="T183">
        <v>2</v>
      </c>
    </row>
    <row r="184" spans="1:20">
      <c r="A184" t="s">
        <v>1072</v>
      </c>
      <c r="B184">
        <v>6.7</v>
      </c>
      <c r="C184" t="s">
        <v>1073</v>
      </c>
      <c r="D184">
        <v>5</v>
      </c>
      <c r="E184">
        <v>5</v>
      </c>
      <c r="G184">
        <v>0</v>
      </c>
      <c r="H184">
        <v>712</v>
      </c>
      <c r="I184" t="s">
        <v>22</v>
      </c>
      <c r="J184">
        <v>667</v>
      </c>
      <c r="K184">
        <v>0</v>
      </c>
      <c r="L184">
        <v>10.9</v>
      </c>
      <c r="M184" t="s">
        <v>829</v>
      </c>
      <c r="N184">
        <v>30</v>
      </c>
      <c r="O184">
        <v>40.273000000000003</v>
      </c>
      <c r="P184">
        <v>142.779</v>
      </c>
      <c r="Q184" t="s">
        <v>780</v>
      </c>
      <c r="R184" t="s">
        <v>54</v>
      </c>
      <c r="S184" t="s">
        <v>200</v>
      </c>
      <c r="T184">
        <v>2</v>
      </c>
    </row>
    <row r="185" spans="1:20">
      <c r="A185" t="s">
        <v>1279</v>
      </c>
      <c r="B185">
        <v>6.9</v>
      </c>
      <c r="C185" t="s">
        <v>1280</v>
      </c>
      <c r="D185">
        <v>7</v>
      </c>
      <c r="E185">
        <v>8</v>
      </c>
      <c r="G185">
        <v>0</v>
      </c>
      <c r="H185">
        <v>888</v>
      </c>
      <c r="I185" t="s">
        <v>22</v>
      </c>
      <c r="J185">
        <v>654</v>
      </c>
      <c r="K185">
        <v>0</v>
      </c>
      <c r="L185">
        <v>17.100000000000001</v>
      </c>
      <c r="M185" t="s">
        <v>829</v>
      </c>
      <c r="N185">
        <v>7.8</v>
      </c>
      <c r="O185">
        <v>39.03</v>
      </c>
      <c r="P185">
        <v>140.881</v>
      </c>
      <c r="Q185" t="s">
        <v>1281</v>
      </c>
      <c r="R185" t="s">
        <v>54</v>
      </c>
      <c r="S185" t="s">
        <v>200</v>
      </c>
      <c r="T185">
        <v>2</v>
      </c>
    </row>
    <row r="186" spans="1:20">
      <c r="A186" t="s">
        <v>1270</v>
      </c>
      <c r="B186">
        <v>6.8</v>
      </c>
      <c r="C186" t="s">
        <v>1271</v>
      </c>
      <c r="D186">
        <v>8</v>
      </c>
      <c r="E186">
        <v>7</v>
      </c>
      <c r="G186">
        <v>0</v>
      </c>
      <c r="H186">
        <v>1046</v>
      </c>
      <c r="I186" t="s">
        <v>22</v>
      </c>
      <c r="J186">
        <v>633</v>
      </c>
      <c r="K186">
        <v>0</v>
      </c>
      <c r="L186">
        <v>20.2</v>
      </c>
      <c r="M186" t="s">
        <v>829</v>
      </c>
      <c r="N186">
        <v>108</v>
      </c>
      <c r="O186">
        <v>39.802</v>
      </c>
      <c r="P186">
        <v>141.464</v>
      </c>
      <c r="Q186" t="s">
        <v>1272</v>
      </c>
      <c r="R186" t="s">
        <v>54</v>
      </c>
      <c r="S186" t="s">
        <v>200</v>
      </c>
      <c r="T186">
        <v>2</v>
      </c>
    </row>
    <row r="187" spans="1:20">
      <c r="A187" t="s">
        <v>869</v>
      </c>
      <c r="B187">
        <v>6.5</v>
      </c>
      <c r="C187" s="1">
        <v>41673.84097222222</v>
      </c>
      <c r="D187">
        <v>4</v>
      </c>
      <c r="E187">
        <v>5</v>
      </c>
      <c r="F187" t="s">
        <v>21</v>
      </c>
      <c r="G187">
        <v>1</v>
      </c>
      <c r="H187">
        <v>668</v>
      </c>
      <c r="I187" t="s">
        <v>22</v>
      </c>
      <c r="J187">
        <v>0</v>
      </c>
      <c r="K187">
        <v>1.0009999999999999</v>
      </c>
      <c r="L187">
        <v>17</v>
      </c>
      <c r="M187" t="s">
        <v>23</v>
      </c>
      <c r="N187">
        <v>119</v>
      </c>
      <c r="O187">
        <v>27.4312</v>
      </c>
      <c r="P187">
        <v>127.367</v>
      </c>
      <c r="Q187" t="s">
        <v>870</v>
      </c>
      <c r="R187" t="s">
        <v>54</v>
      </c>
      <c r="S187" t="s">
        <v>200</v>
      </c>
      <c r="T187">
        <v>2</v>
      </c>
    </row>
    <row r="188" spans="1:20">
      <c r="A188" t="s">
        <v>101</v>
      </c>
      <c r="B188">
        <v>7.3</v>
      </c>
      <c r="C188" t="s">
        <v>102</v>
      </c>
      <c r="D188">
        <v>9</v>
      </c>
      <c r="E188">
        <v>8</v>
      </c>
      <c r="F188" t="s">
        <v>103</v>
      </c>
      <c r="G188">
        <v>1</v>
      </c>
      <c r="H188">
        <v>2397</v>
      </c>
      <c r="I188" t="s">
        <v>22</v>
      </c>
      <c r="J188">
        <v>0</v>
      </c>
      <c r="K188">
        <v>2.9359999999999999</v>
      </c>
      <c r="L188">
        <v>29</v>
      </c>
      <c r="M188" t="s">
        <v>23</v>
      </c>
      <c r="N188">
        <v>41</v>
      </c>
      <c r="O188">
        <v>37.701500000000003</v>
      </c>
      <c r="P188">
        <v>141.58699999999999</v>
      </c>
      <c r="Q188" t="s">
        <v>104</v>
      </c>
      <c r="R188" s="3" t="s">
        <v>54</v>
      </c>
      <c r="S188" t="s">
        <v>200</v>
      </c>
      <c r="T188">
        <v>2</v>
      </c>
    </row>
    <row r="189" spans="1:20">
      <c r="A189" t="s">
        <v>217</v>
      </c>
      <c r="B189">
        <v>7.1</v>
      </c>
      <c r="C189" t="s">
        <v>218</v>
      </c>
      <c r="D189">
        <v>9</v>
      </c>
      <c r="E189">
        <v>8</v>
      </c>
      <c r="F189" t="s">
        <v>66</v>
      </c>
      <c r="G189">
        <v>1</v>
      </c>
      <c r="H189">
        <v>1612</v>
      </c>
      <c r="I189" t="s">
        <v>22</v>
      </c>
      <c r="J189">
        <v>0</v>
      </c>
      <c r="K189">
        <v>3.085</v>
      </c>
      <c r="L189">
        <v>11</v>
      </c>
      <c r="M189" t="s">
        <v>23</v>
      </c>
      <c r="N189">
        <v>43.98</v>
      </c>
      <c r="O189">
        <v>37.685600000000001</v>
      </c>
      <c r="P189">
        <v>141.99199999999999</v>
      </c>
      <c r="Q189" t="s">
        <v>104</v>
      </c>
      <c r="R189" s="3" t="s">
        <v>54</v>
      </c>
      <c r="S189" t="s">
        <v>200</v>
      </c>
      <c r="T189">
        <v>2</v>
      </c>
    </row>
    <row r="190" spans="1:20">
      <c r="A190" t="s">
        <v>1273</v>
      </c>
      <c r="B190">
        <v>7</v>
      </c>
      <c r="C190" t="s">
        <v>1274</v>
      </c>
      <c r="D190">
        <v>5</v>
      </c>
      <c r="E190">
        <v>5</v>
      </c>
      <c r="G190">
        <v>0</v>
      </c>
      <c r="H190">
        <v>840</v>
      </c>
      <c r="I190" t="s">
        <v>22</v>
      </c>
      <c r="J190">
        <v>577</v>
      </c>
      <c r="K190">
        <v>0</v>
      </c>
      <c r="L190">
        <v>18.2</v>
      </c>
      <c r="M190" t="s">
        <v>829</v>
      </c>
      <c r="N190">
        <v>22</v>
      </c>
      <c r="O190">
        <v>37.552</v>
      </c>
      <c r="P190">
        <v>142.214</v>
      </c>
      <c r="Q190" t="s">
        <v>104</v>
      </c>
      <c r="R190" t="s">
        <v>54</v>
      </c>
      <c r="S190" t="s">
        <v>200</v>
      </c>
      <c r="T190">
        <v>2</v>
      </c>
    </row>
    <row r="191" spans="1:20">
      <c r="A191" t="s">
        <v>589</v>
      </c>
      <c r="B191">
        <v>6.9</v>
      </c>
      <c r="C191" t="s">
        <v>590</v>
      </c>
      <c r="D191">
        <v>9</v>
      </c>
      <c r="E191">
        <v>6</v>
      </c>
      <c r="F191" t="s">
        <v>21</v>
      </c>
      <c r="G191">
        <v>1</v>
      </c>
      <c r="H191">
        <v>1144</v>
      </c>
      <c r="I191" t="s">
        <v>22</v>
      </c>
      <c r="J191">
        <v>0</v>
      </c>
      <c r="K191">
        <v>0.67100000000000004</v>
      </c>
      <c r="L191">
        <v>10</v>
      </c>
      <c r="M191" t="s">
        <v>23</v>
      </c>
      <c r="N191">
        <v>9</v>
      </c>
      <c r="O191">
        <v>37.393099999999997</v>
      </c>
      <c r="P191">
        <v>141.387</v>
      </c>
      <c r="Q191" t="s">
        <v>104</v>
      </c>
      <c r="R191" t="s">
        <v>54</v>
      </c>
      <c r="S191" t="s">
        <v>200</v>
      </c>
      <c r="T191">
        <v>2</v>
      </c>
    </row>
    <row r="192" spans="1:20">
      <c r="A192" t="s">
        <v>1275</v>
      </c>
      <c r="B192">
        <v>6.9</v>
      </c>
      <c r="C192" t="s">
        <v>1274</v>
      </c>
      <c r="D192">
        <v>5</v>
      </c>
      <c r="E192">
        <v>5</v>
      </c>
      <c r="G192">
        <v>0</v>
      </c>
      <c r="H192">
        <v>825</v>
      </c>
      <c r="I192" t="s">
        <v>1276</v>
      </c>
      <c r="J192">
        <v>0</v>
      </c>
      <c r="K192">
        <v>0</v>
      </c>
      <c r="L192">
        <v>0</v>
      </c>
      <c r="M192" t="s">
        <v>23</v>
      </c>
      <c r="N192">
        <v>25.5</v>
      </c>
      <c r="O192">
        <v>37.549999999999997</v>
      </c>
      <c r="P192">
        <v>142.714</v>
      </c>
      <c r="Q192" t="s">
        <v>104</v>
      </c>
      <c r="R192" s="3" t="s">
        <v>54</v>
      </c>
      <c r="S192" t="s">
        <v>200</v>
      </c>
      <c r="T192">
        <v>2</v>
      </c>
    </row>
    <row r="193" spans="1:20">
      <c r="A193" t="s">
        <v>817</v>
      </c>
      <c r="B193">
        <v>6.5</v>
      </c>
      <c r="C193" s="1">
        <v>41950.806944444441</v>
      </c>
      <c r="D193">
        <v>5</v>
      </c>
      <c r="E193">
        <v>4</v>
      </c>
      <c r="F193" t="s">
        <v>21</v>
      </c>
      <c r="G193">
        <v>1</v>
      </c>
      <c r="H193">
        <v>706</v>
      </c>
      <c r="I193" t="s">
        <v>22</v>
      </c>
      <c r="J193">
        <v>0</v>
      </c>
      <c r="K193">
        <v>2.4209999999999998</v>
      </c>
      <c r="L193">
        <v>9</v>
      </c>
      <c r="M193" t="s">
        <v>23</v>
      </c>
      <c r="N193">
        <v>20</v>
      </c>
      <c r="O193">
        <v>37.005200000000002</v>
      </c>
      <c r="P193">
        <v>142.452</v>
      </c>
      <c r="Q193" t="s">
        <v>104</v>
      </c>
      <c r="R193" t="s">
        <v>54</v>
      </c>
      <c r="S193" t="s">
        <v>200</v>
      </c>
      <c r="T193">
        <v>2</v>
      </c>
    </row>
    <row r="194" spans="1:20">
      <c r="A194" t="s">
        <v>1183</v>
      </c>
      <c r="B194">
        <v>6.5</v>
      </c>
      <c r="C194" t="s">
        <v>1184</v>
      </c>
      <c r="D194">
        <v>6</v>
      </c>
      <c r="E194">
        <v>5</v>
      </c>
      <c r="G194">
        <v>0</v>
      </c>
      <c r="H194">
        <v>810</v>
      </c>
      <c r="I194" t="s">
        <v>22</v>
      </c>
      <c r="J194">
        <v>491</v>
      </c>
      <c r="K194">
        <v>0</v>
      </c>
      <c r="L194">
        <v>27</v>
      </c>
      <c r="M194" t="s">
        <v>829</v>
      </c>
      <c r="N194">
        <v>32</v>
      </c>
      <c r="O194">
        <v>37.744999999999997</v>
      </c>
      <c r="P194">
        <v>141.59</v>
      </c>
      <c r="Q194" t="s">
        <v>104</v>
      </c>
      <c r="R194" t="s">
        <v>54</v>
      </c>
      <c r="S194" t="s">
        <v>200</v>
      </c>
      <c r="T194">
        <v>2</v>
      </c>
    </row>
    <row r="195" spans="1:20">
      <c r="A195" t="s">
        <v>1376</v>
      </c>
      <c r="B195">
        <v>6.7</v>
      </c>
      <c r="C195" t="s">
        <v>1377</v>
      </c>
      <c r="D195">
        <v>7</v>
      </c>
      <c r="E195">
        <v>8</v>
      </c>
      <c r="G195">
        <v>0</v>
      </c>
      <c r="H195">
        <v>782</v>
      </c>
      <c r="I195" t="s">
        <v>22</v>
      </c>
      <c r="J195">
        <v>493</v>
      </c>
      <c r="K195">
        <v>0</v>
      </c>
      <c r="L195">
        <v>23.9</v>
      </c>
      <c r="M195" t="s">
        <v>829</v>
      </c>
      <c r="N195">
        <v>8</v>
      </c>
      <c r="O195">
        <v>37.335999999999999</v>
      </c>
      <c r="P195">
        <v>136.58799999999999</v>
      </c>
      <c r="Q195" t="s">
        <v>1378</v>
      </c>
      <c r="R195" t="s">
        <v>54</v>
      </c>
      <c r="S195" t="s">
        <v>200</v>
      </c>
      <c r="T195">
        <v>2</v>
      </c>
    </row>
    <row r="196" spans="1:20">
      <c r="A196" t="s">
        <v>1213</v>
      </c>
      <c r="B196">
        <v>6.8</v>
      </c>
      <c r="C196" t="s">
        <v>1214</v>
      </c>
      <c r="D196">
        <v>0</v>
      </c>
      <c r="E196">
        <v>6</v>
      </c>
      <c r="G196">
        <v>0</v>
      </c>
      <c r="H196">
        <v>711</v>
      </c>
      <c r="I196" t="s">
        <v>22</v>
      </c>
      <c r="J196">
        <v>424</v>
      </c>
      <c r="K196">
        <v>0</v>
      </c>
      <c r="L196">
        <v>21.4</v>
      </c>
      <c r="M196" t="s">
        <v>829</v>
      </c>
      <c r="N196">
        <v>34</v>
      </c>
      <c r="O196">
        <v>29.218</v>
      </c>
      <c r="P196">
        <v>129.78200000000001</v>
      </c>
      <c r="Q196" t="s">
        <v>272</v>
      </c>
      <c r="R196" t="s">
        <v>54</v>
      </c>
      <c r="S196" t="s">
        <v>200</v>
      </c>
      <c r="T196">
        <v>2</v>
      </c>
    </row>
    <row r="197" spans="1:20">
      <c r="A197" t="s">
        <v>270</v>
      </c>
      <c r="B197">
        <v>6.6</v>
      </c>
      <c r="C197" t="s">
        <v>271</v>
      </c>
      <c r="D197">
        <v>5</v>
      </c>
      <c r="E197">
        <v>4</v>
      </c>
      <c r="F197" t="s">
        <v>21</v>
      </c>
      <c r="G197">
        <v>1</v>
      </c>
      <c r="H197">
        <v>734</v>
      </c>
      <c r="I197" t="s">
        <v>22</v>
      </c>
      <c r="J197">
        <v>0</v>
      </c>
      <c r="K197">
        <v>2.0150000000000001</v>
      </c>
      <c r="L197">
        <v>18</v>
      </c>
      <c r="M197" t="s">
        <v>23</v>
      </c>
      <c r="N197">
        <v>165</v>
      </c>
      <c r="O197">
        <v>28.938600000000001</v>
      </c>
      <c r="P197">
        <v>128.262</v>
      </c>
      <c r="Q197" t="s">
        <v>272</v>
      </c>
      <c r="R197" t="s">
        <v>54</v>
      </c>
      <c r="S197" t="s">
        <v>200</v>
      </c>
      <c r="T197">
        <v>2</v>
      </c>
    </row>
    <row r="198" spans="1:20">
      <c r="A198" t="s">
        <v>1515</v>
      </c>
      <c r="B198">
        <v>7</v>
      </c>
      <c r="C198" t="s">
        <v>1516</v>
      </c>
      <c r="D198">
        <v>4</v>
      </c>
      <c r="E198">
        <v>7</v>
      </c>
      <c r="G198">
        <v>0</v>
      </c>
      <c r="H198">
        <v>771</v>
      </c>
      <c r="I198" t="s">
        <v>22</v>
      </c>
      <c r="J198">
        <v>929</v>
      </c>
      <c r="K198">
        <v>0</v>
      </c>
      <c r="L198">
        <v>23.9</v>
      </c>
      <c r="M198" t="s">
        <v>36</v>
      </c>
      <c r="N198">
        <v>39</v>
      </c>
      <c r="O198">
        <v>43.006</v>
      </c>
      <c r="P198">
        <v>145.119</v>
      </c>
      <c r="Q198" t="s">
        <v>1514</v>
      </c>
      <c r="R198" t="s">
        <v>54</v>
      </c>
      <c r="S198" t="s">
        <v>200</v>
      </c>
      <c r="T198">
        <v>2</v>
      </c>
    </row>
    <row r="199" spans="1:20">
      <c r="A199" t="s">
        <v>1513</v>
      </c>
      <c r="B199">
        <v>6.8</v>
      </c>
      <c r="C199" s="1">
        <v>38150.59375</v>
      </c>
      <c r="D199">
        <v>4</v>
      </c>
      <c r="E199">
        <v>7</v>
      </c>
      <c r="G199">
        <v>0</v>
      </c>
      <c r="H199">
        <v>724</v>
      </c>
      <c r="I199" t="s">
        <v>22</v>
      </c>
      <c r="J199">
        <v>759</v>
      </c>
      <c r="K199">
        <v>0</v>
      </c>
      <c r="L199">
        <v>23.6</v>
      </c>
      <c r="M199" t="s">
        <v>36</v>
      </c>
      <c r="N199">
        <v>35</v>
      </c>
      <c r="O199">
        <v>42.9</v>
      </c>
      <c r="P199">
        <v>145.22800000000001</v>
      </c>
      <c r="Q199" t="s">
        <v>1514</v>
      </c>
      <c r="R199" t="s">
        <v>54</v>
      </c>
      <c r="S199" t="s">
        <v>200</v>
      </c>
      <c r="T199">
        <v>2</v>
      </c>
    </row>
    <row r="200" spans="1:20">
      <c r="A200" t="s">
        <v>980</v>
      </c>
      <c r="B200">
        <v>6.9</v>
      </c>
      <c r="C200" s="1">
        <v>41307.595138888886</v>
      </c>
      <c r="D200">
        <v>6</v>
      </c>
      <c r="E200">
        <v>7</v>
      </c>
      <c r="F200" t="s">
        <v>45</v>
      </c>
      <c r="G200">
        <v>0</v>
      </c>
      <c r="H200">
        <v>814</v>
      </c>
      <c r="I200" t="s">
        <v>22</v>
      </c>
      <c r="J200">
        <v>686</v>
      </c>
      <c r="K200">
        <v>0</v>
      </c>
      <c r="L200">
        <v>28</v>
      </c>
      <c r="M200" t="s">
        <v>23</v>
      </c>
      <c r="N200">
        <v>107</v>
      </c>
      <c r="O200">
        <v>42.77</v>
      </c>
      <c r="P200">
        <v>143.09200000000001</v>
      </c>
      <c r="Q200" t="s">
        <v>981</v>
      </c>
      <c r="R200" t="s">
        <v>54</v>
      </c>
      <c r="S200" t="s">
        <v>200</v>
      </c>
      <c r="T200">
        <v>2</v>
      </c>
    </row>
    <row r="201" spans="1:20">
      <c r="A201" t="s">
        <v>1264</v>
      </c>
      <c r="B201">
        <v>6.8</v>
      </c>
      <c r="C201" s="1">
        <v>39761.013888888891</v>
      </c>
      <c r="D201">
        <v>0</v>
      </c>
      <c r="E201">
        <v>6</v>
      </c>
      <c r="G201">
        <v>0</v>
      </c>
      <c r="H201">
        <v>711</v>
      </c>
      <c r="I201" t="s">
        <v>22</v>
      </c>
      <c r="J201">
        <v>500</v>
      </c>
      <c r="K201">
        <v>0</v>
      </c>
      <c r="L201">
        <v>22.2</v>
      </c>
      <c r="M201" t="s">
        <v>829</v>
      </c>
      <c r="N201">
        <v>25</v>
      </c>
      <c r="O201">
        <v>41.892000000000003</v>
      </c>
      <c r="P201">
        <v>143.75399999999999</v>
      </c>
      <c r="Q201" t="s">
        <v>981</v>
      </c>
      <c r="R201" t="s">
        <v>54</v>
      </c>
      <c r="S201" t="s">
        <v>200</v>
      </c>
      <c r="T201">
        <v>2</v>
      </c>
    </row>
    <row r="202" spans="1:20">
      <c r="A202" t="s">
        <v>888</v>
      </c>
      <c r="B202">
        <v>7.1</v>
      </c>
      <c r="C202" t="s">
        <v>889</v>
      </c>
      <c r="D202">
        <v>6</v>
      </c>
      <c r="E202">
        <v>4</v>
      </c>
      <c r="F202" t="s">
        <v>21</v>
      </c>
      <c r="G202">
        <v>1</v>
      </c>
      <c r="H202">
        <v>872</v>
      </c>
      <c r="I202" t="s">
        <v>22</v>
      </c>
      <c r="J202">
        <v>0</v>
      </c>
      <c r="K202">
        <v>3.968</v>
      </c>
      <c r="L202">
        <v>10</v>
      </c>
      <c r="M202" t="s">
        <v>23</v>
      </c>
      <c r="N202">
        <v>35</v>
      </c>
      <c r="O202">
        <v>37.155700000000003</v>
      </c>
      <c r="P202">
        <v>144.661</v>
      </c>
      <c r="Q202" t="s">
        <v>890</v>
      </c>
      <c r="R202" t="s">
        <v>54</v>
      </c>
      <c r="S202" t="s">
        <v>200</v>
      </c>
      <c r="T202">
        <v>2</v>
      </c>
    </row>
    <row r="203" spans="1:20">
      <c r="A203" t="s">
        <v>1529</v>
      </c>
      <c r="B203">
        <v>6.6</v>
      </c>
      <c r="C203" t="s">
        <v>1530</v>
      </c>
      <c r="D203">
        <v>0</v>
      </c>
      <c r="E203">
        <v>8</v>
      </c>
      <c r="G203">
        <v>0</v>
      </c>
      <c r="H203">
        <v>670</v>
      </c>
      <c r="I203" t="s">
        <v>22</v>
      </c>
      <c r="J203">
        <v>782</v>
      </c>
      <c r="K203">
        <v>0</v>
      </c>
      <c r="L203">
        <v>37</v>
      </c>
      <c r="M203" t="s">
        <v>829</v>
      </c>
      <c r="N203">
        <v>16</v>
      </c>
      <c r="O203">
        <v>37.225999999999999</v>
      </c>
      <c r="P203">
        <v>138.779</v>
      </c>
      <c r="Q203" t="s">
        <v>1531</v>
      </c>
      <c r="R203" t="s">
        <v>54</v>
      </c>
      <c r="S203" t="s">
        <v>200</v>
      </c>
      <c r="T203">
        <v>2</v>
      </c>
    </row>
    <row r="204" spans="1:20">
      <c r="A204" t="s">
        <v>1541</v>
      </c>
      <c r="B204">
        <v>7.4</v>
      </c>
      <c r="C204" s="1">
        <v>38116.622916666667</v>
      </c>
      <c r="D204">
        <v>0</v>
      </c>
      <c r="E204">
        <v>5</v>
      </c>
      <c r="G204">
        <v>0</v>
      </c>
      <c r="H204">
        <v>842</v>
      </c>
      <c r="I204" t="s">
        <v>22</v>
      </c>
      <c r="J204">
        <v>594</v>
      </c>
      <c r="K204">
        <v>0</v>
      </c>
      <c r="L204">
        <v>27.5</v>
      </c>
      <c r="M204" t="s">
        <v>36</v>
      </c>
      <c r="N204">
        <v>10</v>
      </c>
      <c r="O204">
        <v>33.183999999999997</v>
      </c>
      <c r="P204">
        <v>137.071</v>
      </c>
      <c r="Q204" t="s">
        <v>1540</v>
      </c>
      <c r="R204" t="s">
        <v>54</v>
      </c>
      <c r="S204" t="s">
        <v>200</v>
      </c>
      <c r="T204">
        <v>2</v>
      </c>
    </row>
    <row r="205" spans="1:20">
      <c r="A205" t="s">
        <v>1542</v>
      </c>
      <c r="B205">
        <v>7.2</v>
      </c>
      <c r="C205" s="1">
        <v>38116.421527777777</v>
      </c>
      <c r="D205">
        <v>0</v>
      </c>
      <c r="E205">
        <v>5</v>
      </c>
      <c r="G205">
        <v>0</v>
      </c>
      <c r="H205">
        <v>798</v>
      </c>
      <c r="I205" t="s">
        <v>22</v>
      </c>
      <c r="J205">
        <v>643</v>
      </c>
      <c r="K205">
        <v>0</v>
      </c>
      <c r="L205">
        <v>28.4</v>
      </c>
      <c r="M205" t="s">
        <v>829</v>
      </c>
      <c r="N205">
        <v>14</v>
      </c>
      <c r="O205">
        <v>33.07</v>
      </c>
      <c r="P205">
        <v>136.61799999999999</v>
      </c>
      <c r="Q205" t="s">
        <v>1540</v>
      </c>
      <c r="R205" s="3" t="s">
        <v>54</v>
      </c>
      <c r="S205" t="s">
        <v>200</v>
      </c>
      <c r="T205">
        <v>2</v>
      </c>
    </row>
    <row r="206" spans="1:20">
      <c r="A206" t="s">
        <v>1539</v>
      </c>
      <c r="B206">
        <v>6.6</v>
      </c>
      <c r="C206" s="1">
        <v>38147.978472222225</v>
      </c>
      <c r="D206">
        <v>0</v>
      </c>
      <c r="E206">
        <v>4</v>
      </c>
      <c r="G206">
        <v>0</v>
      </c>
      <c r="H206">
        <v>670</v>
      </c>
      <c r="I206" t="s">
        <v>22</v>
      </c>
      <c r="J206">
        <v>478</v>
      </c>
      <c r="K206">
        <v>0</v>
      </c>
      <c r="L206">
        <v>29.8</v>
      </c>
      <c r="M206" t="s">
        <v>829</v>
      </c>
      <c r="N206">
        <v>10</v>
      </c>
      <c r="O206">
        <v>33.204999999999998</v>
      </c>
      <c r="P206">
        <v>137.227</v>
      </c>
      <c r="Q206" t="s">
        <v>1540</v>
      </c>
      <c r="R206" t="s">
        <v>54</v>
      </c>
      <c r="S206" t="s">
        <v>200</v>
      </c>
      <c r="T206">
        <v>2</v>
      </c>
    </row>
    <row r="207" spans="1:20">
      <c r="A207" t="s">
        <v>664</v>
      </c>
      <c r="B207">
        <v>6.7</v>
      </c>
      <c r="C207" t="s">
        <v>665</v>
      </c>
      <c r="D207">
        <v>5</v>
      </c>
      <c r="E207">
        <v>6</v>
      </c>
      <c r="F207" t="s">
        <v>21</v>
      </c>
      <c r="G207">
        <v>1</v>
      </c>
      <c r="H207">
        <v>717</v>
      </c>
      <c r="I207" t="s">
        <v>22</v>
      </c>
      <c r="J207">
        <v>0</v>
      </c>
      <c r="K207">
        <v>0.28100000000000003</v>
      </c>
      <c r="L207">
        <v>22</v>
      </c>
      <c r="M207" t="s">
        <v>23</v>
      </c>
      <c r="N207">
        <v>46</v>
      </c>
      <c r="O207">
        <v>41.972299999999997</v>
      </c>
      <c r="P207">
        <v>142.78100000000001</v>
      </c>
      <c r="Q207" t="s">
        <v>666</v>
      </c>
      <c r="R207" t="s">
        <v>54</v>
      </c>
      <c r="S207" t="s">
        <v>200</v>
      </c>
      <c r="T207">
        <v>2</v>
      </c>
    </row>
    <row r="208" spans="1:20">
      <c r="A208" t="s">
        <v>1589</v>
      </c>
      <c r="B208">
        <v>7.4</v>
      </c>
      <c r="C208" t="s">
        <v>1590</v>
      </c>
      <c r="D208">
        <v>0</v>
      </c>
      <c r="E208">
        <v>7</v>
      </c>
      <c r="G208">
        <v>0</v>
      </c>
      <c r="H208">
        <v>842</v>
      </c>
      <c r="I208" t="s">
        <v>22</v>
      </c>
      <c r="J208">
        <v>514</v>
      </c>
      <c r="K208">
        <v>0</v>
      </c>
      <c r="L208">
        <v>78.8</v>
      </c>
      <c r="M208" t="s">
        <v>829</v>
      </c>
      <c r="N208">
        <v>33</v>
      </c>
      <c r="O208">
        <v>41.774000000000001</v>
      </c>
      <c r="P208">
        <v>143.59299999999999</v>
      </c>
      <c r="Q208" t="s">
        <v>666</v>
      </c>
      <c r="R208" t="s">
        <v>54</v>
      </c>
      <c r="S208" t="s">
        <v>200</v>
      </c>
      <c r="T208">
        <v>2</v>
      </c>
    </row>
    <row r="209" spans="1:20">
      <c r="A209" t="s">
        <v>1232</v>
      </c>
      <c r="B209">
        <v>6.6</v>
      </c>
      <c r="C209" s="1">
        <v>40155.949999999997</v>
      </c>
      <c r="D209">
        <v>4</v>
      </c>
      <c r="E209">
        <v>5</v>
      </c>
      <c r="G209">
        <v>0</v>
      </c>
      <c r="H209">
        <v>703</v>
      </c>
      <c r="I209" t="s">
        <v>22</v>
      </c>
      <c r="J209">
        <v>336</v>
      </c>
      <c r="K209">
        <v>0</v>
      </c>
      <c r="L209">
        <v>14.1</v>
      </c>
      <c r="M209" t="s">
        <v>829</v>
      </c>
      <c r="N209">
        <v>53</v>
      </c>
      <c r="O209">
        <v>32.820999999999998</v>
      </c>
      <c r="P209">
        <v>140.39500000000001</v>
      </c>
      <c r="Q209" t="s">
        <v>1233</v>
      </c>
      <c r="R209" t="s">
        <v>54</v>
      </c>
      <c r="S209" t="s">
        <v>200</v>
      </c>
      <c r="T209">
        <v>2</v>
      </c>
    </row>
    <row r="210" spans="1:20">
      <c r="A210" t="s">
        <v>1675</v>
      </c>
      <c r="B210">
        <v>6.8</v>
      </c>
      <c r="C210" t="s">
        <v>1676</v>
      </c>
      <c r="D210">
        <v>0</v>
      </c>
      <c r="E210">
        <v>5</v>
      </c>
      <c r="G210">
        <v>0</v>
      </c>
      <c r="H210">
        <v>711</v>
      </c>
      <c r="I210" t="s">
        <v>22</v>
      </c>
      <c r="J210">
        <v>499</v>
      </c>
      <c r="K210">
        <v>0</v>
      </c>
      <c r="L210">
        <v>0</v>
      </c>
      <c r="M210" t="s">
        <v>829</v>
      </c>
      <c r="N210">
        <v>14</v>
      </c>
      <c r="O210">
        <v>23.954000000000001</v>
      </c>
      <c r="P210">
        <v>122.73399999999999</v>
      </c>
      <c r="Q210" t="s">
        <v>1534</v>
      </c>
      <c r="R210" t="s">
        <v>54</v>
      </c>
      <c r="S210" t="s">
        <v>200</v>
      </c>
      <c r="T210">
        <v>2</v>
      </c>
    </row>
    <row r="211" spans="1:20">
      <c r="A211" t="s">
        <v>1532</v>
      </c>
      <c r="B211">
        <v>6.7</v>
      </c>
      <c r="C211" t="s">
        <v>1533</v>
      </c>
      <c r="D211">
        <v>5</v>
      </c>
      <c r="E211">
        <v>6</v>
      </c>
      <c r="G211">
        <v>0</v>
      </c>
      <c r="H211">
        <v>705</v>
      </c>
      <c r="I211" t="s">
        <v>22</v>
      </c>
      <c r="J211">
        <v>698</v>
      </c>
      <c r="K211">
        <v>0</v>
      </c>
      <c r="L211">
        <v>24.7</v>
      </c>
      <c r="M211" t="s">
        <v>36</v>
      </c>
      <c r="N211">
        <v>94</v>
      </c>
      <c r="O211">
        <v>24.53</v>
      </c>
      <c r="P211">
        <v>122.694</v>
      </c>
      <c r="Q211" t="s">
        <v>1534</v>
      </c>
      <c r="R211" t="s">
        <v>54</v>
      </c>
      <c r="S211" t="s">
        <v>200</v>
      </c>
      <c r="T211">
        <v>2</v>
      </c>
    </row>
    <row r="212" spans="1:20">
      <c r="A212" t="s">
        <v>84</v>
      </c>
      <c r="B212">
        <v>6.9</v>
      </c>
      <c r="C212" s="1">
        <v>44201.060416666667</v>
      </c>
      <c r="D212">
        <v>7</v>
      </c>
      <c r="E212">
        <v>6</v>
      </c>
      <c r="F212" t="s">
        <v>21</v>
      </c>
      <c r="G212">
        <v>1</v>
      </c>
      <c r="H212">
        <v>919</v>
      </c>
      <c r="I212" t="s">
        <v>22</v>
      </c>
      <c r="J212">
        <v>0</v>
      </c>
      <c r="K212">
        <v>2.6190000000000002</v>
      </c>
      <c r="L212">
        <v>35</v>
      </c>
      <c r="M212" t="s">
        <v>23</v>
      </c>
      <c r="N212">
        <v>43</v>
      </c>
      <c r="O212">
        <v>38.229599999999998</v>
      </c>
      <c r="P212">
        <v>141.66499999999999</v>
      </c>
      <c r="R212" t="s">
        <v>54</v>
      </c>
      <c r="S212" t="s">
        <v>200</v>
      </c>
      <c r="T212">
        <v>2</v>
      </c>
    </row>
    <row r="213" spans="1:20">
      <c r="A213" t="s">
        <v>1261</v>
      </c>
      <c r="B213">
        <v>6.7</v>
      </c>
      <c r="C213" s="1">
        <v>39578.661111111112</v>
      </c>
      <c r="D213">
        <v>0</v>
      </c>
      <c r="E213">
        <v>6</v>
      </c>
      <c r="G213">
        <v>0</v>
      </c>
      <c r="H213">
        <v>691</v>
      </c>
      <c r="I213" t="s">
        <v>22</v>
      </c>
      <c r="J213">
        <v>529</v>
      </c>
      <c r="K213">
        <v>0</v>
      </c>
      <c r="L213">
        <v>22.3</v>
      </c>
      <c r="M213" t="s">
        <v>829</v>
      </c>
      <c r="N213">
        <v>27.4</v>
      </c>
      <c r="O213">
        <v>39.533000000000001</v>
      </c>
      <c r="P213">
        <v>73.823999999999998</v>
      </c>
      <c r="Q213" t="s">
        <v>1262</v>
      </c>
      <c r="R213" t="s">
        <v>54</v>
      </c>
      <c r="S213" t="s">
        <v>1263</v>
      </c>
      <c r="T213">
        <v>2</v>
      </c>
    </row>
    <row r="214" spans="1:20">
      <c r="A214" t="s">
        <v>225</v>
      </c>
      <c r="B214">
        <v>6.7</v>
      </c>
      <c r="C214" s="1">
        <v>44501.897222222222</v>
      </c>
      <c r="D214">
        <v>8</v>
      </c>
      <c r="E214">
        <v>8</v>
      </c>
      <c r="F214" t="s">
        <v>21</v>
      </c>
      <c r="G214">
        <v>0</v>
      </c>
      <c r="H214">
        <v>776</v>
      </c>
      <c r="I214" t="s">
        <v>22</v>
      </c>
      <c r="J214">
        <v>0</v>
      </c>
      <c r="K214">
        <v>2.0430000000000001</v>
      </c>
      <c r="L214">
        <v>22</v>
      </c>
      <c r="M214" t="s">
        <v>23</v>
      </c>
      <c r="N214">
        <v>10</v>
      </c>
      <c r="O214">
        <v>51.240699999999997</v>
      </c>
      <c r="P214">
        <v>100.443</v>
      </c>
      <c r="Q214" t="s">
        <v>226</v>
      </c>
      <c r="R214" t="s">
        <v>54</v>
      </c>
      <c r="S214" t="s">
        <v>227</v>
      </c>
      <c r="T214">
        <v>2</v>
      </c>
    </row>
    <row r="215" spans="1:20">
      <c r="A215" t="s">
        <v>617</v>
      </c>
      <c r="B215">
        <v>6.8</v>
      </c>
      <c r="C215" t="s">
        <v>618</v>
      </c>
      <c r="D215">
        <v>6</v>
      </c>
      <c r="E215">
        <v>6</v>
      </c>
      <c r="F215" t="s">
        <v>45</v>
      </c>
      <c r="G215">
        <v>0</v>
      </c>
      <c r="H215">
        <v>981</v>
      </c>
      <c r="I215" t="s">
        <v>22</v>
      </c>
      <c r="J215">
        <v>0</v>
      </c>
      <c r="K215">
        <v>1.802</v>
      </c>
      <c r="L215">
        <v>17</v>
      </c>
      <c r="M215" t="s">
        <v>23</v>
      </c>
      <c r="N215">
        <v>82</v>
      </c>
      <c r="O215">
        <v>20.922799999999999</v>
      </c>
      <c r="P215">
        <v>94.569000000000003</v>
      </c>
      <c r="Q215" t="s">
        <v>619</v>
      </c>
      <c r="R215" t="s">
        <v>54</v>
      </c>
      <c r="S215" t="s">
        <v>620</v>
      </c>
      <c r="T215">
        <v>2</v>
      </c>
    </row>
    <row r="216" spans="1:20">
      <c r="A216" t="s">
        <v>644</v>
      </c>
      <c r="B216">
        <v>6.9</v>
      </c>
      <c r="C216" t="s">
        <v>645</v>
      </c>
      <c r="D216">
        <v>6</v>
      </c>
      <c r="E216">
        <v>6</v>
      </c>
      <c r="F216" t="s">
        <v>45</v>
      </c>
      <c r="G216">
        <v>0</v>
      </c>
      <c r="H216">
        <v>903</v>
      </c>
      <c r="I216" t="s">
        <v>22</v>
      </c>
      <c r="J216">
        <v>0</v>
      </c>
      <c r="K216">
        <v>3.0009999999999999</v>
      </c>
      <c r="L216">
        <v>14</v>
      </c>
      <c r="M216" t="s">
        <v>23</v>
      </c>
      <c r="N216">
        <v>136</v>
      </c>
      <c r="O216">
        <v>23.0944</v>
      </c>
      <c r="P216">
        <v>94.865399999999994</v>
      </c>
      <c r="Q216" t="s">
        <v>646</v>
      </c>
      <c r="R216" t="s">
        <v>54</v>
      </c>
      <c r="S216" t="s">
        <v>620</v>
      </c>
      <c r="T216">
        <v>2</v>
      </c>
    </row>
    <row r="217" spans="1:20">
      <c r="A217" t="s">
        <v>992</v>
      </c>
      <c r="B217">
        <v>6.8</v>
      </c>
      <c r="C217" s="1">
        <v>41224.050000000003</v>
      </c>
      <c r="D217">
        <v>7</v>
      </c>
      <c r="E217">
        <v>6</v>
      </c>
      <c r="G217">
        <v>0</v>
      </c>
      <c r="H217">
        <v>795</v>
      </c>
      <c r="I217" t="s">
        <v>22</v>
      </c>
      <c r="J217">
        <v>391</v>
      </c>
      <c r="K217">
        <v>0</v>
      </c>
      <c r="L217">
        <v>13.7</v>
      </c>
      <c r="M217" t="s">
        <v>23</v>
      </c>
      <c r="N217">
        <v>13.7</v>
      </c>
      <c r="O217">
        <v>23.004999999999999</v>
      </c>
      <c r="P217">
        <v>95.885000000000005</v>
      </c>
      <c r="Q217" t="s">
        <v>993</v>
      </c>
      <c r="R217" t="s">
        <v>54</v>
      </c>
      <c r="S217" t="s">
        <v>620</v>
      </c>
      <c r="T217">
        <v>2</v>
      </c>
    </row>
    <row r="218" spans="1:20">
      <c r="A218" t="s">
        <v>1100</v>
      </c>
      <c r="B218">
        <v>6.9</v>
      </c>
      <c r="C218" t="s">
        <v>1101</v>
      </c>
      <c r="D218">
        <v>7</v>
      </c>
      <c r="E218">
        <v>9</v>
      </c>
      <c r="G218">
        <v>0</v>
      </c>
      <c r="H218">
        <v>1154</v>
      </c>
      <c r="I218" t="s">
        <v>22</v>
      </c>
      <c r="J218">
        <v>335</v>
      </c>
      <c r="K218">
        <v>0</v>
      </c>
      <c r="L218">
        <v>18.2</v>
      </c>
      <c r="M218" t="s">
        <v>23</v>
      </c>
      <c r="N218">
        <v>8</v>
      </c>
      <c r="O218">
        <v>20.687000000000001</v>
      </c>
      <c r="P218">
        <v>99.822000000000003</v>
      </c>
      <c r="Q218" t="s">
        <v>1102</v>
      </c>
      <c r="R218" t="s">
        <v>54</v>
      </c>
      <c r="S218" t="s">
        <v>620</v>
      </c>
      <c r="T218">
        <v>2</v>
      </c>
    </row>
    <row r="219" spans="1:20">
      <c r="A219" t="s">
        <v>1593</v>
      </c>
      <c r="B219">
        <v>6.6</v>
      </c>
      <c r="C219" t="s">
        <v>1594</v>
      </c>
      <c r="D219">
        <v>0</v>
      </c>
      <c r="E219">
        <v>7</v>
      </c>
      <c r="G219">
        <v>0</v>
      </c>
      <c r="H219">
        <v>670</v>
      </c>
      <c r="I219" t="s">
        <v>22</v>
      </c>
      <c r="J219">
        <v>518</v>
      </c>
      <c r="K219">
        <v>0</v>
      </c>
      <c r="L219">
        <v>24.7</v>
      </c>
      <c r="M219" t="s">
        <v>36</v>
      </c>
      <c r="N219">
        <v>10</v>
      </c>
      <c r="O219">
        <v>19.917000000000002</v>
      </c>
      <c r="P219">
        <v>95.671999999999997</v>
      </c>
      <c r="Q219" t="s">
        <v>1595</v>
      </c>
      <c r="R219" t="s">
        <v>54</v>
      </c>
      <c r="S219" t="s">
        <v>620</v>
      </c>
      <c r="T219">
        <v>2</v>
      </c>
    </row>
    <row r="220" spans="1:20">
      <c r="A220" t="s">
        <v>768</v>
      </c>
      <c r="B220">
        <v>7.8</v>
      </c>
      <c r="C220" t="s">
        <v>769</v>
      </c>
      <c r="D220">
        <v>8</v>
      </c>
      <c r="E220">
        <v>9</v>
      </c>
      <c r="F220" t="s">
        <v>103</v>
      </c>
      <c r="G220">
        <v>0</v>
      </c>
      <c r="H220">
        <v>2820</v>
      </c>
      <c r="I220" t="s">
        <v>22</v>
      </c>
      <c r="J220">
        <v>0</v>
      </c>
      <c r="K220">
        <v>1.857</v>
      </c>
      <c r="L220">
        <v>12</v>
      </c>
      <c r="M220" t="s">
        <v>23</v>
      </c>
      <c r="N220">
        <v>8.2200000000000006</v>
      </c>
      <c r="O220">
        <v>28.230499999999999</v>
      </c>
      <c r="P220">
        <v>84.731399999999994</v>
      </c>
      <c r="Q220" t="s">
        <v>767</v>
      </c>
      <c r="R220" t="s">
        <v>54</v>
      </c>
      <c r="S220" t="s">
        <v>756</v>
      </c>
      <c r="T220">
        <v>2</v>
      </c>
    </row>
    <row r="221" spans="1:20">
      <c r="A221" t="s">
        <v>765</v>
      </c>
      <c r="B221">
        <v>6.6</v>
      </c>
      <c r="C221" t="s">
        <v>766</v>
      </c>
      <c r="D221">
        <v>8</v>
      </c>
      <c r="E221">
        <v>7</v>
      </c>
      <c r="F221" t="s">
        <v>45</v>
      </c>
      <c r="G221">
        <v>0</v>
      </c>
      <c r="H221">
        <v>733</v>
      </c>
      <c r="I221" t="s">
        <v>22</v>
      </c>
      <c r="J221">
        <v>0</v>
      </c>
      <c r="K221">
        <v>1.778</v>
      </c>
      <c r="L221">
        <v>16</v>
      </c>
      <c r="M221" t="s">
        <v>23</v>
      </c>
      <c r="N221">
        <v>10</v>
      </c>
      <c r="O221">
        <v>28.224399999999999</v>
      </c>
      <c r="P221">
        <v>84.821600000000004</v>
      </c>
      <c r="Q221" t="s">
        <v>767</v>
      </c>
      <c r="R221" t="s">
        <v>54</v>
      </c>
      <c r="S221" t="s">
        <v>756</v>
      </c>
      <c r="T221">
        <v>2</v>
      </c>
    </row>
    <row r="222" spans="1:20">
      <c r="A222" t="s">
        <v>762</v>
      </c>
      <c r="B222">
        <v>6.7</v>
      </c>
      <c r="C222" t="s">
        <v>763</v>
      </c>
      <c r="D222">
        <v>7</v>
      </c>
      <c r="E222">
        <v>7</v>
      </c>
      <c r="F222" t="s">
        <v>45</v>
      </c>
      <c r="G222">
        <v>0</v>
      </c>
      <c r="H222">
        <v>1016</v>
      </c>
      <c r="I222" t="s">
        <v>22</v>
      </c>
      <c r="J222">
        <v>0</v>
      </c>
      <c r="K222">
        <v>0.72699999999999998</v>
      </c>
      <c r="L222">
        <v>13</v>
      </c>
      <c r="M222" t="s">
        <v>23</v>
      </c>
      <c r="N222">
        <v>22.91</v>
      </c>
      <c r="O222">
        <v>27.771100000000001</v>
      </c>
      <c r="P222">
        <v>86.017300000000006</v>
      </c>
      <c r="Q222" t="s">
        <v>764</v>
      </c>
      <c r="R222" t="s">
        <v>54</v>
      </c>
      <c r="S222" t="s">
        <v>756</v>
      </c>
      <c r="T222">
        <v>2</v>
      </c>
    </row>
    <row r="223" spans="1:20">
      <c r="A223" t="s">
        <v>755</v>
      </c>
      <c r="B223">
        <v>7.3</v>
      </c>
      <c r="C223" s="1">
        <v>42343.295138888891</v>
      </c>
      <c r="D223">
        <v>8</v>
      </c>
      <c r="E223">
        <v>7</v>
      </c>
      <c r="F223" t="s">
        <v>66</v>
      </c>
      <c r="G223">
        <v>0</v>
      </c>
      <c r="H223">
        <v>1563</v>
      </c>
      <c r="I223" t="s">
        <v>22</v>
      </c>
      <c r="J223">
        <v>0</v>
      </c>
      <c r="K223">
        <v>0.67700000000000005</v>
      </c>
      <c r="L223">
        <v>11</v>
      </c>
      <c r="M223" t="s">
        <v>23</v>
      </c>
      <c r="N223">
        <v>15</v>
      </c>
      <c r="O223">
        <v>27.808700000000002</v>
      </c>
      <c r="P223">
        <v>86.0655</v>
      </c>
      <c r="Q223" t="s">
        <v>756</v>
      </c>
      <c r="R223" t="s">
        <v>54</v>
      </c>
      <c r="S223" t="s">
        <v>756</v>
      </c>
      <c r="T223">
        <v>2</v>
      </c>
    </row>
    <row r="224" spans="1:20">
      <c r="A224" t="s">
        <v>910</v>
      </c>
      <c r="B224">
        <v>7.7</v>
      </c>
      <c r="C224" t="s">
        <v>911</v>
      </c>
      <c r="D224">
        <v>5</v>
      </c>
      <c r="E224">
        <v>8</v>
      </c>
      <c r="F224" t="s">
        <v>103</v>
      </c>
      <c r="G224">
        <v>0</v>
      </c>
      <c r="H224">
        <v>2015</v>
      </c>
      <c r="I224" t="s">
        <v>22</v>
      </c>
      <c r="J224">
        <v>0</v>
      </c>
      <c r="K224">
        <v>7.2409999999999997</v>
      </c>
      <c r="L224">
        <v>17</v>
      </c>
      <c r="M224" t="s">
        <v>23</v>
      </c>
      <c r="N224">
        <v>15</v>
      </c>
      <c r="O224">
        <v>26.951000000000001</v>
      </c>
      <c r="P224">
        <v>65.500900000000001</v>
      </c>
      <c r="Q224" t="s">
        <v>912</v>
      </c>
      <c r="R224" t="s">
        <v>54</v>
      </c>
      <c r="S224" t="s">
        <v>907</v>
      </c>
      <c r="T224">
        <v>2</v>
      </c>
    </row>
    <row r="225" spans="1:20">
      <c r="A225" t="s">
        <v>1120</v>
      </c>
      <c r="B225">
        <v>7.2</v>
      </c>
      <c r="C225" t="s">
        <v>1121</v>
      </c>
      <c r="D225">
        <v>7</v>
      </c>
      <c r="E225">
        <v>7</v>
      </c>
      <c r="G225">
        <v>0</v>
      </c>
      <c r="H225">
        <v>1449</v>
      </c>
      <c r="I225" t="s">
        <v>22</v>
      </c>
      <c r="J225">
        <v>372</v>
      </c>
      <c r="K225">
        <v>0</v>
      </c>
      <c r="L225">
        <v>25.3</v>
      </c>
      <c r="M225" t="s">
        <v>23</v>
      </c>
      <c r="N225">
        <v>68</v>
      </c>
      <c r="O225">
        <v>28.777000000000001</v>
      </c>
      <c r="P225">
        <v>63.951000000000001</v>
      </c>
      <c r="Q225" t="s">
        <v>1122</v>
      </c>
      <c r="R225" t="s">
        <v>54</v>
      </c>
      <c r="S225" t="s">
        <v>907</v>
      </c>
      <c r="T225">
        <v>2</v>
      </c>
    </row>
    <row r="226" spans="1:20">
      <c r="A226" t="s">
        <v>904</v>
      </c>
      <c r="B226">
        <v>6.8</v>
      </c>
      <c r="C226" t="s">
        <v>905</v>
      </c>
      <c r="D226">
        <v>7</v>
      </c>
      <c r="E226">
        <v>7</v>
      </c>
      <c r="F226" t="s">
        <v>66</v>
      </c>
      <c r="G226">
        <v>0</v>
      </c>
      <c r="H226">
        <v>1005</v>
      </c>
      <c r="I226" t="s">
        <v>22</v>
      </c>
      <c r="J226">
        <v>0</v>
      </c>
      <c r="K226">
        <v>7.359</v>
      </c>
      <c r="L226">
        <v>17</v>
      </c>
      <c r="M226" t="s">
        <v>23</v>
      </c>
      <c r="N226">
        <v>12</v>
      </c>
      <c r="O226">
        <v>27.182500000000001</v>
      </c>
      <c r="P226">
        <v>65.505200000000002</v>
      </c>
      <c r="Q226" t="s">
        <v>906</v>
      </c>
      <c r="R226" t="s">
        <v>54</v>
      </c>
      <c r="S226" t="s">
        <v>907</v>
      </c>
      <c r="T226">
        <v>2</v>
      </c>
    </row>
    <row r="227" spans="1:20">
      <c r="A227" t="s">
        <v>1455</v>
      </c>
      <c r="B227">
        <v>7.6</v>
      </c>
      <c r="C227" s="1">
        <v>38574.159722222219</v>
      </c>
      <c r="D227">
        <v>9</v>
      </c>
      <c r="E227">
        <v>9</v>
      </c>
      <c r="G227">
        <v>0</v>
      </c>
      <c r="H227">
        <v>1267</v>
      </c>
      <c r="I227" t="s">
        <v>22</v>
      </c>
      <c r="J227">
        <v>724</v>
      </c>
      <c r="K227">
        <v>0</v>
      </c>
      <c r="L227">
        <v>21.1</v>
      </c>
      <c r="M227" t="s">
        <v>829</v>
      </c>
      <c r="N227">
        <v>26</v>
      </c>
      <c r="O227">
        <v>34.539000000000001</v>
      </c>
      <c r="P227">
        <v>73.587999999999994</v>
      </c>
      <c r="Q227" t="s">
        <v>1456</v>
      </c>
      <c r="R227" t="s">
        <v>54</v>
      </c>
      <c r="S227" t="s">
        <v>907</v>
      </c>
      <c r="T227">
        <v>2</v>
      </c>
    </row>
    <row r="228" spans="1:20">
      <c r="A228" t="s">
        <v>1286</v>
      </c>
      <c r="B228">
        <v>7.2</v>
      </c>
      <c r="C228" t="s">
        <v>1287</v>
      </c>
      <c r="D228">
        <v>0</v>
      </c>
      <c r="E228">
        <v>7</v>
      </c>
      <c r="G228">
        <v>0</v>
      </c>
      <c r="H228">
        <v>798</v>
      </c>
      <c r="I228" t="s">
        <v>22</v>
      </c>
      <c r="J228">
        <v>532</v>
      </c>
      <c r="K228">
        <v>0</v>
      </c>
      <c r="L228">
        <v>25.9</v>
      </c>
      <c r="M228" t="s">
        <v>829</v>
      </c>
      <c r="N228">
        <v>10</v>
      </c>
      <c r="O228">
        <v>35.49</v>
      </c>
      <c r="P228">
        <v>81.466999999999999</v>
      </c>
      <c r="Q228" t="s">
        <v>875</v>
      </c>
      <c r="R228" t="s">
        <v>54</v>
      </c>
      <c r="S228" t="s">
        <v>68</v>
      </c>
      <c r="T228">
        <v>2</v>
      </c>
    </row>
    <row r="229" spans="1:20">
      <c r="A229" t="s">
        <v>874</v>
      </c>
      <c r="B229">
        <v>6.9</v>
      </c>
      <c r="C229" s="1">
        <v>41975.388194444444</v>
      </c>
      <c r="D229">
        <v>3</v>
      </c>
      <c r="E229">
        <v>8</v>
      </c>
      <c r="F229" t="s">
        <v>45</v>
      </c>
      <c r="G229">
        <v>0</v>
      </c>
      <c r="H229">
        <v>733</v>
      </c>
      <c r="I229" t="s">
        <v>22</v>
      </c>
      <c r="J229">
        <v>0</v>
      </c>
      <c r="K229">
        <v>7.4960000000000004</v>
      </c>
      <c r="L229">
        <v>18</v>
      </c>
      <c r="M229" t="s">
        <v>23</v>
      </c>
      <c r="N229">
        <v>10</v>
      </c>
      <c r="O229">
        <v>35.905299999999997</v>
      </c>
      <c r="P229">
        <v>82.586399999999998</v>
      </c>
      <c r="Q229" t="s">
        <v>875</v>
      </c>
      <c r="R229" t="s">
        <v>54</v>
      </c>
      <c r="S229" t="s">
        <v>68</v>
      </c>
      <c r="T229">
        <v>2</v>
      </c>
    </row>
    <row r="230" spans="1:20">
      <c r="A230" t="s">
        <v>1267</v>
      </c>
      <c r="B230">
        <v>6.7</v>
      </c>
      <c r="C230" t="s">
        <v>1268</v>
      </c>
      <c r="D230">
        <v>4</v>
      </c>
      <c r="E230">
        <v>7</v>
      </c>
      <c r="G230">
        <v>0</v>
      </c>
      <c r="H230">
        <v>692</v>
      </c>
      <c r="I230" t="s">
        <v>22</v>
      </c>
      <c r="J230">
        <v>325</v>
      </c>
      <c r="K230">
        <v>0</v>
      </c>
      <c r="L230">
        <v>28</v>
      </c>
      <c r="M230" t="s">
        <v>829</v>
      </c>
      <c r="N230">
        <v>12</v>
      </c>
      <c r="O230">
        <v>30.901</v>
      </c>
      <c r="P230">
        <v>83.52</v>
      </c>
      <c r="Q230" t="s">
        <v>1269</v>
      </c>
      <c r="R230" t="s">
        <v>54</v>
      </c>
      <c r="S230" t="s">
        <v>68</v>
      </c>
      <c r="T230">
        <v>2</v>
      </c>
    </row>
    <row r="231" spans="1:20">
      <c r="A231" t="s">
        <v>65</v>
      </c>
      <c r="B231">
        <v>6.6</v>
      </c>
      <c r="C231" s="1">
        <v>44690.202777777777</v>
      </c>
      <c r="D231">
        <v>9</v>
      </c>
      <c r="E231">
        <v>8</v>
      </c>
      <c r="F231" t="s">
        <v>66</v>
      </c>
      <c r="G231">
        <v>0</v>
      </c>
      <c r="H231">
        <v>1043</v>
      </c>
      <c r="I231" t="s">
        <v>22</v>
      </c>
      <c r="J231">
        <v>141</v>
      </c>
      <c r="K231">
        <v>8.4540000000000006</v>
      </c>
      <c r="L231">
        <v>34</v>
      </c>
      <c r="M231" t="s">
        <v>23</v>
      </c>
      <c r="N231">
        <v>12</v>
      </c>
      <c r="O231">
        <v>29.726299999999998</v>
      </c>
      <c r="P231">
        <v>102.279</v>
      </c>
      <c r="Q231" t="s">
        <v>67</v>
      </c>
      <c r="R231" t="s">
        <v>54</v>
      </c>
      <c r="S231" t="s">
        <v>68</v>
      </c>
      <c r="T231">
        <v>2</v>
      </c>
    </row>
    <row r="232" spans="1:20">
      <c r="A232" t="s">
        <v>949</v>
      </c>
      <c r="B232">
        <v>6.6</v>
      </c>
      <c r="C232" t="s">
        <v>950</v>
      </c>
      <c r="D232">
        <v>8</v>
      </c>
      <c r="E232">
        <v>8</v>
      </c>
      <c r="F232" t="s">
        <v>103</v>
      </c>
      <c r="G232">
        <v>0</v>
      </c>
      <c r="H232">
        <v>2083</v>
      </c>
      <c r="I232" t="s">
        <v>22</v>
      </c>
      <c r="J232">
        <v>548</v>
      </c>
      <c r="K232">
        <v>0</v>
      </c>
      <c r="L232">
        <v>12.6</v>
      </c>
      <c r="M232" t="s">
        <v>23</v>
      </c>
      <c r="N232">
        <v>14</v>
      </c>
      <c r="O232">
        <v>30.308</v>
      </c>
      <c r="P232">
        <v>102.88800000000001</v>
      </c>
      <c r="Q232" t="s">
        <v>951</v>
      </c>
      <c r="R232" t="s">
        <v>54</v>
      </c>
      <c r="S232" t="s">
        <v>68</v>
      </c>
      <c r="T232">
        <v>2</v>
      </c>
    </row>
    <row r="233" spans="1:20">
      <c r="A233" t="s">
        <v>516</v>
      </c>
      <c r="B233">
        <v>6.5</v>
      </c>
      <c r="C233" s="1">
        <v>42955.554861111108</v>
      </c>
      <c r="D233">
        <v>5</v>
      </c>
      <c r="E233">
        <v>7</v>
      </c>
      <c r="F233" t="s">
        <v>45</v>
      </c>
      <c r="G233">
        <v>0</v>
      </c>
      <c r="H233">
        <v>707</v>
      </c>
      <c r="I233" t="s">
        <v>22</v>
      </c>
      <c r="J233">
        <v>0</v>
      </c>
      <c r="K233">
        <v>11.411</v>
      </c>
      <c r="L233">
        <v>22</v>
      </c>
      <c r="M233" t="s">
        <v>23</v>
      </c>
      <c r="N233">
        <v>9</v>
      </c>
      <c r="O233">
        <v>33.192599999999999</v>
      </c>
      <c r="P233">
        <v>103.855</v>
      </c>
      <c r="Q233" t="s">
        <v>517</v>
      </c>
      <c r="R233" t="s">
        <v>54</v>
      </c>
      <c r="S233" t="s">
        <v>68</v>
      </c>
      <c r="T233">
        <v>2</v>
      </c>
    </row>
    <row r="234" spans="1:20">
      <c r="A234" t="s">
        <v>583</v>
      </c>
      <c r="B234">
        <v>6.6</v>
      </c>
      <c r="C234" t="s">
        <v>584</v>
      </c>
      <c r="D234">
        <v>8</v>
      </c>
      <c r="E234">
        <v>7</v>
      </c>
      <c r="F234" t="s">
        <v>21</v>
      </c>
      <c r="G234">
        <v>0</v>
      </c>
      <c r="H234">
        <v>693</v>
      </c>
      <c r="I234" t="s">
        <v>22</v>
      </c>
      <c r="J234">
        <v>0</v>
      </c>
      <c r="K234">
        <v>1.6970000000000001</v>
      </c>
      <c r="L234">
        <v>20</v>
      </c>
      <c r="M234" t="s">
        <v>23</v>
      </c>
      <c r="N234">
        <v>17</v>
      </c>
      <c r="O234">
        <v>39.273200000000003</v>
      </c>
      <c r="P234">
        <v>73.977599999999995</v>
      </c>
      <c r="Q234" t="s">
        <v>585</v>
      </c>
      <c r="R234" t="s">
        <v>54</v>
      </c>
      <c r="S234" t="s">
        <v>68</v>
      </c>
      <c r="T234">
        <v>2</v>
      </c>
    </row>
    <row r="235" spans="1:20">
      <c r="A235" t="s">
        <v>130</v>
      </c>
      <c r="B235">
        <v>6.6</v>
      </c>
      <c r="C235" s="1">
        <v>44743.739583333336</v>
      </c>
      <c r="D235">
        <v>9</v>
      </c>
      <c r="E235">
        <v>8</v>
      </c>
      <c r="F235" t="s">
        <v>66</v>
      </c>
      <c r="G235">
        <v>0</v>
      </c>
      <c r="H235">
        <v>1012</v>
      </c>
      <c r="I235" t="s">
        <v>22</v>
      </c>
      <c r="J235">
        <v>0</v>
      </c>
      <c r="K235">
        <v>2.6850000000000001</v>
      </c>
      <c r="L235">
        <v>13</v>
      </c>
      <c r="M235" t="s">
        <v>23</v>
      </c>
      <c r="N235">
        <v>13</v>
      </c>
      <c r="O235">
        <v>37.816699999999997</v>
      </c>
      <c r="P235">
        <v>101.29900000000001</v>
      </c>
      <c r="Q235" t="s">
        <v>131</v>
      </c>
      <c r="R235" t="s">
        <v>54</v>
      </c>
      <c r="S235" t="s">
        <v>68</v>
      </c>
      <c r="T235">
        <v>2</v>
      </c>
    </row>
    <row r="236" spans="1:20">
      <c r="A236" t="s">
        <v>1171</v>
      </c>
      <c r="B236">
        <v>6.9</v>
      </c>
      <c r="C236" t="s">
        <v>1172</v>
      </c>
      <c r="D236">
        <v>6</v>
      </c>
      <c r="E236">
        <v>9</v>
      </c>
      <c r="G236">
        <v>0</v>
      </c>
      <c r="H236">
        <v>773</v>
      </c>
      <c r="I236" t="s">
        <v>22</v>
      </c>
      <c r="J236">
        <v>410</v>
      </c>
      <c r="K236">
        <v>0</v>
      </c>
      <c r="L236">
        <v>14.9</v>
      </c>
      <c r="M236" t="s">
        <v>829</v>
      </c>
      <c r="N236">
        <v>17</v>
      </c>
      <c r="O236">
        <v>33.164999999999999</v>
      </c>
      <c r="P236">
        <v>96.548000000000002</v>
      </c>
      <c r="Q236" t="s">
        <v>1173</v>
      </c>
      <c r="R236" t="s">
        <v>54</v>
      </c>
      <c r="S236" t="s">
        <v>68</v>
      </c>
      <c r="T236">
        <v>2</v>
      </c>
    </row>
    <row r="237" spans="1:20">
      <c r="A237" t="s">
        <v>1679</v>
      </c>
      <c r="B237">
        <v>7.8</v>
      </c>
      <c r="C237" t="s">
        <v>1680</v>
      </c>
      <c r="D237">
        <v>0</v>
      </c>
      <c r="E237">
        <v>9</v>
      </c>
      <c r="G237">
        <v>0</v>
      </c>
      <c r="H237">
        <v>936</v>
      </c>
      <c r="I237" t="s">
        <v>22</v>
      </c>
      <c r="J237">
        <v>368</v>
      </c>
      <c r="K237">
        <v>0</v>
      </c>
      <c r="L237">
        <v>0</v>
      </c>
      <c r="M237" t="s">
        <v>829</v>
      </c>
      <c r="N237">
        <v>10</v>
      </c>
      <c r="O237">
        <v>35.945999999999998</v>
      </c>
      <c r="P237">
        <v>90.540999999999997</v>
      </c>
      <c r="Q237" t="s">
        <v>194</v>
      </c>
      <c r="R237" t="s">
        <v>54</v>
      </c>
      <c r="S237" t="s">
        <v>68</v>
      </c>
      <c r="T237">
        <v>2</v>
      </c>
    </row>
    <row r="238" spans="1:20">
      <c r="A238" t="s">
        <v>192</v>
      </c>
      <c r="B238">
        <v>7.3</v>
      </c>
      <c r="C238" t="s">
        <v>193</v>
      </c>
      <c r="D238">
        <v>9</v>
      </c>
      <c r="E238">
        <v>9</v>
      </c>
      <c r="F238" t="s">
        <v>66</v>
      </c>
      <c r="G238">
        <v>0</v>
      </c>
      <c r="H238">
        <v>1025</v>
      </c>
      <c r="I238" t="s">
        <v>22</v>
      </c>
      <c r="J238">
        <v>0</v>
      </c>
      <c r="K238">
        <v>4.6550000000000002</v>
      </c>
      <c r="L238">
        <v>9</v>
      </c>
      <c r="M238" t="s">
        <v>23</v>
      </c>
      <c r="N238">
        <v>10</v>
      </c>
      <c r="O238">
        <v>34.586100000000002</v>
      </c>
      <c r="P238">
        <v>98.255099999999999</v>
      </c>
      <c r="Q238" t="s">
        <v>194</v>
      </c>
      <c r="R238" t="s">
        <v>54</v>
      </c>
      <c r="S238" t="s">
        <v>68</v>
      </c>
      <c r="T238">
        <v>2</v>
      </c>
    </row>
    <row r="239" spans="1:20">
      <c r="A239" t="s">
        <v>1282</v>
      </c>
      <c r="B239">
        <v>7.9</v>
      </c>
      <c r="C239" s="1">
        <v>39787.269444444442</v>
      </c>
      <c r="D239">
        <v>9</v>
      </c>
      <c r="E239">
        <v>9</v>
      </c>
      <c r="G239">
        <v>0</v>
      </c>
      <c r="H239">
        <v>1870</v>
      </c>
      <c r="I239" t="s">
        <v>22</v>
      </c>
      <c r="J239">
        <v>774</v>
      </c>
      <c r="K239">
        <v>0</v>
      </c>
      <c r="L239">
        <v>11.3</v>
      </c>
      <c r="M239" t="s">
        <v>829</v>
      </c>
      <c r="N239">
        <v>19</v>
      </c>
      <c r="O239">
        <v>31.001999999999999</v>
      </c>
      <c r="P239">
        <v>103.322</v>
      </c>
      <c r="Q239" t="s">
        <v>1283</v>
      </c>
      <c r="R239" t="s">
        <v>54</v>
      </c>
      <c r="S239" t="s">
        <v>68</v>
      </c>
      <c r="T239">
        <v>2</v>
      </c>
    </row>
    <row r="240" spans="1:20">
      <c r="A240" t="s">
        <v>72</v>
      </c>
      <c r="B240">
        <v>7</v>
      </c>
      <c r="C240" t="s">
        <v>73</v>
      </c>
      <c r="D240">
        <v>9</v>
      </c>
      <c r="E240">
        <v>8</v>
      </c>
      <c r="F240" t="s">
        <v>45</v>
      </c>
      <c r="G240">
        <v>1</v>
      </c>
      <c r="H240">
        <v>1351</v>
      </c>
      <c r="I240" t="s">
        <v>22</v>
      </c>
      <c r="J240">
        <v>152</v>
      </c>
      <c r="K240">
        <v>5.2759999999999998</v>
      </c>
      <c r="L240">
        <v>22</v>
      </c>
      <c r="M240" t="s">
        <v>23</v>
      </c>
      <c r="N240">
        <v>33.728999999999999</v>
      </c>
      <c r="O240">
        <v>17.597799999999999</v>
      </c>
      <c r="P240">
        <v>120.809</v>
      </c>
      <c r="Q240" t="s">
        <v>74</v>
      </c>
      <c r="R240" t="s">
        <v>54</v>
      </c>
      <c r="S240" t="s">
        <v>75</v>
      </c>
      <c r="T240">
        <v>2</v>
      </c>
    </row>
    <row r="241" spans="1:20">
      <c r="A241" t="s">
        <v>1148</v>
      </c>
      <c r="B241">
        <v>7.6</v>
      </c>
      <c r="C241" t="s">
        <v>1149</v>
      </c>
      <c r="D241">
        <v>5</v>
      </c>
      <c r="E241">
        <v>3</v>
      </c>
      <c r="G241">
        <v>0</v>
      </c>
      <c r="H241">
        <v>902</v>
      </c>
      <c r="I241" t="s">
        <v>22</v>
      </c>
      <c r="J241">
        <v>340</v>
      </c>
      <c r="K241">
        <v>0</v>
      </c>
      <c r="L241">
        <v>15.1</v>
      </c>
      <c r="M241" t="s">
        <v>829</v>
      </c>
      <c r="N241">
        <v>578</v>
      </c>
      <c r="O241">
        <v>6.4969999999999999</v>
      </c>
      <c r="P241">
        <v>123.48</v>
      </c>
      <c r="Q241" t="s">
        <v>1150</v>
      </c>
      <c r="R241" t="s">
        <v>54</v>
      </c>
      <c r="S241" t="s">
        <v>75</v>
      </c>
      <c r="T241">
        <v>2</v>
      </c>
    </row>
    <row r="242" spans="1:20">
      <c r="A242" t="s">
        <v>541</v>
      </c>
      <c r="B242">
        <v>6.9</v>
      </c>
      <c r="C242" t="s">
        <v>542</v>
      </c>
      <c r="D242">
        <v>9</v>
      </c>
      <c r="E242">
        <v>6</v>
      </c>
      <c r="F242" t="s">
        <v>21</v>
      </c>
      <c r="G242">
        <v>1</v>
      </c>
      <c r="H242">
        <v>814</v>
      </c>
      <c r="I242" t="s">
        <v>22</v>
      </c>
      <c r="J242">
        <v>0</v>
      </c>
      <c r="K242">
        <v>1.6359999999999999</v>
      </c>
      <c r="L242">
        <v>14</v>
      </c>
      <c r="M242" t="s">
        <v>23</v>
      </c>
      <c r="N242">
        <v>26</v>
      </c>
      <c r="O242">
        <v>5.5042999999999997</v>
      </c>
      <c r="P242">
        <v>125.066</v>
      </c>
      <c r="Q242" t="s">
        <v>543</v>
      </c>
      <c r="R242" t="s">
        <v>54</v>
      </c>
      <c r="S242" t="s">
        <v>75</v>
      </c>
      <c r="T242">
        <v>2</v>
      </c>
    </row>
    <row r="243" spans="1:20">
      <c r="A243" t="s">
        <v>1575</v>
      </c>
      <c r="B243">
        <v>6.5</v>
      </c>
      <c r="C243" t="s">
        <v>1576</v>
      </c>
      <c r="D243">
        <v>0</v>
      </c>
      <c r="E243">
        <v>6</v>
      </c>
      <c r="G243">
        <v>0</v>
      </c>
      <c r="H243">
        <v>650</v>
      </c>
      <c r="I243" t="s">
        <v>22</v>
      </c>
      <c r="J243">
        <v>487</v>
      </c>
      <c r="K243">
        <v>0</v>
      </c>
      <c r="L243">
        <v>45.9</v>
      </c>
      <c r="M243" t="s">
        <v>36</v>
      </c>
      <c r="N243">
        <v>35</v>
      </c>
      <c r="O243">
        <v>12.025</v>
      </c>
      <c r="P243">
        <v>125.416</v>
      </c>
      <c r="Q243" t="s">
        <v>1577</v>
      </c>
      <c r="R243" t="s">
        <v>54</v>
      </c>
      <c r="S243" t="s">
        <v>75</v>
      </c>
      <c r="T243">
        <v>2</v>
      </c>
    </row>
    <row r="244" spans="1:20">
      <c r="A244" t="s">
        <v>315</v>
      </c>
      <c r="B244">
        <v>6.6</v>
      </c>
      <c r="C244" t="s">
        <v>316</v>
      </c>
      <c r="D244">
        <v>9</v>
      </c>
      <c r="E244">
        <v>7</v>
      </c>
      <c r="F244" t="s">
        <v>45</v>
      </c>
      <c r="G244">
        <v>1</v>
      </c>
      <c r="H244">
        <v>780</v>
      </c>
      <c r="I244" t="s">
        <v>22</v>
      </c>
      <c r="J244">
        <v>0</v>
      </c>
      <c r="K244">
        <v>0.64600000000000002</v>
      </c>
      <c r="L244">
        <v>24</v>
      </c>
      <c r="M244" t="s">
        <v>23</v>
      </c>
      <c r="N244">
        <v>15</v>
      </c>
      <c r="O244">
        <v>6.7567000000000004</v>
      </c>
      <c r="P244">
        <v>125.008</v>
      </c>
      <c r="Q244" t="s">
        <v>317</v>
      </c>
      <c r="R244" t="s">
        <v>54</v>
      </c>
      <c r="S244" t="s">
        <v>75</v>
      </c>
      <c r="T244">
        <v>2</v>
      </c>
    </row>
    <row r="245" spans="1:20">
      <c r="A245" t="s">
        <v>181</v>
      </c>
      <c r="B245">
        <v>6.7</v>
      </c>
      <c r="C245" t="s">
        <v>182</v>
      </c>
      <c r="D245">
        <v>8</v>
      </c>
      <c r="E245">
        <v>5</v>
      </c>
      <c r="F245" t="s">
        <v>21</v>
      </c>
      <c r="G245">
        <v>1</v>
      </c>
      <c r="H245">
        <v>935</v>
      </c>
      <c r="I245" t="s">
        <v>22</v>
      </c>
      <c r="J245">
        <v>0</v>
      </c>
      <c r="K245">
        <v>8.1389999999999993</v>
      </c>
      <c r="L245">
        <v>12</v>
      </c>
      <c r="M245" t="s">
        <v>23</v>
      </c>
      <c r="N245">
        <v>110</v>
      </c>
      <c r="O245">
        <v>13.6989</v>
      </c>
      <c r="P245">
        <v>120.71299999999999</v>
      </c>
      <c r="Q245" t="s">
        <v>183</v>
      </c>
      <c r="R245" t="s">
        <v>54</v>
      </c>
      <c r="S245" t="s">
        <v>75</v>
      </c>
      <c r="T245">
        <v>2</v>
      </c>
    </row>
    <row r="246" spans="1:20">
      <c r="A246" t="s">
        <v>1050</v>
      </c>
      <c r="B246">
        <v>6.7</v>
      </c>
      <c r="C246" s="1">
        <v>41062.15902777778</v>
      </c>
      <c r="D246">
        <v>9</v>
      </c>
      <c r="E246">
        <v>7</v>
      </c>
      <c r="G246">
        <v>0</v>
      </c>
      <c r="H246">
        <v>1551</v>
      </c>
      <c r="I246" t="s">
        <v>22</v>
      </c>
      <c r="J246">
        <v>572</v>
      </c>
      <c r="K246">
        <v>0</v>
      </c>
      <c r="L246">
        <v>11.1</v>
      </c>
      <c r="M246" t="s">
        <v>23</v>
      </c>
      <c r="N246">
        <v>11</v>
      </c>
      <c r="O246">
        <v>9.9990000000000006</v>
      </c>
      <c r="P246">
        <v>123.206</v>
      </c>
      <c r="Q246" t="s">
        <v>1051</v>
      </c>
      <c r="R246" t="s">
        <v>54</v>
      </c>
      <c r="S246" t="s">
        <v>75</v>
      </c>
      <c r="T246">
        <v>2</v>
      </c>
    </row>
    <row r="247" spans="1:20">
      <c r="A247" t="s">
        <v>312</v>
      </c>
      <c r="B247">
        <v>6.5</v>
      </c>
      <c r="C247" t="s">
        <v>313</v>
      </c>
      <c r="D247">
        <v>9</v>
      </c>
      <c r="E247">
        <v>7</v>
      </c>
      <c r="F247" t="s">
        <v>21</v>
      </c>
      <c r="G247">
        <v>1</v>
      </c>
      <c r="H247">
        <v>733</v>
      </c>
      <c r="I247" t="s">
        <v>22</v>
      </c>
      <c r="J247">
        <v>0</v>
      </c>
      <c r="K247">
        <v>0.42799999999999999</v>
      </c>
      <c r="L247">
        <v>19</v>
      </c>
      <c r="M247" t="s">
        <v>23</v>
      </c>
      <c r="N247">
        <v>10</v>
      </c>
      <c r="O247">
        <v>6.9097999999999997</v>
      </c>
      <c r="P247">
        <v>125.178</v>
      </c>
      <c r="Q247" t="s">
        <v>314</v>
      </c>
      <c r="R247" t="s">
        <v>54</v>
      </c>
      <c r="S247" t="s">
        <v>75</v>
      </c>
      <c r="T247">
        <v>2</v>
      </c>
    </row>
    <row r="248" spans="1:20">
      <c r="A248" t="s">
        <v>526</v>
      </c>
      <c r="B248">
        <v>6.5</v>
      </c>
      <c r="C248" s="1">
        <v>42893.335416666669</v>
      </c>
      <c r="D248">
        <v>9</v>
      </c>
      <c r="E248">
        <v>8</v>
      </c>
      <c r="F248" t="s">
        <v>45</v>
      </c>
      <c r="G248">
        <v>1</v>
      </c>
      <c r="H248">
        <v>740</v>
      </c>
      <c r="I248" t="s">
        <v>22</v>
      </c>
      <c r="J248">
        <v>0</v>
      </c>
      <c r="K248">
        <v>4.1390000000000002</v>
      </c>
      <c r="L248">
        <v>30</v>
      </c>
      <c r="M248" t="s">
        <v>23</v>
      </c>
      <c r="N248">
        <v>9</v>
      </c>
      <c r="O248">
        <v>11.126899999999999</v>
      </c>
      <c r="P248">
        <v>124.629</v>
      </c>
      <c r="Q248" t="s">
        <v>527</v>
      </c>
      <c r="R248" t="s">
        <v>54</v>
      </c>
      <c r="S248" t="s">
        <v>75</v>
      </c>
      <c r="T248">
        <v>2</v>
      </c>
    </row>
    <row r="249" spans="1:20">
      <c r="A249" t="s">
        <v>1735</v>
      </c>
      <c r="B249">
        <v>7.5</v>
      </c>
      <c r="C249" s="1">
        <v>36892.289583333331</v>
      </c>
      <c r="D249">
        <v>0</v>
      </c>
      <c r="E249">
        <v>7</v>
      </c>
      <c r="G249">
        <v>0</v>
      </c>
      <c r="H249">
        <v>865</v>
      </c>
      <c r="I249" t="s">
        <v>22</v>
      </c>
      <c r="J249">
        <v>324</v>
      </c>
      <c r="K249">
        <v>0</v>
      </c>
      <c r="L249">
        <v>0</v>
      </c>
      <c r="M249" t="s">
        <v>829</v>
      </c>
      <c r="N249">
        <v>33</v>
      </c>
      <c r="O249">
        <v>6.8979999999999997</v>
      </c>
      <c r="P249">
        <v>126.57899999999999</v>
      </c>
      <c r="Q249" t="s">
        <v>1736</v>
      </c>
      <c r="R249" t="s">
        <v>54</v>
      </c>
      <c r="S249" t="s">
        <v>75</v>
      </c>
      <c r="T249">
        <v>2</v>
      </c>
    </row>
    <row r="250" spans="1:20">
      <c r="A250" t="s">
        <v>558</v>
      </c>
      <c r="B250">
        <v>6.5</v>
      </c>
      <c r="C250" s="1">
        <v>43010.585416666669</v>
      </c>
      <c r="D250">
        <v>8</v>
      </c>
      <c r="E250">
        <v>7</v>
      </c>
      <c r="F250" t="s">
        <v>45</v>
      </c>
      <c r="G250">
        <v>1</v>
      </c>
      <c r="H250">
        <v>718</v>
      </c>
      <c r="I250" t="s">
        <v>22</v>
      </c>
      <c r="J250">
        <v>0</v>
      </c>
      <c r="K250">
        <v>2.8220000000000001</v>
      </c>
      <c r="L250">
        <v>36</v>
      </c>
      <c r="M250" t="s">
        <v>23</v>
      </c>
      <c r="N250">
        <v>15</v>
      </c>
      <c r="O250">
        <v>9.9070999999999998</v>
      </c>
      <c r="P250">
        <v>125.452</v>
      </c>
      <c r="Q250" t="s">
        <v>559</v>
      </c>
      <c r="R250" t="s">
        <v>54</v>
      </c>
      <c r="S250" t="s">
        <v>75</v>
      </c>
      <c r="T250">
        <v>2</v>
      </c>
    </row>
    <row r="251" spans="1:20">
      <c r="A251" t="s">
        <v>303</v>
      </c>
      <c r="B251">
        <v>6.8</v>
      </c>
      <c r="C251" t="s">
        <v>304</v>
      </c>
      <c r="D251">
        <v>9</v>
      </c>
      <c r="E251">
        <v>7</v>
      </c>
      <c r="F251" t="s">
        <v>45</v>
      </c>
      <c r="G251">
        <v>1</v>
      </c>
      <c r="H251">
        <v>825</v>
      </c>
      <c r="I251" t="s">
        <v>22</v>
      </c>
      <c r="J251">
        <v>0</v>
      </c>
      <c r="K251">
        <v>0.54600000000000004</v>
      </c>
      <c r="L251">
        <v>39</v>
      </c>
      <c r="M251" t="s">
        <v>23</v>
      </c>
      <c r="N251">
        <v>18</v>
      </c>
      <c r="O251">
        <v>6.6969000000000003</v>
      </c>
      <c r="P251">
        <v>125.17400000000001</v>
      </c>
      <c r="Q251" t="s">
        <v>305</v>
      </c>
      <c r="R251" t="s">
        <v>54</v>
      </c>
      <c r="S251" t="s">
        <v>75</v>
      </c>
      <c r="T251">
        <v>2</v>
      </c>
    </row>
    <row r="252" spans="1:20">
      <c r="A252" t="s">
        <v>1664</v>
      </c>
      <c r="B252">
        <v>7.5</v>
      </c>
      <c r="C252" s="1">
        <v>37379.886111111111</v>
      </c>
      <c r="D252">
        <v>0</v>
      </c>
      <c r="E252">
        <v>7</v>
      </c>
      <c r="G252">
        <v>0</v>
      </c>
      <c r="H252">
        <v>865</v>
      </c>
      <c r="I252" t="s">
        <v>22</v>
      </c>
      <c r="J252">
        <v>321</v>
      </c>
      <c r="K252">
        <v>0</v>
      </c>
      <c r="L252">
        <v>0</v>
      </c>
      <c r="M252" t="s">
        <v>829</v>
      </c>
      <c r="N252">
        <v>31</v>
      </c>
      <c r="O252">
        <v>6.0330000000000004</v>
      </c>
      <c r="P252">
        <v>124.249</v>
      </c>
      <c r="Q252" t="s">
        <v>1665</v>
      </c>
      <c r="R252" t="s">
        <v>54</v>
      </c>
      <c r="S252" t="s">
        <v>75</v>
      </c>
      <c r="T252">
        <v>2</v>
      </c>
    </row>
    <row r="253" spans="1:20">
      <c r="A253" t="s">
        <v>1734</v>
      </c>
      <c r="B253">
        <v>6.8</v>
      </c>
      <c r="C253" s="1">
        <v>36892.370833333334</v>
      </c>
      <c r="D253">
        <v>0</v>
      </c>
      <c r="E253">
        <v>5</v>
      </c>
      <c r="G253">
        <v>0</v>
      </c>
      <c r="H253">
        <v>711</v>
      </c>
      <c r="I253" t="s">
        <v>22</v>
      </c>
      <c r="J253">
        <v>64</v>
      </c>
      <c r="K253">
        <v>0</v>
      </c>
      <c r="L253">
        <v>0</v>
      </c>
      <c r="M253" t="s">
        <v>829</v>
      </c>
      <c r="N253">
        <v>33</v>
      </c>
      <c r="O253">
        <v>6.6310000000000002</v>
      </c>
      <c r="P253">
        <v>126.899</v>
      </c>
      <c r="Q253" t="s">
        <v>1665</v>
      </c>
      <c r="R253" t="s">
        <v>54</v>
      </c>
      <c r="S253" t="s">
        <v>75</v>
      </c>
      <c r="T253">
        <v>2</v>
      </c>
    </row>
    <row r="254" spans="1:20">
      <c r="A254" t="s">
        <v>1495</v>
      </c>
      <c r="B254">
        <v>7.1</v>
      </c>
      <c r="C254" s="1">
        <v>38474.515972222223</v>
      </c>
      <c r="D254">
        <v>7</v>
      </c>
      <c r="E254">
        <v>3</v>
      </c>
      <c r="G254">
        <v>0</v>
      </c>
      <c r="H254">
        <v>782</v>
      </c>
      <c r="I254" t="s">
        <v>22</v>
      </c>
      <c r="J254">
        <v>640</v>
      </c>
      <c r="K254">
        <v>0</v>
      </c>
      <c r="L254">
        <v>26.4</v>
      </c>
      <c r="M254" t="s">
        <v>829</v>
      </c>
      <c r="N254">
        <v>525</v>
      </c>
      <c r="O254">
        <v>5.2930000000000001</v>
      </c>
      <c r="P254">
        <v>123.337</v>
      </c>
      <c r="Q254" t="s">
        <v>1496</v>
      </c>
      <c r="R254" t="s">
        <v>54</v>
      </c>
      <c r="S254" t="s">
        <v>75</v>
      </c>
      <c r="T254">
        <v>2</v>
      </c>
    </row>
    <row r="255" spans="1:20">
      <c r="A255" t="s">
        <v>1288</v>
      </c>
      <c r="B255">
        <v>6.9</v>
      </c>
      <c r="C255" s="1">
        <v>39510.59097222222</v>
      </c>
      <c r="D255">
        <v>4</v>
      </c>
      <c r="E255">
        <v>5</v>
      </c>
      <c r="G255">
        <v>0</v>
      </c>
      <c r="H255">
        <v>740</v>
      </c>
      <c r="I255" t="s">
        <v>22</v>
      </c>
      <c r="J255">
        <v>544</v>
      </c>
      <c r="K255">
        <v>0</v>
      </c>
      <c r="L255">
        <v>25.9</v>
      </c>
      <c r="M255" t="s">
        <v>829</v>
      </c>
      <c r="N255">
        <v>24</v>
      </c>
      <c r="O255">
        <v>13.351000000000001</v>
      </c>
      <c r="P255">
        <v>125.63</v>
      </c>
      <c r="Q255" t="s">
        <v>1289</v>
      </c>
      <c r="R255" t="s">
        <v>54</v>
      </c>
      <c r="S255" t="s">
        <v>75</v>
      </c>
      <c r="T255">
        <v>2</v>
      </c>
    </row>
    <row r="256" spans="1:20">
      <c r="A256" t="s">
        <v>176</v>
      </c>
      <c r="B256">
        <v>7.1</v>
      </c>
      <c r="C256" s="1">
        <v>44508.740277777775</v>
      </c>
      <c r="D256">
        <v>9</v>
      </c>
      <c r="E256">
        <v>7</v>
      </c>
      <c r="F256" t="s">
        <v>21</v>
      </c>
      <c r="G256">
        <v>1</v>
      </c>
      <c r="H256">
        <v>846</v>
      </c>
      <c r="I256" t="s">
        <v>22</v>
      </c>
      <c r="J256">
        <v>0</v>
      </c>
      <c r="K256">
        <v>1.2729999999999999</v>
      </c>
      <c r="L256">
        <v>25</v>
      </c>
      <c r="M256" t="s">
        <v>23</v>
      </c>
      <c r="N256">
        <v>55.14</v>
      </c>
      <c r="O256">
        <v>6.4546999999999999</v>
      </c>
      <c r="P256">
        <v>126.742</v>
      </c>
      <c r="Q256" t="s">
        <v>177</v>
      </c>
      <c r="R256" t="s">
        <v>54</v>
      </c>
      <c r="S256" t="s">
        <v>75</v>
      </c>
      <c r="T256">
        <v>2</v>
      </c>
    </row>
    <row r="257" spans="1:20">
      <c r="A257" t="s">
        <v>223</v>
      </c>
      <c r="B257">
        <v>7</v>
      </c>
      <c r="C257" t="s">
        <v>224</v>
      </c>
      <c r="D257">
        <v>7</v>
      </c>
      <c r="E257">
        <v>5</v>
      </c>
      <c r="F257" t="s">
        <v>21</v>
      </c>
      <c r="G257">
        <v>1</v>
      </c>
      <c r="H257">
        <v>802</v>
      </c>
      <c r="I257" t="s">
        <v>22</v>
      </c>
      <c r="J257">
        <v>0</v>
      </c>
      <c r="K257">
        <v>2.8210000000000002</v>
      </c>
      <c r="L257">
        <v>15</v>
      </c>
      <c r="M257" t="s">
        <v>23</v>
      </c>
      <c r="N257">
        <v>80</v>
      </c>
      <c r="O257">
        <v>5.0073999999999996</v>
      </c>
      <c r="P257">
        <v>127.517</v>
      </c>
      <c r="Q257" t="s">
        <v>177</v>
      </c>
      <c r="R257" t="s">
        <v>54</v>
      </c>
      <c r="S257" t="s">
        <v>75</v>
      </c>
      <c r="T257">
        <v>2</v>
      </c>
    </row>
    <row r="258" spans="1:20">
      <c r="A258" t="s">
        <v>387</v>
      </c>
      <c r="B258">
        <v>7</v>
      </c>
      <c r="C258" t="s">
        <v>388</v>
      </c>
      <c r="D258">
        <v>5</v>
      </c>
      <c r="E258">
        <v>5</v>
      </c>
      <c r="F258" t="s">
        <v>21</v>
      </c>
      <c r="G258">
        <v>1</v>
      </c>
      <c r="H258">
        <v>803</v>
      </c>
      <c r="I258" t="s">
        <v>22</v>
      </c>
      <c r="J258">
        <v>0</v>
      </c>
      <c r="K258">
        <v>1.7689999999999999</v>
      </c>
      <c r="L258">
        <v>21</v>
      </c>
      <c r="M258" t="s">
        <v>23</v>
      </c>
      <c r="N258">
        <v>60.21</v>
      </c>
      <c r="O258">
        <v>5.8982999999999999</v>
      </c>
      <c r="P258">
        <v>126.92100000000001</v>
      </c>
      <c r="Q258" t="s">
        <v>177</v>
      </c>
      <c r="R258" t="s">
        <v>54</v>
      </c>
      <c r="S258" t="s">
        <v>75</v>
      </c>
      <c r="T258">
        <v>2</v>
      </c>
    </row>
    <row r="259" spans="1:20">
      <c r="A259" t="s">
        <v>896</v>
      </c>
      <c r="B259">
        <v>7.1</v>
      </c>
      <c r="C259" t="s">
        <v>897</v>
      </c>
      <c r="D259">
        <v>9</v>
      </c>
      <c r="E259">
        <v>8</v>
      </c>
      <c r="F259" t="s">
        <v>66</v>
      </c>
      <c r="G259">
        <v>1</v>
      </c>
      <c r="H259">
        <v>1092</v>
      </c>
      <c r="I259" t="s">
        <v>22</v>
      </c>
      <c r="J259">
        <v>0</v>
      </c>
      <c r="K259">
        <v>3.1440000000000001</v>
      </c>
      <c r="L259">
        <v>12</v>
      </c>
      <c r="M259" t="s">
        <v>23</v>
      </c>
      <c r="N259">
        <v>19.04</v>
      </c>
      <c r="O259">
        <v>9.8795999999999999</v>
      </c>
      <c r="P259">
        <v>124.117</v>
      </c>
      <c r="Q259" t="s">
        <v>898</v>
      </c>
      <c r="R259" t="s">
        <v>54</v>
      </c>
      <c r="S259" t="s">
        <v>75</v>
      </c>
      <c r="T259">
        <v>2</v>
      </c>
    </row>
    <row r="260" spans="1:20">
      <c r="A260" t="s">
        <v>255</v>
      </c>
      <c r="B260">
        <v>6.6</v>
      </c>
      <c r="C260" t="s">
        <v>256</v>
      </c>
      <c r="D260">
        <v>9</v>
      </c>
      <c r="E260">
        <v>8</v>
      </c>
      <c r="F260" t="s">
        <v>45</v>
      </c>
      <c r="G260">
        <v>1</v>
      </c>
      <c r="H260">
        <v>784</v>
      </c>
      <c r="I260" t="s">
        <v>22</v>
      </c>
      <c r="J260">
        <v>0</v>
      </c>
      <c r="K260">
        <v>5.1280000000000001</v>
      </c>
      <c r="L260">
        <v>14</v>
      </c>
      <c r="M260" t="s">
        <v>23</v>
      </c>
      <c r="N260">
        <v>10</v>
      </c>
      <c r="O260">
        <v>12.006500000000001</v>
      </c>
      <c r="P260">
        <v>124.13</v>
      </c>
      <c r="Q260" t="s">
        <v>257</v>
      </c>
      <c r="R260" t="s">
        <v>54</v>
      </c>
      <c r="S260" t="s">
        <v>75</v>
      </c>
      <c r="T260">
        <v>2</v>
      </c>
    </row>
    <row r="261" spans="1:20">
      <c r="A261" t="s">
        <v>790</v>
      </c>
      <c r="B261">
        <v>6.6</v>
      </c>
      <c r="C261" s="1">
        <v>41682.21597222222</v>
      </c>
      <c r="D261">
        <v>1</v>
      </c>
      <c r="E261">
        <v>3</v>
      </c>
      <c r="F261" t="s">
        <v>21</v>
      </c>
      <c r="G261">
        <v>0</v>
      </c>
      <c r="H261">
        <v>670</v>
      </c>
      <c r="I261" t="s">
        <v>22</v>
      </c>
      <c r="J261">
        <v>0</v>
      </c>
      <c r="K261">
        <v>2.6</v>
      </c>
      <c r="L261">
        <v>9</v>
      </c>
      <c r="M261" t="s">
        <v>23</v>
      </c>
      <c r="N261">
        <v>614</v>
      </c>
      <c r="O261">
        <v>6.1571999999999996</v>
      </c>
      <c r="P261">
        <v>123.126</v>
      </c>
      <c r="Q261" t="s">
        <v>791</v>
      </c>
      <c r="R261" t="s">
        <v>54</v>
      </c>
      <c r="S261" t="s">
        <v>75</v>
      </c>
      <c r="T261">
        <v>2</v>
      </c>
    </row>
    <row r="262" spans="1:20">
      <c r="A262" t="s">
        <v>1536</v>
      </c>
      <c r="B262">
        <v>6.5</v>
      </c>
      <c r="C262" s="1">
        <v>38209.60833333333</v>
      </c>
      <c r="D262">
        <v>5</v>
      </c>
      <c r="E262">
        <v>5</v>
      </c>
      <c r="G262">
        <v>0</v>
      </c>
      <c r="H262">
        <v>665</v>
      </c>
      <c r="I262" t="s">
        <v>22</v>
      </c>
      <c r="J262">
        <v>526</v>
      </c>
      <c r="K262">
        <v>0</v>
      </c>
      <c r="L262">
        <v>18.3</v>
      </c>
      <c r="M262" t="s">
        <v>36</v>
      </c>
      <c r="N262">
        <v>105</v>
      </c>
      <c r="O262">
        <v>13.925000000000001</v>
      </c>
      <c r="P262">
        <v>120.53400000000001</v>
      </c>
      <c r="Q262" t="s">
        <v>1537</v>
      </c>
      <c r="R262" t="s">
        <v>54</v>
      </c>
      <c r="S262" t="s">
        <v>75</v>
      </c>
      <c r="T262">
        <v>2</v>
      </c>
    </row>
    <row r="263" spans="1:20">
      <c r="A263" t="s">
        <v>1008</v>
      </c>
      <c r="B263">
        <v>7.6</v>
      </c>
      <c r="C263" t="s">
        <v>1009</v>
      </c>
      <c r="D263">
        <v>8</v>
      </c>
      <c r="E263">
        <v>5</v>
      </c>
      <c r="G263">
        <v>0</v>
      </c>
      <c r="H263">
        <v>1115</v>
      </c>
      <c r="I263" t="s">
        <v>22</v>
      </c>
      <c r="J263">
        <v>682</v>
      </c>
      <c r="K263">
        <v>0</v>
      </c>
      <c r="L263">
        <v>10.199999999999999</v>
      </c>
      <c r="M263" t="s">
        <v>23</v>
      </c>
      <c r="N263">
        <v>28</v>
      </c>
      <c r="O263">
        <v>10.811</v>
      </c>
      <c r="P263">
        <v>126.63800000000001</v>
      </c>
      <c r="Q263" t="s">
        <v>1010</v>
      </c>
      <c r="R263" t="s">
        <v>54</v>
      </c>
      <c r="S263" t="s">
        <v>1740</v>
      </c>
      <c r="T263">
        <v>2</v>
      </c>
    </row>
    <row r="264" spans="1:20">
      <c r="A264" t="s">
        <v>565</v>
      </c>
      <c r="B264">
        <v>7.3</v>
      </c>
      <c r="C264" s="1">
        <v>43009.259027777778</v>
      </c>
      <c r="D264">
        <v>6</v>
      </c>
      <c r="E264">
        <v>3</v>
      </c>
      <c r="F264" t="s">
        <v>21</v>
      </c>
      <c r="G264">
        <v>1</v>
      </c>
      <c r="H264">
        <v>849</v>
      </c>
      <c r="I264" t="s">
        <v>22</v>
      </c>
      <c r="J264">
        <v>0</v>
      </c>
      <c r="K264">
        <v>3.8130000000000002</v>
      </c>
      <c r="L264">
        <v>18</v>
      </c>
      <c r="M264" t="s">
        <v>23</v>
      </c>
      <c r="N264">
        <v>627.16999999999996</v>
      </c>
      <c r="O264">
        <v>4.4782000000000002</v>
      </c>
      <c r="P264">
        <v>122.617</v>
      </c>
      <c r="Q264" t="s">
        <v>566</v>
      </c>
      <c r="R264" t="s">
        <v>54</v>
      </c>
      <c r="S264" t="s">
        <v>1740</v>
      </c>
      <c r="T264">
        <v>2</v>
      </c>
    </row>
    <row r="265" spans="1:20">
      <c r="A265" t="s">
        <v>1587</v>
      </c>
      <c r="B265">
        <v>7.3</v>
      </c>
      <c r="C265" t="s">
        <v>1588</v>
      </c>
      <c r="D265">
        <v>0</v>
      </c>
      <c r="E265">
        <v>7</v>
      </c>
      <c r="G265">
        <v>0</v>
      </c>
      <c r="H265">
        <v>820</v>
      </c>
      <c r="I265" t="s">
        <v>22</v>
      </c>
      <c r="J265">
        <v>667</v>
      </c>
      <c r="K265">
        <v>0</v>
      </c>
      <c r="L265">
        <v>24.5</v>
      </c>
      <c r="M265" t="s">
        <v>36</v>
      </c>
      <c r="N265">
        <v>16</v>
      </c>
      <c r="O265">
        <v>50.037999999999997</v>
      </c>
      <c r="P265">
        <v>87.813000000000002</v>
      </c>
      <c r="Q265" t="s">
        <v>1584</v>
      </c>
      <c r="R265" t="s">
        <v>54</v>
      </c>
      <c r="S265" t="s">
        <v>295</v>
      </c>
      <c r="T265">
        <v>2</v>
      </c>
    </row>
    <row r="266" spans="1:20">
      <c r="A266" t="s">
        <v>1583</v>
      </c>
      <c r="B266">
        <v>6.7</v>
      </c>
      <c r="C266" s="1">
        <v>37631.043749999997</v>
      </c>
      <c r="D266">
        <v>0</v>
      </c>
      <c r="E266">
        <v>7</v>
      </c>
      <c r="G266">
        <v>0</v>
      </c>
      <c r="H266">
        <v>691</v>
      </c>
      <c r="I266" t="s">
        <v>22</v>
      </c>
      <c r="J266">
        <v>643</v>
      </c>
      <c r="K266">
        <v>0</v>
      </c>
      <c r="L266">
        <v>24.5</v>
      </c>
      <c r="M266" t="s">
        <v>36</v>
      </c>
      <c r="N266">
        <v>10</v>
      </c>
      <c r="O266">
        <v>50.210999999999999</v>
      </c>
      <c r="P266">
        <v>87.721000000000004</v>
      </c>
      <c r="Q266" t="s">
        <v>1584</v>
      </c>
      <c r="R266" t="s">
        <v>54</v>
      </c>
      <c r="S266" t="s">
        <v>295</v>
      </c>
      <c r="T266">
        <v>2</v>
      </c>
    </row>
    <row r="267" spans="1:20">
      <c r="A267" t="s">
        <v>1548</v>
      </c>
      <c r="B267">
        <v>6.9</v>
      </c>
      <c r="C267" s="1">
        <v>38266.638194444444</v>
      </c>
      <c r="D267">
        <v>0</v>
      </c>
      <c r="E267">
        <v>5</v>
      </c>
      <c r="G267">
        <v>0</v>
      </c>
      <c r="H267">
        <v>732</v>
      </c>
      <c r="I267" t="s">
        <v>22</v>
      </c>
      <c r="J267">
        <v>798</v>
      </c>
      <c r="K267">
        <v>0</v>
      </c>
      <c r="L267">
        <v>31.2</v>
      </c>
      <c r="M267" t="s">
        <v>36</v>
      </c>
      <c r="N267">
        <v>188.6</v>
      </c>
      <c r="O267">
        <v>55.682000000000002</v>
      </c>
      <c r="P267">
        <v>160.00299999999999</v>
      </c>
      <c r="Q267" t="s">
        <v>1549</v>
      </c>
      <c r="R267" t="s">
        <v>54</v>
      </c>
      <c r="S267" t="s">
        <v>295</v>
      </c>
      <c r="T267">
        <v>2</v>
      </c>
    </row>
    <row r="268" spans="1:20">
      <c r="A268" t="s">
        <v>1603</v>
      </c>
      <c r="B268">
        <v>6.9</v>
      </c>
      <c r="C268" t="s">
        <v>1604</v>
      </c>
      <c r="D268">
        <v>0</v>
      </c>
      <c r="E268">
        <v>5</v>
      </c>
      <c r="G268">
        <v>0</v>
      </c>
      <c r="H268">
        <v>732</v>
      </c>
      <c r="I268" t="s">
        <v>22</v>
      </c>
      <c r="J268">
        <v>733</v>
      </c>
      <c r="K268">
        <v>0</v>
      </c>
      <c r="L268">
        <v>26.7</v>
      </c>
      <c r="M268" t="s">
        <v>36</v>
      </c>
      <c r="N268">
        <v>174.8</v>
      </c>
      <c r="O268">
        <v>55.491999999999997</v>
      </c>
      <c r="P268">
        <v>159.999</v>
      </c>
      <c r="Q268" t="s">
        <v>1549</v>
      </c>
      <c r="R268" t="s">
        <v>54</v>
      </c>
      <c r="S268" t="s">
        <v>295</v>
      </c>
      <c r="T268">
        <v>2</v>
      </c>
    </row>
    <row r="269" spans="1:20">
      <c r="A269" t="s">
        <v>967</v>
      </c>
      <c r="B269">
        <v>6.6</v>
      </c>
      <c r="C269" t="s">
        <v>968</v>
      </c>
      <c r="D269">
        <v>0</v>
      </c>
      <c r="E269">
        <v>7</v>
      </c>
      <c r="F269" t="s">
        <v>21</v>
      </c>
      <c r="G269">
        <v>1</v>
      </c>
      <c r="H269">
        <v>670</v>
      </c>
      <c r="I269" t="s">
        <v>22</v>
      </c>
      <c r="J269">
        <v>697</v>
      </c>
      <c r="K269">
        <v>0</v>
      </c>
      <c r="L269">
        <v>15.3</v>
      </c>
      <c r="M269" t="s">
        <v>23</v>
      </c>
      <c r="N269">
        <v>11</v>
      </c>
      <c r="O269">
        <v>67.631</v>
      </c>
      <c r="P269">
        <v>142.50800000000001</v>
      </c>
      <c r="Q269" t="s">
        <v>969</v>
      </c>
      <c r="R269" t="s">
        <v>54</v>
      </c>
      <c r="S269" t="s">
        <v>295</v>
      </c>
      <c r="T269">
        <v>2</v>
      </c>
    </row>
    <row r="270" spans="1:20">
      <c r="A270" t="s">
        <v>521</v>
      </c>
      <c r="B270">
        <v>7.7</v>
      </c>
      <c r="C270" t="s">
        <v>522</v>
      </c>
      <c r="D270">
        <v>8</v>
      </c>
      <c r="E270">
        <v>7</v>
      </c>
      <c r="F270" t="s">
        <v>21</v>
      </c>
      <c r="G270">
        <v>1</v>
      </c>
      <c r="H270">
        <v>918</v>
      </c>
      <c r="I270" t="s">
        <v>22</v>
      </c>
      <c r="J270">
        <v>0</v>
      </c>
      <c r="K270">
        <v>3.5640000000000001</v>
      </c>
      <c r="L270">
        <v>13</v>
      </c>
      <c r="M270" t="s">
        <v>23</v>
      </c>
      <c r="N270">
        <v>10</v>
      </c>
      <c r="O270">
        <v>54.443399999999997</v>
      </c>
      <c r="P270">
        <v>168.857</v>
      </c>
      <c r="Q270" t="s">
        <v>523</v>
      </c>
      <c r="R270" t="s">
        <v>54</v>
      </c>
      <c r="S270" t="s">
        <v>295</v>
      </c>
      <c r="T270">
        <v>2</v>
      </c>
    </row>
    <row r="271" spans="1:20">
      <c r="A271" t="s">
        <v>952</v>
      </c>
      <c r="B271">
        <v>7.2</v>
      </c>
      <c r="C271" t="s">
        <v>953</v>
      </c>
      <c r="D271">
        <v>5</v>
      </c>
      <c r="E271">
        <v>7</v>
      </c>
      <c r="F271" t="s">
        <v>21</v>
      </c>
      <c r="G271">
        <v>1</v>
      </c>
      <c r="H271">
        <v>804</v>
      </c>
      <c r="I271" t="s">
        <v>22</v>
      </c>
      <c r="J271">
        <v>770</v>
      </c>
      <c r="K271">
        <v>0</v>
      </c>
      <c r="L271">
        <v>10.1</v>
      </c>
      <c r="M271" t="s">
        <v>23</v>
      </c>
      <c r="N271">
        <v>110</v>
      </c>
      <c r="O271">
        <v>46.220999999999997</v>
      </c>
      <c r="P271">
        <v>150.78800000000001</v>
      </c>
      <c r="Q271" t="s">
        <v>294</v>
      </c>
      <c r="R271" t="s">
        <v>54</v>
      </c>
      <c r="S271" t="s">
        <v>295</v>
      </c>
      <c r="T271">
        <v>2</v>
      </c>
    </row>
    <row r="272" spans="1:20">
      <c r="A272" t="s">
        <v>292</v>
      </c>
      <c r="B272">
        <v>7</v>
      </c>
      <c r="C272" t="s">
        <v>293</v>
      </c>
      <c r="D272">
        <v>5</v>
      </c>
      <c r="E272">
        <v>6</v>
      </c>
      <c r="F272" t="s">
        <v>45</v>
      </c>
      <c r="G272">
        <v>1</v>
      </c>
      <c r="H272">
        <v>770</v>
      </c>
      <c r="I272" t="s">
        <v>22</v>
      </c>
      <c r="J272">
        <v>0</v>
      </c>
      <c r="K272">
        <v>4.5010000000000003</v>
      </c>
      <c r="L272">
        <v>25</v>
      </c>
      <c r="M272" t="s">
        <v>23</v>
      </c>
      <c r="N272">
        <v>143</v>
      </c>
      <c r="O272">
        <v>45.616100000000003</v>
      </c>
      <c r="P272">
        <v>148.959</v>
      </c>
      <c r="Q272" t="s">
        <v>294</v>
      </c>
      <c r="R272" t="s">
        <v>54</v>
      </c>
      <c r="S272" t="s">
        <v>295</v>
      </c>
      <c r="T272">
        <v>2</v>
      </c>
    </row>
    <row r="273" spans="1:20">
      <c r="A273" t="s">
        <v>655</v>
      </c>
      <c r="B273">
        <v>7.2</v>
      </c>
      <c r="C273" t="s">
        <v>656</v>
      </c>
      <c r="D273">
        <v>3</v>
      </c>
      <c r="E273">
        <v>7</v>
      </c>
      <c r="F273" t="s">
        <v>21</v>
      </c>
      <c r="G273">
        <v>1</v>
      </c>
      <c r="H273">
        <v>799</v>
      </c>
      <c r="I273" t="s">
        <v>22</v>
      </c>
      <c r="J273">
        <v>0</v>
      </c>
      <c r="K273">
        <v>0.95799999999999996</v>
      </c>
      <c r="L273">
        <v>17</v>
      </c>
      <c r="M273" t="s">
        <v>23</v>
      </c>
      <c r="N273">
        <v>177</v>
      </c>
      <c r="O273">
        <v>53.977600000000002</v>
      </c>
      <c r="P273">
        <v>158.54599999999999</v>
      </c>
      <c r="Q273" t="s">
        <v>657</v>
      </c>
      <c r="R273" t="s">
        <v>54</v>
      </c>
      <c r="S273" t="s">
        <v>295</v>
      </c>
      <c r="T273">
        <v>2</v>
      </c>
    </row>
    <row r="274" spans="1:20">
      <c r="A274" t="s">
        <v>1409</v>
      </c>
      <c r="B274">
        <v>6.5</v>
      </c>
      <c r="C274" t="s">
        <v>1410</v>
      </c>
      <c r="D274">
        <v>0</v>
      </c>
      <c r="E274">
        <v>6</v>
      </c>
      <c r="G274">
        <v>0</v>
      </c>
      <c r="H274">
        <v>650</v>
      </c>
      <c r="I274" t="s">
        <v>22</v>
      </c>
      <c r="J274">
        <v>700</v>
      </c>
      <c r="K274">
        <v>0</v>
      </c>
      <c r="L274">
        <v>47.4</v>
      </c>
      <c r="M274" t="s">
        <v>36</v>
      </c>
      <c r="N274">
        <v>43</v>
      </c>
      <c r="O274">
        <v>51.148000000000003</v>
      </c>
      <c r="P274">
        <v>157.52199999999999</v>
      </c>
      <c r="Q274" t="s">
        <v>415</v>
      </c>
      <c r="R274" t="s">
        <v>54</v>
      </c>
      <c r="S274" t="s">
        <v>295</v>
      </c>
      <c r="T274">
        <v>2</v>
      </c>
    </row>
    <row r="275" spans="1:20">
      <c r="A275" t="s">
        <v>965</v>
      </c>
      <c r="B275">
        <v>6.9</v>
      </c>
      <c r="C275" t="s">
        <v>966</v>
      </c>
      <c r="D275">
        <v>5</v>
      </c>
      <c r="E275">
        <v>6</v>
      </c>
      <c r="F275" t="s">
        <v>21</v>
      </c>
      <c r="G275">
        <v>1</v>
      </c>
      <c r="H275">
        <v>736</v>
      </c>
      <c r="I275" t="s">
        <v>22</v>
      </c>
      <c r="J275">
        <v>531</v>
      </c>
      <c r="K275">
        <v>0</v>
      </c>
      <c r="L275">
        <v>20.7</v>
      </c>
      <c r="M275" t="s">
        <v>23</v>
      </c>
      <c r="N275">
        <v>41</v>
      </c>
      <c r="O275">
        <v>50.954000000000001</v>
      </c>
      <c r="P275">
        <v>157.28299999999999</v>
      </c>
      <c r="Q275" t="s">
        <v>415</v>
      </c>
      <c r="R275" t="s">
        <v>54</v>
      </c>
      <c r="S275" t="s">
        <v>295</v>
      </c>
      <c r="T275">
        <v>2</v>
      </c>
    </row>
    <row r="276" spans="1:20">
      <c r="A276" t="s">
        <v>413</v>
      </c>
      <c r="B276">
        <v>6.7</v>
      </c>
      <c r="C276" t="s">
        <v>414</v>
      </c>
      <c r="D276">
        <v>0</v>
      </c>
      <c r="E276">
        <v>3</v>
      </c>
      <c r="F276" t="s">
        <v>21</v>
      </c>
      <c r="G276">
        <v>1</v>
      </c>
      <c r="H276">
        <v>691</v>
      </c>
      <c r="I276" t="s">
        <v>22</v>
      </c>
      <c r="J276">
        <v>0</v>
      </c>
      <c r="K276">
        <v>2.7050000000000001</v>
      </c>
      <c r="L276">
        <v>17</v>
      </c>
      <c r="M276" t="s">
        <v>23</v>
      </c>
      <c r="N276">
        <v>461</v>
      </c>
      <c r="O276">
        <v>52.854900000000001</v>
      </c>
      <c r="P276">
        <v>153.24299999999999</v>
      </c>
      <c r="Q276" t="s">
        <v>415</v>
      </c>
      <c r="R276" t="s">
        <v>54</v>
      </c>
      <c r="S276" t="s">
        <v>295</v>
      </c>
      <c r="T276">
        <v>2</v>
      </c>
    </row>
    <row r="277" spans="1:20">
      <c r="A277" t="s">
        <v>964</v>
      </c>
      <c r="B277">
        <v>6.5</v>
      </c>
      <c r="C277" s="1">
        <v>41277.555555555555</v>
      </c>
      <c r="D277">
        <v>3</v>
      </c>
      <c r="E277">
        <v>6</v>
      </c>
      <c r="F277" t="s">
        <v>21</v>
      </c>
      <c r="G277">
        <v>0</v>
      </c>
      <c r="H277">
        <v>651</v>
      </c>
      <c r="I277" t="s">
        <v>22</v>
      </c>
      <c r="J277">
        <v>480</v>
      </c>
      <c r="K277">
        <v>0</v>
      </c>
      <c r="L277">
        <v>20.7</v>
      </c>
      <c r="M277" t="s">
        <v>23</v>
      </c>
      <c r="N277">
        <v>29</v>
      </c>
      <c r="O277">
        <v>50.957999999999998</v>
      </c>
      <c r="P277">
        <v>157.40799999999999</v>
      </c>
      <c r="Q277" t="s">
        <v>415</v>
      </c>
      <c r="R277" t="s">
        <v>54</v>
      </c>
      <c r="S277" t="s">
        <v>295</v>
      </c>
      <c r="T277">
        <v>2</v>
      </c>
    </row>
    <row r="278" spans="1:20">
      <c r="A278" t="s">
        <v>1015</v>
      </c>
      <c r="B278">
        <v>7.7</v>
      </c>
      <c r="C278" t="s">
        <v>1016</v>
      </c>
      <c r="D278">
        <v>7</v>
      </c>
      <c r="E278">
        <v>4</v>
      </c>
      <c r="G278">
        <v>0</v>
      </c>
      <c r="H278">
        <v>941</v>
      </c>
      <c r="I278" t="s">
        <v>22</v>
      </c>
      <c r="J278">
        <v>862</v>
      </c>
      <c r="K278">
        <v>0</v>
      </c>
      <c r="L278">
        <v>13.8</v>
      </c>
      <c r="M278" t="s">
        <v>23</v>
      </c>
      <c r="N278">
        <v>583.20000000000005</v>
      </c>
      <c r="O278">
        <v>49.8</v>
      </c>
      <c r="P278">
        <v>145.06399999999999</v>
      </c>
      <c r="Q278" t="s">
        <v>1017</v>
      </c>
      <c r="R278" t="s">
        <v>54</v>
      </c>
      <c r="S278" t="s">
        <v>295</v>
      </c>
      <c r="T278">
        <v>2</v>
      </c>
    </row>
    <row r="279" spans="1:20">
      <c r="A279" t="s">
        <v>1047</v>
      </c>
      <c r="B279">
        <v>6.7</v>
      </c>
      <c r="C279" t="s">
        <v>1048</v>
      </c>
      <c r="D279">
        <v>7</v>
      </c>
      <c r="E279">
        <v>7</v>
      </c>
      <c r="G279">
        <v>0</v>
      </c>
      <c r="H279">
        <v>833</v>
      </c>
      <c r="I279" t="s">
        <v>22</v>
      </c>
      <c r="J279">
        <v>596</v>
      </c>
      <c r="K279">
        <v>0</v>
      </c>
      <c r="L279">
        <v>13.4</v>
      </c>
      <c r="M279" t="s">
        <v>23</v>
      </c>
      <c r="N279">
        <v>12</v>
      </c>
      <c r="O279">
        <v>51.707999999999998</v>
      </c>
      <c r="P279">
        <v>95.991</v>
      </c>
      <c r="Q279" t="s">
        <v>1049</v>
      </c>
      <c r="R279" t="s">
        <v>54</v>
      </c>
      <c r="S279" t="s">
        <v>295</v>
      </c>
      <c r="T279">
        <v>2</v>
      </c>
    </row>
    <row r="280" spans="1:20">
      <c r="A280" t="s">
        <v>1054</v>
      </c>
      <c r="B280">
        <v>6.6</v>
      </c>
      <c r="C280" t="s">
        <v>1055</v>
      </c>
      <c r="D280">
        <v>0</v>
      </c>
      <c r="E280">
        <v>7</v>
      </c>
      <c r="G280">
        <v>0</v>
      </c>
      <c r="H280">
        <v>670</v>
      </c>
      <c r="I280" t="s">
        <v>22</v>
      </c>
      <c r="J280">
        <v>545</v>
      </c>
      <c r="K280">
        <v>0</v>
      </c>
      <c r="L280">
        <v>17.600000000000001</v>
      </c>
      <c r="M280" t="s">
        <v>23</v>
      </c>
      <c r="N280">
        <v>15</v>
      </c>
      <c r="O280">
        <v>51.841999999999999</v>
      </c>
      <c r="P280">
        <v>95.911000000000001</v>
      </c>
      <c r="Q280" t="s">
        <v>1049</v>
      </c>
      <c r="R280" t="s">
        <v>54</v>
      </c>
      <c r="S280" t="s">
        <v>295</v>
      </c>
      <c r="T280">
        <v>2</v>
      </c>
    </row>
    <row r="281" spans="1:20">
      <c r="A281" t="s">
        <v>289</v>
      </c>
      <c r="B281">
        <v>7.5</v>
      </c>
      <c r="C281" t="s">
        <v>290</v>
      </c>
      <c r="D281">
        <v>6</v>
      </c>
      <c r="E281">
        <v>5</v>
      </c>
      <c r="F281" t="s">
        <v>21</v>
      </c>
      <c r="G281">
        <v>1</v>
      </c>
      <c r="H281">
        <v>879</v>
      </c>
      <c r="I281" t="s">
        <v>22</v>
      </c>
      <c r="J281">
        <v>0</v>
      </c>
      <c r="K281">
        <v>4.109</v>
      </c>
      <c r="L281">
        <v>12</v>
      </c>
      <c r="M281" t="s">
        <v>23</v>
      </c>
      <c r="N281">
        <v>57.8</v>
      </c>
      <c r="O281">
        <v>48.963799999999999</v>
      </c>
      <c r="P281">
        <v>157.69499999999999</v>
      </c>
      <c r="Q281" t="s">
        <v>291</v>
      </c>
      <c r="R281" t="s">
        <v>54</v>
      </c>
      <c r="S281" t="s">
        <v>295</v>
      </c>
      <c r="T281">
        <v>2</v>
      </c>
    </row>
    <row r="282" spans="1:20">
      <c r="A282" t="s">
        <v>416</v>
      </c>
      <c r="B282">
        <v>6.5</v>
      </c>
      <c r="C282" s="1">
        <v>43383.969444444447</v>
      </c>
      <c r="D282">
        <v>0</v>
      </c>
      <c r="E282">
        <v>4</v>
      </c>
      <c r="F282" t="s">
        <v>21</v>
      </c>
      <c r="G282">
        <v>1</v>
      </c>
      <c r="H282">
        <v>650</v>
      </c>
      <c r="I282" t="s">
        <v>22</v>
      </c>
      <c r="J282">
        <v>0</v>
      </c>
      <c r="K282">
        <v>3.923</v>
      </c>
      <c r="L282">
        <v>14</v>
      </c>
      <c r="M282" t="s">
        <v>23</v>
      </c>
      <c r="N282">
        <v>20</v>
      </c>
      <c r="O282">
        <v>49.290199999999999</v>
      </c>
      <c r="P282">
        <v>156.297</v>
      </c>
      <c r="Q282" t="s">
        <v>291</v>
      </c>
      <c r="R282" t="s">
        <v>54</v>
      </c>
      <c r="S282" t="s">
        <v>295</v>
      </c>
      <c r="T282">
        <v>2</v>
      </c>
    </row>
    <row r="283" spans="1:20">
      <c r="A283" t="s">
        <v>1432</v>
      </c>
      <c r="B283">
        <v>7.6</v>
      </c>
      <c r="C283" t="s">
        <v>1433</v>
      </c>
      <c r="D283">
        <v>0</v>
      </c>
      <c r="E283">
        <v>8</v>
      </c>
      <c r="G283">
        <v>0</v>
      </c>
      <c r="H283">
        <v>889</v>
      </c>
      <c r="I283" t="s">
        <v>22</v>
      </c>
      <c r="J283">
        <v>579</v>
      </c>
      <c r="K283">
        <v>0</v>
      </c>
      <c r="L283">
        <v>18.5</v>
      </c>
      <c r="M283" t="s">
        <v>829</v>
      </c>
      <c r="N283">
        <v>22</v>
      </c>
      <c r="O283">
        <v>60.948999999999998</v>
      </c>
      <c r="P283">
        <v>167.089</v>
      </c>
      <c r="Q283" t="s">
        <v>1419</v>
      </c>
      <c r="R283" t="s">
        <v>54</v>
      </c>
      <c r="S283" t="s">
        <v>295</v>
      </c>
      <c r="T283">
        <v>2</v>
      </c>
    </row>
    <row r="284" spans="1:20">
      <c r="A284" t="s">
        <v>1417</v>
      </c>
      <c r="B284">
        <v>6.6</v>
      </c>
      <c r="C284" t="s">
        <v>1418</v>
      </c>
      <c r="D284">
        <v>0</v>
      </c>
      <c r="E284">
        <v>7</v>
      </c>
      <c r="G284">
        <v>0</v>
      </c>
      <c r="H284">
        <v>670</v>
      </c>
      <c r="I284" t="s">
        <v>22</v>
      </c>
      <c r="J284">
        <v>548</v>
      </c>
      <c r="K284">
        <v>0</v>
      </c>
      <c r="L284">
        <v>28</v>
      </c>
      <c r="M284" t="s">
        <v>829</v>
      </c>
      <c r="N284">
        <v>19</v>
      </c>
      <c r="O284">
        <v>60.771999999999998</v>
      </c>
      <c r="P284">
        <v>165.74299999999999</v>
      </c>
      <c r="Q284" t="s">
        <v>1419</v>
      </c>
      <c r="R284" t="s">
        <v>54</v>
      </c>
      <c r="S284" t="s">
        <v>295</v>
      </c>
      <c r="T284">
        <v>2</v>
      </c>
    </row>
    <row r="285" spans="1:20">
      <c r="A285" t="s">
        <v>1430</v>
      </c>
      <c r="B285">
        <v>6.6</v>
      </c>
      <c r="C285" t="s">
        <v>1431</v>
      </c>
      <c r="D285">
        <v>0</v>
      </c>
      <c r="E285">
        <v>8</v>
      </c>
      <c r="G285">
        <v>0</v>
      </c>
      <c r="H285">
        <v>670</v>
      </c>
      <c r="I285" t="s">
        <v>22</v>
      </c>
      <c r="J285">
        <v>645</v>
      </c>
      <c r="K285">
        <v>0</v>
      </c>
      <c r="L285">
        <v>28.4</v>
      </c>
      <c r="M285" t="s">
        <v>829</v>
      </c>
      <c r="N285">
        <v>11</v>
      </c>
      <c r="O285">
        <v>60.491</v>
      </c>
      <c r="P285">
        <v>167.51599999999999</v>
      </c>
      <c r="Q285" t="s">
        <v>1419</v>
      </c>
      <c r="R285" t="s">
        <v>54</v>
      </c>
      <c r="S285" t="s">
        <v>295</v>
      </c>
      <c r="T285">
        <v>2</v>
      </c>
    </row>
    <row r="286" spans="1:20">
      <c r="A286" t="s">
        <v>551</v>
      </c>
      <c r="B286">
        <v>6.6</v>
      </c>
      <c r="C286" t="s">
        <v>552</v>
      </c>
      <c r="D286">
        <v>6</v>
      </c>
      <c r="E286">
        <v>7</v>
      </c>
      <c r="F286" t="s">
        <v>45</v>
      </c>
      <c r="G286">
        <v>1</v>
      </c>
      <c r="H286">
        <v>671</v>
      </c>
      <c r="I286" t="s">
        <v>22</v>
      </c>
      <c r="J286">
        <v>0</v>
      </c>
      <c r="K286">
        <v>4.5910000000000002</v>
      </c>
      <c r="L286">
        <v>14</v>
      </c>
      <c r="M286" t="s">
        <v>23</v>
      </c>
      <c r="N286">
        <v>17</v>
      </c>
      <c r="O286">
        <v>56.940100000000001</v>
      </c>
      <c r="P286">
        <v>162.786</v>
      </c>
      <c r="Q286" t="s">
        <v>212</v>
      </c>
      <c r="R286" t="s">
        <v>54</v>
      </c>
      <c r="S286" t="s">
        <v>295</v>
      </c>
      <c r="T286">
        <v>2</v>
      </c>
    </row>
    <row r="287" spans="1:20">
      <c r="A287" t="s">
        <v>389</v>
      </c>
      <c r="B287">
        <v>7.3</v>
      </c>
      <c r="C287" t="s">
        <v>390</v>
      </c>
      <c r="D287">
        <v>3</v>
      </c>
      <c r="E287">
        <v>7</v>
      </c>
      <c r="F287" t="s">
        <v>21</v>
      </c>
      <c r="G287">
        <v>1</v>
      </c>
      <c r="H287">
        <v>822</v>
      </c>
      <c r="I287" t="s">
        <v>22</v>
      </c>
      <c r="J287">
        <v>0</v>
      </c>
      <c r="K287">
        <v>4.1260000000000003</v>
      </c>
      <c r="L287">
        <v>23</v>
      </c>
      <c r="M287" t="s">
        <v>23</v>
      </c>
      <c r="N287">
        <v>16.559999999999999</v>
      </c>
      <c r="O287">
        <v>55.099899999999998</v>
      </c>
      <c r="P287">
        <v>164.69900000000001</v>
      </c>
      <c r="Q287" t="s">
        <v>212</v>
      </c>
      <c r="R287" t="s">
        <v>54</v>
      </c>
      <c r="S287" t="s">
        <v>295</v>
      </c>
      <c r="T287">
        <v>2</v>
      </c>
    </row>
    <row r="288" spans="1:20">
      <c r="A288" t="s">
        <v>210</v>
      </c>
      <c r="B288">
        <v>6.6</v>
      </c>
      <c r="C288" t="s">
        <v>211</v>
      </c>
      <c r="D288">
        <v>5</v>
      </c>
      <c r="E288">
        <v>5</v>
      </c>
      <c r="F288" t="s">
        <v>21</v>
      </c>
      <c r="G288">
        <v>1</v>
      </c>
      <c r="H288">
        <v>672</v>
      </c>
      <c r="I288" t="s">
        <v>22</v>
      </c>
      <c r="J288">
        <v>0</v>
      </c>
      <c r="K288">
        <v>3.1829999999999998</v>
      </c>
      <c r="L288">
        <v>18</v>
      </c>
      <c r="M288" t="s">
        <v>23</v>
      </c>
      <c r="N288">
        <v>13.23</v>
      </c>
      <c r="O288">
        <v>54.701799999999999</v>
      </c>
      <c r="P288">
        <v>163.208</v>
      </c>
      <c r="Q288" t="s">
        <v>212</v>
      </c>
      <c r="R288" t="s">
        <v>54</v>
      </c>
      <c r="S288" t="s">
        <v>295</v>
      </c>
      <c r="T288">
        <v>2</v>
      </c>
    </row>
    <row r="289" spans="1:20">
      <c r="A289" t="s">
        <v>1392</v>
      </c>
      <c r="B289">
        <v>7.1</v>
      </c>
      <c r="C289" t="s">
        <v>1393</v>
      </c>
      <c r="D289">
        <v>8</v>
      </c>
      <c r="E289">
        <v>7</v>
      </c>
      <c r="G289">
        <v>0</v>
      </c>
      <c r="H289">
        <v>1023</v>
      </c>
      <c r="I289" t="s">
        <v>22</v>
      </c>
      <c r="J289">
        <v>744</v>
      </c>
      <c r="K289">
        <v>0</v>
      </c>
      <c r="L289">
        <v>29.1</v>
      </c>
      <c r="M289" t="s">
        <v>36</v>
      </c>
      <c r="N289">
        <v>10</v>
      </c>
      <c r="O289">
        <v>21.798999999999999</v>
      </c>
      <c r="P289">
        <v>120.547</v>
      </c>
      <c r="Q289" t="s">
        <v>1391</v>
      </c>
      <c r="R289" t="s">
        <v>54</v>
      </c>
      <c r="S289" t="s">
        <v>55</v>
      </c>
      <c r="T289">
        <v>2</v>
      </c>
    </row>
    <row r="290" spans="1:20">
      <c r="A290" t="s">
        <v>1389</v>
      </c>
      <c r="B290">
        <v>6.9</v>
      </c>
      <c r="C290" t="s">
        <v>1390</v>
      </c>
      <c r="D290">
        <v>6</v>
      </c>
      <c r="E290">
        <v>7</v>
      </c>
      <c r="G290">
        <v>0</v>
      </c>
      <c r="H290">
        <v>798</v>
      </c>
      <c r="I290" t="s">
        <v>22</v>
      </c>
      <c r="J290">
        <v>466</v>
      </c>
      <c r="K290">
        <v>0</v>
      </c>
      <c r="L290">
        <v>31.6</v>
      </c>
      <c r="M290" t="s">
        <v>829</v>
      </c>
      <c r="N290">
        <v>10</v>
      </c>
      <c r="O290">
        <v>21.974</v>
      </c>
      <c r="P290">
        <v>120.49299999999999</v>
      </c>
      <c r="Q290" t="s">
        <v>1391</v>
      </c>
      <c r="R290" t="s">
        <v>54</v>
      </c>
      <c r="S290" t="s">
        <v>55</v>
      </c>
      <c r="T290">
        <v>2</v>
      </c>
    </row>
    <row r="291" spans="1:20">
      <c r="A291" t="s">
        <v>98</v>
      </c>
      <c r="B291">
        <v>6.7</v>
      </c>
      <c r="C291" t="s">
        <v>99</v>
      </c>
      <c r="D291">
        <v>8</v>
      </c>
      <c r="E291">
        <v>7</v>
      </c>
      <c r="F291" t="s">
        <v>21</v>
      </c>
      <c r="G291">
        <v>1</v>
      </c>
      <c r="H291">
        <v>806</v>
      </c>
      <c r="I291" t="s">
        <v>22</v>
      </c>
      <c r="J291">
        <v>0</v>
      </c>
      <c r="K291">
        <v>0.28899999999999998</v>
      </c>
      <c r="L291">
        <v>32</v>
      </c>
      <c r="M291" t="s">
        <v>23</v>
      </c>
      <c r="N291">
        <v>24</v>
      </c>
      <c r="O291">
        <v>23.342099999999999</v>
      </c>
      <c r="P291">
        <v>121.636</v>
      </c>
      <c r="Q291" t="s">
        <v>100</v>
      </c>
      <c r="R291" t="s">
        <v>54</v>
      </c>
      <c r="S291" t="s">
        <v>55</v>
      </c>
      <c r="T291">
        <v>2</v>
      </c>
    </row>
    <row r="292" spans="1:20">
      <c r="A292" t="s">
        <v>1659</v>
      </c>
      <c r="B292">
        <v>7.1</v>
      </c>
      <c r="C292" t="s">
        <v>1660</v>
      </c>
      <c r="D292">
        <v>0</v>
      </c>
      <c r="E292">
        <v>6</v>
      </c>
      <c r="G292">
        <v>0</v>
      </c>
      <c r="H292">
        <v>776</v>
      </c>
      <c r="I292" t="s">
        <v>22</v>
      </c>
      <c r="J292">
        <v>550</v>
      </c>
      <c r="K292">
        <v>0</v>
      </c>
      <c r="L292">
        <v>0</v>
      </c>
      <c r="M292" t="s">
        <v>829</v>
      </c>
      <c r="N292">
        <v>32.799999999999997</v>
      </c>
      <c r="O292">
        <v>24.279</v>
      </c>
      <c r="P292">
        <v>122.179</v>
      </c>
      <c r="Q292" t="s">
        <v>100</v>
      </c>
      <c r="R292" t="s">
        <v>54</v>
      </c>
      <c r="S292" t="s">
        <v>55</v>
      </c>
      <c r="T292">
        <v>2</v>
      </c>
    </row>
    <row r="293" spans="1:20">
      <c r="A293" t="s">
        <v>56</v>
      </c>
      <c r="B293">
        <v>6.5</v>
      </c>
      <c r="C293" t="s">
        <v>57</v>
      </c>
      <c r="D293">
        <v>7</v>
      </c>
      <c r="E293">
        <v>7</v>
      </c>
      <c r="F293" t="s">
        <v>21</v>
      </c>
      <c r="G293">
        <v>1</v>
      </c>
      <c r="H293">
        <v>756</v>
      </c>
      <c r="I293" t="s">
        <v>22</v>
      </c>
      <c r="J293">
        <v>178</v>
      </c>
      <c r="K293">
        <v>0.43</v>
      </c>
      <c r="L293">
        <v>54</v>
      </c>
      <c r="M293" t="s">
        <v>23</v>
      </c>
      <c r="N293">
        <v>10</v>
      </c>
      <c r="O293">
        <v>23.029</v>
      </c>
      <c r="P293">
        <v>121.348</v>
      </c>
      <c r="Q293" t="s">
        <v>58</v>
      </c>
      <c r="R293" t="s">
        <v>54</v>
      </c>
      <c r="S293" t="s">
        <v>55</v>
      </c>
      <c r="T293">
        <v>2</v>
      </c>
    </row>
    <row r="294" spans="1:20">
      <c r="A294" t="s">
        <v>51</v>
      </c>
      <c r="B294">
        <v>6.9</v>
      </c>
      <c r="C294" t="s">
        <v>52</v>
      </c>
      <c r="D294">
        <v>9</v>
      </c>
      <c r="E294">
        <v>9</v>
      </c>
      <c r="F294" t="s">
        <v>45</v>
      </c>
      <c r="G294">
        <v>1</v>
      </c>
      <c r="H294">
        <v>887</v>
      </c>
      <c r="I294" t="s">
        <v>22</v>
      </c>
      <c r="J294">
        <v>215</v>
      </c>
      <c r="K294">
        <v>0.40100000000000002</v>
      </c>
      <c r="L294">
        <v>34</v>
      </c>
      <c r="M294" t="s">
        <v>23</v>
      </c>
      <c r="N294">
        <v>10</v>
      </c>
      <c r="O294">
        <v>23.144400000000001</v>
      </c>
      <c r="P294">
        <v>121.307</v>
      </c>
      <c r="Q294" t="s">
        <v>53</v>
      </c>
      <c r="R294" t="s">
        <v>54</v>
      </c>
      <c r="S294" t="s">
        <v>55</v>
      </c>
      <c r="T294">
        <v>2</v>
      </c>
    </row>
    <row r="295" spans="1:20">
      <c r="A295" t="s">
        <v>1572</v>
      </c>
      <c r="B295">
        <v>6.8</v>
      </c>
      <c r="C295" s="1">
        <v>37906.193055555559</v>
      </c>
      <c r="D295">
        <v>0</v>
      </c>
      <c r="E295">
        <v>7</v>
      </c>
      <c r="G295">
        <v>0</v>
      </c>
      <c r="H295">
        <v>711</v>
      </c>
      <c r="I295" t="s">
        <v>22</v>
      </c>
      <c r="J295">
        <v>447</v>
      </c>
      <c r="K295">
        <v>0</v>
      </c>
      <c r="L295">
        <v>27.7</v>
      </c>
      <c r="M295" t="s">
        <v>36</v>
      </c>
      <c r="N295">
        <v>10</v>
      </c>
      <c r="O295">
        <v>23.039000000000001</v>
      </c>
      <c r="P295">
        <v>121.36199999999999</v>
      </c>
      <c r="Q295" t="s">
        <v>53</v>
      </c>
      <c r="R295" t="s">
        <v>54</v>
      </c>
      <c r="S295" t="s">
        <v>55</v>
      </c>
      <c r="T295">
        <v>2</v>
      </c>
    </row>
    <row r="296" spans="1:20">
      <c r="A296" t="s">
        <v>677</v>
      </c>
      <c r="B296">
        <v>7.2</v>
      </c>
      <c r="C296" s="1">
        <v>42197.326388888891</v>
      </c>
      <c r="D296">
        <v>4</v>
      </c>
      <c r="E296">
        <v>7</v>
      </c>
      <c r="F296" t="s">
        <v>21</v>
      </c>
      <c r="G296">
        <v>0</v>
      </c>
      <c r="H296">
        <v>827</v>
      </c>
      <c r="I296" t="s">
        <v>22</v>
      </c>
      <c r="J296">
        <v>0</v>
      </c>
      <c r="K296">
        <v>1.1160000000000001</v>
      </c>
      <c r="L296">
        <v>18</v>
      </c>
      <c r="M296" t="s">
        <v>23</v>
      </c>
      <c r="N296">
        <v>22</v>
      </c>
      <c r="O296">
        <v>38.210700000000003</v>
      </c>
      <c r="P296">
        <v>72.779700000000005</v>
      </c>
      <c r="Q296" t="s">
        <v>585</v>
      </c>
      <c r="R296" t="s">
        <v>54</v>
      </c>
      <c r="S296" t="s">
        <v>678</v>
      </c>
      <c r="T296">
        <v>2</v>
      </c>
    </row>
    <row r="297" spans="1:20">
      <c r="A297" t="s">
        <v>299</v>
      </c>
      <c r="B297">
        <v>6.7</v>
      </c>
      <c r="C297" t="s">
        <v>300</v>
      </c>
      <c r="D297">
        <v>8</v>
      </c>
      <c r="E297">
        <v>9</v>
      </c>
      <c r="F297" t="s">
        <v>66</v>
      </c>
      <c r="G297">
        <v>0</v>
      </c>
      <c r="H297">
        <v>1247</v>
      </c>
      <c r="I297" t="s">
        <v>22</v>
      </c>
      <c r="J297">
        <v>0</v>
      </c>
      <c r="K297">
        <v>0.87</v>
      </c>
      <c r="L297">
        <v>49</v>
      </c>
      <c r="M297" t="s">
        <v>23</v>
      </c>
      <c r="N297">
        <v>10</v>
      </c>
      <c r="O297">
        <v>38.431199999999997</v>
      </c>
      <c r="P297">
        <v>39.060899999999997</v>
      </c>
      <c r="Q297" t="s">
        <v>301</v>
      </c>
      <c r="R297" t="s">
        <v>54</v>
      </c>
      <c r="S297" t="s">
        <v>302</v>
      </c>
      <c r="T297">
        <v>2</v>
      </c>
    </row>
    <row r="298" spans="1:20">
      <c r="A298" t="s">
        <v>518</v>
      </c>
      <c r="B298">
        <v>6.6</v>
      </c>
      <c r="C298" t="s">
        <v>519</v>
      </c>
      <c r="D298">
        <v>7</v>
      </c>
      <c r="E298">
        <v>7</v>
      </c>
      <c r="F298" t="s">
        <v>45</v>
      </c>
      <c r="G298">
        <v>0</v>
      </c>
      <c r="H298">
        <v>1064</v>
      </c>
      <c r="I298" t="s">
        <v>22</v>
      </c>
      <c r="J298">
        <v>0</v>
      </c>
      <c r="K298">
        <v>0.91300000000000003</v>
      </c>
      <c r="L298">
        <v>16</v>
      </c>
      <c r="M298" t="s">
        <v>23</v>
      </c>
      <c r="N298">
        <v>7</v>
      </c>
      <c r="O298">
        <v>36.929299999999998</v>
      </c>
      <c r="P298">
        <v>27.413900000000002</v>
      </c>
      <c r="Q298" t="s">
        <v>520</v>
      </c>
      <c r="R298" t="s">
        <v>54</v>
      </c>
      <c r="S298" t="s">
        <v>302</v>
      </c>
      <c r="T298">
        <v>2</v>
      </c>
    </row>
    <row r="299" spans="1:20">
      <c r="A299" t="s">
        <v>1668</v>
      </c>
      <c r="B299">
        <v>6.5</v>
      </c>
      <c r="C299" s="1">
        <v>37317.299305555556</v>
      </c>
      <c r="D299">
        <v>0</v>
      </c>
      <c r="E299">
        <v>7</v>
      </c>
      <c r="G299">
        <v>0</v>
      </c>
      <c r="H299">
        <v>650</v>
      </c>
      <c r="I299" t="s">
        <v>22</v>
      </c>
      <c r="J299">
        <v>482</v>
      </c>
      <c r="K299">
        <v>0</v>
      </c>
      <c r="L299">
        <v>0</v>
      </c>
      <c r="M299" t="s">
        <v>829</v>
      </c>
      <c r="N299">
        <v>5</v>
      </c>
      <c r="O299">
        <v>38.573</v>
      </c>
      <c r="P299">
        <v>31.271000000000001</v>
      </c>
      <c r="Q299" t="s">
        <v>1669</v>
      </c>
      <c r="R299" t="s">
        <v>54</v>
      </c>
      <c r="S299" t="s">
        <v>302</v>
      </c>
      <c r="T299">
        <v>2</v>
      </c>
    </row>
    <row r="300" spans="1:20">
      <c r="A300" t="s">
        <v>1064</v>
      </c>
      <c r="B300">
        <v>7.1</v>
      </c>
      <c r="C300" t="s">
        <v>1065</v>
      </c>
      <c r="D300">
        <v>9</v>
      </c>
      <c r="E300">
        <v>9</v>
      </c>
      <c r="G300">
        <v>0</v>
      </c>
      <c r="H300">
        <v>1096</v>
      </c>
      <c r="I300" t="s">
        <v>22</v>
      </c>
      <c r="J300">
        <v>693</v>
      </c>
      <c r="K300">
        <v>0</v>
      </c>
      <c r="L300">
        <v>19.7</v>
      </c>
      <c r="M300" t="s">
        <v>23</v>
      </c>
      <c r="N300">
        <v>18</v>
      </c>
      <c r="O300">
        <v>38.720999999999997</v>
      </c>
      <c r="P300">
        <v>43.508000000000003</v>
      </c>
      <c r="Q300" t="s">
        <v>1066</v>
      </c>
      <c r="R300" t="s">
        <v>54</v>
      </c>
      <c r="S300" t="s">
        <v>302</v>
      </c>
      <c r="T300">
        <v>2</v>
      </c>
    </row>
    <row r="301" spans="1:20">
      <c r="A301" t="s">
        <v>1394</v>
      </c>
      <c r="B301">
        <v>8.3000000000000007</v>
      </c>
      <c r="C301" t="s">
        <v>1395</v>
      </c>
      <c r="D301">
        <v>4</v>
      </c>
      <c r="E301">
        <v>7</v>
      </c>
      <c r="G301">
        <v>0</v>
      </c>
      <c r="H301">
        <v>1064</v>
      </c>
      <c r="I301" t="s">
        <v>22</v>
      </c>
      <c r="J301">
        <v>576</v>
      </c>
      <c r="K301">
        <v>0</v>
      </c>
      <c r="L301">
        <v>20.9</v>
      </c>
      <c r="M301" t="s">
        <v>829</v>
      </c>
      <c r="N301">
        <v>10</v>
      </c>
      <c r="O301">
        <v>46.591999999999999</v>
      </c>
      <c r="P301">
        <v>153.26599999999999</v>
      </c>
      <c r="Q301" t="s">
        <v>1396</v>
      </c>
      <c r="R301" t="s">
        <v>54</v>
      </c>
      <c r="T301">
        <v>2</v>
      </c>
    </row>
    <row r="302" spans="1:20">
      <c r="A302" t="s">
        <v>940</v>
      </c>
      <c r="B302">
        <v>8.3000000000000007</v>
      </c>
      <c r="C302" t="s">
        <v>941</v>
      </c>
      <c r="D302">
        <v>5</v>
      </c>
      <c r="E302">
        <v>5</v>
      </c>
      <c r="F302" t="s">
        <v>21</v>
      </c>
      <c r="G302">
        <v>1</v>
      </c>
      <c r="H302">
        <v>1115</v>
      </c>
      <c r="I302" t="s">
        <v>22</v>
      </c>
      <c r="J302">
        <v>385</v>
      </c>
      <c r="K302">
        <v>0</v>
      </c>
      <c r="L302">
        <v>10</v>
      </c>
      <c r="M302" t="s">
        <v>23</v>
      </c>
      <c r="N302">
        <v>598.1</v>
      </c>
      <c r="O302">
        <v>54.892000000000003</v>
      </c>
      <c r="P302">
        <v>153.221</v>
      </c>
      <c r="Q302" t="s">
        <v>902</v>
      </c>
      <c r="R302" t="s">
        <v>54</v>
      </c>
      <c r="T302">
        <v>2</v>
      </c>
    </row>
    <row r="303" spans="1:20">
      <c r="A303" t="s">
        <v>901</v>
      </c>
      <c r="B303">
        <v>6.7</v>
      </c>
      <c r="C303" s="1">
        <v>41284.151388888888</v>
      </c>
      <c r="D303">
        <v>0</v>
      </c>
      <c r="E303">
        <v>3</v>
      </c>
      <c r="F303" t="s">
        <v>21</v>
      </c>
      <c r="G303">
        <v>0</v>
      </c>
      <c r="H303">
        <v>691</v>
      </c>
      <c r="I303" t="s">
        <v>22</v>
      </c>
      <c r="J303">
        <v>0</v>
      </c>
      <c r="K303">
        <v>2.9580000000000002</v>
      </c>
      <c r="L303">
        <v>11</v>
      </c>
      <c r="M303" t="s">
        <v>23</v>
      </c>
      <c r="N303">
        <v>573</v>
      </c>
      <c r="O303">
        <v>53.1995</v>
      </c>
      <c r="P303">
        <v>152.786</v>
      </c>
      <c r="Q303" t="s">
        <v>902</v>
      </c>
      <c r="R303" t="s">
        <v>54</v>
      </c>
      <c r="T303">
        <v>2</v>
      </c>
    </row>
    <row r="304" spans="1:20">
      <c r="A304" t="s">
        <v>901</v>
      </c>
      <c r="B304">
        <v>6.7</v>
      </c>
      <c r="C304" t="s">
        <v>939</v>
      </c>
      <c r="D304">
        <v>0</v>
      </c>
      <c r="E304">
        <v>3</v>
      </c>
      <c r="F304" t="s">
        <v>21</v>
      </c>
      <c r="G304">
        <v>1</v>
      </c>
      <c r="H304">
        <v>691</v>
      </c>
      <c r="I304" t="s">
        <v>22</v>
      </c>
      <c r="J304">
        <v>217</v>
      </c>
      <c r="K304">
        <v>0</v>
      </c>
      <c r="L304">
        <v>25.2</v>
      </c>
      <c r="M304" t="s">
        <v>36</v>
      </c>
      <c r="N304">
        <v>624</v>
      </c>
      <c r="O304">
        <v>52.234999999999999</v>
      </c>
      <c r="P304">
        <v>151.44399999999999</v>
      </c>
      <c r="Q304" t="s">
        <v>902</v>
      </c>
      <c r="R304" t="s">
        <v>54</v>
      </c>
      <c r="T304">
        <v>2</v>
      </c>
    </row>
    <row r="305" spans="1:20">
      <c r="A305" t="s">
        <v>899</v>
      </c>
      <c r="B305">
        <v>6.6</v>
      </c>
      <c r="C305" s="1">
        <v>41618.549305555556</v>
      </c>
      <c r="D305">
        <v>5</v>
      </c>
      <c r="E305">
        <v>6</v>
      </c>
      <c r="F305" t="s">
        <v>45</v>
      </c>
      <c r="G305">
        <v>0</v>
      </c>
      <c r="H305">
        <v>691</v>
      </c>
      <c r="I305" t="s">
        <v>22</v>
      </c>
      <c r="J305">
        <v>0</v>
      </c>
      <c r="K305">
        <v>1.984</v>
      </c>
      <c r="L305">
        <v>40</v>
      </c>
      <c r="M305" t="s">
        <v>23</v>
      </c>
      <c r="N305">
        <v>40</v>
      </c>
      <c r="O305">
        <v>35.514200000000002</v>
      </c>
      <c r="P305">
        <v>23.252300000000002</v>
      </c>
      <c r="Q305" t="s">
        <v>900</v>
      </c>
      <c r="R305" t="s">
        <v>234</v>
      </c>
      <c r="S305" t="s">
        <v>235</v>
      </c>
      <c r="T305">
        <v>3</v>
      </c>
    </row>
    <row r="306" spans="1:20">
      <c r="A306" t="s">
        <v>1443</v>
      </c>
      <c r="B306">
        <v>6.7</v>
      </c>
      <c r="C306" s="1">
        <v>38930.481944444444</v>
      </c>
      <c r="D306">
        <v>7</v>
      </c>
      <c r="E306">
        <v>6</v>
      </c>
      <c r="G306">
        <v>0</v>
      </c>
      <c r="H306">
        <v>934</v>
      </c>
      <c r="I306" t="s">
        <v>22</v>
      </c>
      <c r="J306">
        <v>769</v>
      </c>
      <c r="K306">
        <v>0</v>
      </c>
      <c r="L306">
        <v>19.7</v>
      </c>
      <c r="M306" t="s">
        <v>36</v>
      </c>
      <c r="N306">
        <v>66</v>
      </c>
      <c r="O306">
        <v>36.311</v>
      </c>
      <c r="P306">
        <v>23.212</v>
      </c>
      <c r="Q306" t="s">
        <v>1444</v>
      </c>
      <c r="R306" t="s">
        <v>234</v>
      </c>
      <c r="S306" t="s">
        <v>235</v>
      </c>
      <c r="T306">
        <v>3</v>
      </c>
    </row>
    <row r="307" spans="1:20">
      <c r="A307" t="s">
        <v>833</v>
      </c>
      <c r="B307">
        <v>6.9</v>
      </c>
      <c r="C307" t="s">
        <v>834</v>
      </c>
      <c r="D307">
        <v>9</v>
      </c>
      <c r="E307">
        <v>7</v>
      </c>
      <c r="F307" t="s">
        <v>21</v>
      </c>
      <c r="G307">
        <v>0</v>
      </c>
      <c r="H307">
        <v>951</v>
      </c>
      <c r="I307" t="s">
        <v>22</v>
      </c>
      <c r="J307">
        <v>0</v>
      </c>
      <c r="K307">
        <v>0.40200000000000002</v>
      </c>
      <c r="L307">
        <v>25</v>
      </c>
      <c r="M307" t="s">
        <v>23</v>
      </c>
      <c r="N307">
        <v>6.43</v>
      </c>
      <c r="O307">
        <v>40.289299999999997</v>
      </c>
      <c r="P307">
        <v>25.3889</v>
      </c>
      <c r="Q307" t="s">
        <v>835</v>
      </c>
      <c r="R307" t="s">
        <v>234</v>
      </c>
      <c r="S307" t="s">
        <v>235</v>
      </c>
      <c r="T307">
        <v>3</v>
      </c>
    </row>
    <row r="308" spans="1:20">
      <c r="A308" t="s">
        <v>1300</v>
      </c>
      <c r="B308">
        <v>6.5</v>
      </c>
      <c r="C308" t="s">
        <v>1301</v>
      </c>
      <c r="D308">
        <v>8</v>
      </c>
      <c r="E308">
        <v>5</v>
      </c>
      <c r="G308">
        <v>0</v>
      </c>
      <c r="H308">
        <v>692</v>
      </c>
      <c r="I308" t="s">
        <v>22</v>
      </c>
      <c r="J308">
        <v>650</v>
      </c>
      <c r="K308">
        <v>0</v>
      </c>
      <c r="L308">
        <v>30.7</v>
      </c>
      <c r="M308" t="s">
        <v>829</v>
      </c>
      <c r="N308">
        <v>28</v>
      </c>
      <c r="O308">
        <v>36.344999999999999</v>
      </c>
      <c r="P308">
        <v>21.863</v>
      </c>
      <c r="Q308" t="s">
        <v>1302</v>
      </c>
      <c r="R308" t="s">
        <v>234</v>
      </c>
      <c r="S308" t="s">
        <v>235</v>
      </c>
      <c r="T308">
        <v>3</v>
      </c>
    </row>
    <row r="309" spans="1:20">
      <c r="A309" t="s">
        <v>688</v>
      </c>
      <c r="B309">
        <v>6.5</v>
      </c>
      <c r="C309" t="s">
        <v>689</v>
      </c>
      <c r="D309">
        <v>7</v>
      </c>
      <c r="E309">
        <v>7</v>
      </c>
      <c r="F309" t="s">
        <v>66</v>
      </c>
      <c r="G309">
        <v>0</v>
      </c>
      <c r="H309">
        <v>1018</v>
      </c>
      <c r="I309" t="s">
        <v>22</v>
      </c>
      <c r="J309">
        <v>0</v>
      </c>
      <c r="K309">
        <v>0</v>
      </c>
      <c r="L309">
        <v>0</v>
      </c>
      <c r="M309" t="s">
        <v>23</v>
      </c>
      <c r="N309">
        <v>11</v>
      </c>
      <c r="O309">
        <v>38.67</v>
      </c>
      <c r="P309">
        <v>20.6</v>
      </c>
      <c r="Q309" t="s">
        <v>690</v>
      </c>
      <c r="R309" t="s">
        <v>234</v>
      </c>
      <c r="S309" t="s">
        <v>235</v>
      </c>
      <c r="T309">
        <v>3</v>
      </c>
    </row>
    <row r="310" spans="1:20">
      <c r="A310" t="s">
        <v>401</v>
      </c>
      <c r="B310">
        <v>6.8</v>
      </c>
      <c r="C310" t="s">
        <v>402</v>
      </c>
      <c r="D310">
        <v>8</v>
      </c>
      <c r="E310">
        <v>7</v>
      </c>
      <c r="F310" t="s">
        <v>45</v>
      </c>
      <c r="G310">
        <v>0</v>
      </c>
      <c r="H310">
        <v>954</v>
      </c>
      <c r="I310" t="s">
        <v>22</v>
      </c>
      <c r="J310">
        <v>0</v>
      </c>
      <c r="K310">
        <v>2.2679999999999998</v>
      </c>
      <c r="L310">
        <v>15</v>
      </c>
      <c r="M310" t="s">
        <v>23</v>
      </c>
      <c r="N310">
        <v>14</v>
      </c>
      <c r="O310">
        <v>37.520299999999999</v>
      </c>
      <c r="P310">
        <v>20.5565</v>
      </c>
      <c r="Q310" t="s">
        <v>403</v>
      </c>
      <c r="R310" t="s">
        <v>234</v>
      </c>
      <c r="S310" t="s">
        <v>235</v>
      </c>
      <c r="T310">
        <v>3</v>
      </c>
    </row>
    <row r="311" spans="1:20">
      <c r="A311" t="s">
        <v>1303</v>
      </c>
      <c r="B311">
        <v>6.9</v>
      </c>
      <c r="C311" t="s">
        <v>1304</v>
      </c>
      <c r="D311">
        <v>6</v>
      </c>
      <c r="E311">
        <v>6</v>
      </c>
      <c r="G311">
        <v>0</v>
      </c>
      <c r="H311">
        <v>941</v>
      </c>
      <c r="I311" t="s">
        <v>22</v>
      </c>
      <c r="J311">
        <v>645</v>
      </c>
      <c r="K311">
        <v>0</v>
      </c>
      <c r="L311">
        <v>30.6</v>
      </c>
      <c r="M311" t="s">
        <v>829</v>
      </c>
      <c r="N311">
        <v>29</v>
      </c>
      <c r="O311">
        <v>36.500999999999998</v>
      </c>
      <c r="P311">
        <v>21.67</v>
      </c>
      <c r="Q311" t="s">
        <v>1305</v>
      </c>
      <c r="R311" t="s">
        <v>234</v>
      </c>
      <c r="S311" t="s">
        <v>235</v>
      </c>
      <c r="T311">
        <v>3</v>
      </c>
    </row>
    <row r="312" spans="1:20">
      <c r="A312" t="s">
        <v>284</v>
      </c>
      <c r="B312">
        <v>6.5</v>
      </c>
      <c r="C312" s="1">
        <v>43866.535416666666</v>
      </c>
      <c r="D312">
        <v>7</v>
      </c>
      <c r="E312">
        <v>6</v>
      </c>
      <c r="F312" t="s">
        <v>21</v>
      </c>
      <c r="G312">
        <v>0</v>
      </c>
      <c r="H312">
        <v>678</v>
      </c>
      <c r="I312" t="s">
        <v>22</v>
      </c>
      <c r="J312">
        <v>0</v>
      </c>
      <c r="K312">
        <v>1.2929999999999999</v>
      </c>
      <c r="L312">
        <v>19</v>
      </c>
      <c r="M312" t="s">
        <v>23</v>
      </c>
      <c r="N312">
        <v>10</v>
      </c>
      <c r="O312">
        <v>34.181800000000003</v>
      </c>
      <c r="P312">
        <v>25.710100000000001</v>
      </c>
      <c r="Q312" t="s">
        <v>285</v>
      </c>
      <c r="R312" t="s">
        <v>234</v>
      </c>
      <c r="S312" t="s">
        <v>235</v>
      </c>
      <c r="T312">
        <v>3</v>
      </c>
    </row>
    <row r="313" spans="1:20">
      <c r="A313" t="s">
        <v>231</v>
      </c>
      <c r="B313">
        <v>7</v>
      </c>
      <c r="C313" t="s">
        <v>232</v>
      </c>
      <c r="D313">
        <v>8</v>
      </c>
      <c r="E313">
        <v>7</v>
      </c>
      <c r="F313" t="s">
        <v>66</v>
      </c>
      <c r="G313">
        <v>0</v>
      </c>
      <c r="H313">
        <v>1527</v>
      </c>
      <c r="I313" t="s">
        <v>22</v>
      </c>
      <c r="J313">
        <v>0</v>
      </c>
      <c r="K313">
        <v>1.518</v>
      </c>
      <c r="L313">
        <v>18</v>
      </c>
      <c r="M313" t="s">
        <v>23</v>
      </c>
      <c r="N313">
        <v>21</v>
      </c>
      <c r="O313">
        <v>37.897300000000001</v>
      </c>
      <c r="P313">
        <v>26.795300000000001</v>
      </c>
      <c r="Q313" t="s">
        <v>233</v>
      </c>
      <c r="R313" t="s">
        <v>234</v>
      </c>
      <c r="S313" t="s">
        <v>235</v>
      </c>
      <c r="T313">
        <v>3</v>
      </c>
    </row>
    <row r="314" spans="1:20">
      <c r="A314" t="s">
        <v>1692</v>
      </c>
      <c r="B314">
        <v>6.5</v>
      </c>
      <c r="C314" t="s">
        <v>1693</v>
      </c>
      <c r="D314">
        <v>0</v>
      </c>
      <c r="E314">
        <v>8</v>
      </c>
      <c r="G314">
        <v>0</v>
      </c>
      <c r="H314">
        <v>650</v>
      </c>
      <c r="I314" t="s">
        <v>22</v>
      </c>
      <c r="J314">
        <v>483</v>
      </c>
      <c r="K314">
        <v>0</v>
      </c>
      <c r="L314">
        <v>0</v>
      </c>
      <c r="M314" t="s">
        <v>829</v>
      </c>
      <c r="N314">
        <v>10</v>
      </c>
      <c r="O314">
        <v>39.058999999999997</v>
      </c>
      <c r="P314">
        <v>24.244</v>
      </c>
      <c r="Q314" t="s">
        <v>1694</v>
      </c>
      <c r="R314" t="s">
        <v>234</v>
      </c>
      <c r="S314" t="s">
        <v>235</v>
      </c>
      <c r="T314">
        <v>3</v>
      </c>
    </row>
    <row r="315" spans="1:20">
      <c r="A315" t="s">
        <v>600</v>
      </c>
      <c r="B315">
        <v>6.6</v>
      </c>
      <c r="C315" t="s">
        <v>601</v>
      </c>
      <c r="D315">
        <v>9</v>
      </c>
      <c r="E315">
        <v>8</v>
      </c>
      <c r="F315" t="s">
        <v>103</v>
      </c>
      <c r="G315">
        <v>0</v>
      </c>
      <c r="H315">
        <v>2840</v>
      </c>
      <c r="I315" t="s">
        <v>22</v>
      </c>
      <c r="J315">
        <v>0</v>
      </c>
      <c r="K315">
        <v>0.17399999999999999</v>
      </c>
      <c r="L315">
        <v>25</v>
      </c>
      <c r="M315" t="s">
        <v>23</v>
      </c>
      <c r="N315">
        <v>8</v>
      </c>
      <c r="O315">
        <v>42.862099999999998</v>
      </c>
      <c r="P315">
        <v>13.0961</v>
      </c>
      <c r="Q315" t="s">
        <v>602</v>
      </c>
      <c r="R315" t="s">
        <v>234</v>
      </c>
      <c r="S315" t="s">
        <v>603</v>
      </c>
      <c r="T315">
        <v>3</v>
      </c>
    </row>
    <row r="316" spans="1:20">
      <c r="A316" t="s">
        <v>325</v>
      </c>
      <c r="B316">
        <v>6.6</v>
      </c>
      <c r="C316" t="s">
        <v>326</v>
      </c>
      <c r="D316">
        <v>0</v>
      </c>
      <c r="E316">
        <v>4</v>
      </c>
      <c r="F316" t="s">
        <v>21</v>
      </c>
      <c r="G316">
        <v>1</v>
      </c>
      <c r="H316">
        <v>670</v>
      </c>
      <c r="I316" t="s">
        <v>22</v>
      </c>
      <c r="J316">
        <v>0</v>
      </c>
      <c r="K316">
        <v>12.896000000000001</v>
      </c>
      <c r="L316">
        <v>19</v>
      </c>
      <c r="M316" t="s">
        <v>23</v>
      </c>
      <c r="N316">
        <v>16</v>
      </c>
      <c r="O316">
        <v>-60.215200000000003</v>
      </c>
      <c r="P316">
        <v>-26.580100000000002</v>
      </c>
      <c r="Q316" t="s">
        <v>327</v>
      </c>
      <c r="R316" t="s">
        <v>234</v>
      </c>
      <c r="S316" t="s">
        <v>328</v>
      </c>
      <c r="T316">
        <v>3</v>
      </c>
    </row>
    <row r="317" spans="1:20">
      <c r="A317" t="s">
        <v>366</v>
      </c>
      <c r="B317">
        <v>6.5</v>
      </c>
      <c r="C317" s="1">
        <v>43712.745138888888</v>
      </c>
      <c r="D317">
        <v>0</v>
      </c>
      <c r="E317">
        <v>5</v>
      </c>
      <c r="F317" t="s">
        <v>21</v>
      </c>
      <c r="G317">
        <v>1</v>
      </c>
      <c r="H317">
        <v>650</v>
      </c>
      <c r="I317" t="s">
        <v>22</v>
      </c>
      <c r="J317">
        <v>0</v>
      </c>
      <c r="K317">
        <v>7.5679999999999996</v>
      </c>
      <c r="L317">
        <v>18</v>
      </c>
      <c r="M317" t="s">
        <v>23</v>
      </c>
      <c r="N317">
        <v>38</v>
      </c>
      <c r="O317">
        <v>-58.626199999999997</v>
      </c>
      <c r="P317">
        <v>-25.303999999999998</v>
      </c>
      <c r="Q317" t="s">
        <v>327</v>
      </c>
      <c r="R317" t="s">
        <v>234</v>
      </c>
      <c r="S317" t="s">
        <v>328</v>
      </c>
      <c r="T317">
        <v>3</v>
      </c>
    </row>
    <row r="318" spans="1:20">
      <c r="A318" t="s">
        <v>881</v>
      </c>
      <c r="B318">
        <v>7.7</v>
      </c>
      <c r="C318" t="s">
        <v>882</v>
      </c>
      <c r="D318">
        <v>1</v>
      </c>
      <c r="E318">
        <v>8</v>
      </c>
      <c r="F318" t="s">
        <v>21</v>
      </c>
      <c r="G318">
        <v>1</v>
      </c>
      <c r="H318">
        <v>912</v>
      </c>
      <c r="I318" t="s">
        <v>22</v>
      </c>
      <c r="J318">
        <v>0</v>
      </c>
      <c r="K318">
        <v>8.0500000000000007</v>
      </c>
      <c r="L318">
        <v>23</v>
      </c>
      <c r="M318" t="s">
        <v>23</v>
      </c>
      <c r="N318">
        <v>10</v>
      </c>
      <c r="O318">
        <v>-60.273800000000001</v>
      </c>
      <c r="P318">
        <v>-46.4011</v>
      </c>
      <c r="Q318" t="s">
        <v>883</v>
      </c>
      <c r="R318" t="s">
        <v>234</v>
      </c>
      <c r="S318" t="s">
        <v>328</v>
      </c>
      <c r="T318">
        <v>3</v>
      </c>
    </row>
    <row r="319" spans="1:20">
      <c r="A319" t="s">
        <v>1598</v>
      </c>
      <c r="B319">
        <v>7.6</v>
      </c>
      <c r="C319" s="1">
        <v>37719.192361111112</v>
      </c>
      <c r="D319">
        <v>0</v>
      </c>
      <c r="E319">
        <v>6</v>
      </c>
      <c r="G319">
        <v>0</v>
      </c>
      <c r="H319">
        <v>889</v>
      </c>
      <c r="I319" t="s">
        <v>22</v>
      </c>
      <c r="J319">
        <v>315</v>
      </c>
      <c r="K319">
        <v>0</v>
      </c>
      <c r="L319">
        <v>25.2</v>
      </c>
      <c r="M319" t="s">
        <v>829</v>
      </c>
      <c r="N319">
        <v>10</v>
      </c>
      <c r="O319">
        <v>-60.531999999999996</v>
      </c>
      <c r="P319">
        <v>-43.411000000000001</v>
      </c>
      <c r="Q319" t="s">
        <v>883</v>
      </c>
      <c r="R319" t="s">
        <v>234</v>
      </c>
      <c r="S319" t="s">
        <v>328</v>
      </c>
      <c r="T319">
        <v>3</v>
      </c>
    </row>
    <row r="320" spans="1:20">
      <c r="A320" t="s">
        <v>884</v>
      </c>
      <c r="B320">
        <v>6.9</v>
      </c>
      <c r="C320" t="s">
        <v>885</v>
      </c>
      <c r="D320">
        <v>0</v>
      </c>
      <c r="E320">
        <v>5</v>
      </c>
      <c r="F320" t="s">
        <v>21</v>
      </c>
      <c r="G320">
        <v>1</v>
      </c>
      <c r="H320">
        <v>732</v>
      </c>
      <c r="I320" t="s">
        <v>22</v>
      </c>
      <c r="J320">
        <v>0</v>
      </c>
      <c r="K320">
        <v>8.2840000000000007</v>
      </c>
      <c r="L320">
        <v>17</v>
      </c>
      <c r="M320" t="s">
        <v>23</v>
      </c>
      <c r="N320">
        <v>9.9700000000000006</v>
      </c>
      <c r="O320">
        <v>-60.262700000000002</v>
      </c>
      <c r="P320">
        <v>-47.062100000000001</v>
      </c>
      <c r="Q320" t="s">
        <v>883</v>
      </c>
      <c r="R320" t="s">
        <v>234</v>
      </c>
      <c r="S320" t="s">
        <v>328</v>
      </c>
      <c r="T320">
        <v>3</v>
      </c>
    </row>
    <row r="321" spans="1:20">
      <c r="A321" t="s">
        <v>927</v>
      </c>
      <c r="B321">
        <v>7.3</v>
      </c>
      <c r="C321" t="s">
        <v>928</v>
      </c>
      <c r="D321">
        <v>0</v>
      </c>
      <c r="E321">
        <v>6</v>
      </c>
      <c r="F321" t="s">
        <v>21</v>
      </c>
      <c r="G321">
        <v>1</v>
      </c>
      <c r="H321">
        <v>820</v>
      </c>
      <c r="I321" t="s">
        <v>22</v>
      </c>
      <c r="J321">
        <v>398</v>
      </c>
      <c r="K321">
        <v>0</v>
      </c>
      <c r="L321">
        <v>43</v>
      </c>
      <c r="M321" t="s">
        <v>23</v>
      </c>
      <c r="N321">
        <v>11</v>
      </c>
      <c r="O321">
        <v>-60.856999999999999</v>
      </c>
      <c r="P321">
        <v>-25.07</v>
      </c>
      <c r="Q321" t="s">
        <v>156</v>
      </c>
      <c r="R321" t="s">
        <v>234</v>
      </c>
      <c r="S321" t="s">
        <v>328</v>
      </c>
      <c r="T321">
        <v>3</v>
      </c>
    </row>
    <row r="322" spans="1:20">
      <c r="A322" t="s">
        <v>735</v>
      </c>
      <c r="B322">
        <v>6.5</v>
      </c>
      <c r="C322" t="s">
        <v>736</v>
      </c>
      <c r="D322">
        <v>4</v>
      </c>
      <c r="E322">
        <v>4</v>
      </c>
      <c r="F322" t="s">
        <v>21</v>
      </c>
      <c r="G322">
        <v>1</v>
      </c>
      <c r="H322">
        <v>686</v>
      </c>
      <c r="I322" t="s">
        <v>22</v>
      </c>
      <c r="J322">
        <v>0</v>
      </c>
      <c r="K322">
        <v>1.218</v>
      </c>
      <c r="L322">
        <v>20</v>
      </c>
      <c r="M322" t="s">
        <v>23</v>
      </c>
      <c r="N322">
        <v>20</v>
      </c>
      <c r="O322">
        <v>13.8672</v>
      </c>
      <c r="P322">
        <v>-58.547899999999998</v>
      </c>
      <c r="Q322" t="s">
        <v>737</v>
      </c>
      <c r="R322" t="s">
        <v>47</v>
      </c>
      <c r="S322" t="s">
        <v>1743</v>
      </c>
      <c r="T322">
        <v>4</v>
      </c>
    </row>
    <row r="323" spans="1:20">
      <c r="A323" t="s">
        <v>871</v>
      </c>
      <c r="B323">
        <v>6.5</v>
      </c>
      <c r="C323" t="s">
        <v>872</v>
      </c>
      <c r="D323">
        <v>5</v>
      </c>
      <c r="E323">
        <v>4</v>
      </c>
      <c r="F323" t="s">
        <v>21</v>
      </c>
      <c r="G323">
        <v>1</v>
      </c>
      <c r="H323">
        <v>681</v>
      </c>
      <c r="I323" t="s">
        <v>22</v>
      </c>
      <c r="J323">
        <v>0</v>
      </c>
      <c r="K323">
        <v>1.635</v>
      </c>
      <c r="L323">
        <v>30</v>
      </c>
      <c r="M323" t="s">
        <v>23</v>
      </c>
      <c r="N323">
        <v>14.83</v>
      </c>
      <c r="O323">
        <v>14.668200000000001</v>
      </c>
      <c r="P323">
        <v>-58.927199999999999</v>
      </c>
      <c r="Q323" t="s">
        <v>873</v>
      </c>
      <c r="R323" t="s">
        <v>47</v>
      </c>
      <c r="S323" t="s">
        <v>1743</v>
      </c>
      <c r="T323">
        <v>4</v>
      </c>
    </row>
    <row r="324" spans="1:20">
      <c r="A324" t="s">
        <v>407</v>
      </c>
      <c r="B324">
        <v>6.8</v>
      </c>
      <c r="C324" t="s">
        <v>408</v>
      </c>
      <c r="D324">
        <v>4</v>
      </c>
      <c r="E324">
        <v>4</v>
      </c>
      <c r="F324" t="s">
        <v>21</v>
      </c>
      <c r="G324">
        <v>1</v>
      </c>
      <c r="H324">
        <v>776</v>
      </c>
      <c r="I324" t="s">
        <v>22</v>
      </c>
      <c r="J324">
        <v>0</v>
      </c>
      <c r="K324">
        <v>1.5049999999999999</v>
      </c>
      <c r="L324">
        <v>36</v>
      </c>
      <c r="M324" t="s">
        <v>23</v>
      </c>
      <c r="N324">
        <v>10</v>
      </c>
      <c r="O324">
        <v>49.334600000000002</v>
      </c>
      <c r="P324">
        <v>-129.28899999999999</v>
      </c>
      <c r="Q324" t="s">
        <v>406</v>
      </c>
      <c r="R324" t="s">
        <v>47</v>
      </c>
      <c r="S324" t="s">
        <v>998</v>
      </c>
      <c r="T324">
        <v>4</v>
      </c>
    </row>
    <row r="325" spans="1:20">
      <c r="A325" t="s">
        <v>1528</v>
      </c>
      <c r="B325">
        <v>6.7</v>
      </c>
      <c r="C325" s="1">
        <v>38028.418055555558</v>
      </c>
      <c r="D325">
        <v>7</v>
      </c>
      <c r="E325">
        <v>4</v>
      </c>
      <c r="G325">
        <v>0</v>
      </c>
      <c r="H325">
        <v>703</v>
      </c>
      <c r="I325" t="s">
        <v>22</v>
      </c>
      <c r="J325">
        <v>459</v>
      </c>
      <c r="K325">
        <v>0</v>
      </c>
      <c r="L325">
        <v>37.299999999999997</v>
      </c>
      <c r="M325" t="s">
        <v>36</v>
      </c>
      <c r="N325">
        <v>10</v>
      </c>
      <c r="O325">
        <v>49.277000000000001</v>
      </c>
      <c r="P325">
        <v>-128.77199999999999</v>
      </c>
      <c r="Q325" t="s">
        <v>406</v>
      </c>
      <c r="R325" t="s">
        <v>47</v>
      </c>
      <c r="S325" t="s">
        <v>998</v>
      </c>
      <c r="T325">
        <v>4</v>
      </c>
    </row>
    <row r="326" spans="1:20">
      <c r="A326" t="s">
        <v>404</v>
      </c>
      <c r="B326">
        <v>6.5</v>
      </c>
      <c r="C326" t="s">
        <v>405</v>
      </c>
      <c r="D326">
        <v>2</v>
      </c>
      <c r="E326">
        <v>4</v>
      </c>
      <c r="F326" t="s">
        <v>21</v>
      </c>
      <c r="G326">
        <v>0</v>
      </c>
      <c r="H326">
        <v>655</v>
      </c>
      <c r="I326" t="s">
        <v>22</v>
      </c>
      <c r="J326">
        <v>0</v>
      </c>
      <c r="K326">
        <v>1.6919999999999999</v>
      </c>
      <c r="L326">
        <v>68</v>
      </c>
      <c r="M326" t="s">
        <v>23</v>
      </c>
      <c r="N326">
        <v>10</v>
      </c>
      <c r="O326">
        <v>49.296999999999997</v>
      </c>
      <c r="P326">
        <v>-129.72399999999999</v>
      </c>
      <c r="Q326" t="s">
        <v>406</v>
      </c>
      <c r="R326" t="s">
        <v>47</v>
      </c>
      <c r="S326" t="s">
        <v>998</v>
      </c>
      <c r="T326">
        <v>4</v>
      </c>
    </row>
    <row r="327" spans="1:20">
      <c r="A327" t="s">
        <v>409</v>
      </c>
      <c r="B327">
        <v>6.5</v>
      </c>
      <c r="C327" t="s">
        <v>410</v>
      </c>
      <c r="D327">
        <v>3</v>
      </c>
      <c r="E327">
        <v>4</v>
      </c>
      <c r="F327" t="s">
        <v>21</v>
      </c>
      <c r="G327">
        <v>1</v>
      </c>
      <c r="H327">
        <v>669</v>
      </c>
      <c r="I327" t="s">
        <v>22</v>
      </c>
      <c r="J327">
        <v>0</v>
      </c>
      <c r="K327">
        <v>1.611</v>
      </c>
      <c r="L327">
        <v>63</v>
      </c>
      <c r="M327" t="s">
        <v>23</v>
      </c>
      <c r="N327">
        <v>10</v>
      </c>
      <c r="O327">
        <v>49.258600000000001</v>
      </c>
      <c r="P327">
        <v>-129.41200000000001</v>
      </c>
      <c r="Q327" t="s">
        <v>406</v>
      </c>
      <c r="R327" t="s">
        <v>47</v>
      </c>
      <c r="S327" t="s">
        <v>998</v>
      </c>
      <c r="T327">
        <v>4</v>
      </c>
    </row>
    <row r="328" spans="1:20">
      <c r="A328" t="s">
        <v>995</v>
      </c>
      <c r="B328">
        <v>7.8</v>
      </c>
      <c r="C328" t="s">
        <v>996</v>
      </c>
      <c r="D328">
        <v>8</v>
      </c>
      <c r="E328">
        <v>7</v>
      </c>
      <c r="G328">
        <v>0</v>
      </c>
      <c r="H328">
        <v>1726</v>
      </c>
      <c r="I328" t="s">
        <v>22</v>
      </c>
      <c r="J328">
        <v>807</v>
      </c>
      <c r="K328">
        <v>0</v>
      </c>
      <c r="L328">
        <v>42.7</v>
      </c>
      <c r="M328" t="s">
        <v>23</v>
      </c>
      <c r="N328">
        <v>14</v>
      </c>
      <c r="O328">
        <v>52.787999999999997</v>
      </c>
      <c r="P328">
        <v>-132.101</v>
      </c>
      <c r="Q328" t="s">
        <v>997</v>
      </c>
      <c r="R328" t="s">
        <v>47</v>
      </c>
      <c r="S328" t="s">
        <v>998</v>
      </c>
      <c r="T328">
        <v>4</v>
      </c>
    </row>
    <row r="329" spans="1:20">
      <c r="A329" t="s">
        <v>839</v>
      </c>
      <c r="B329">
        <v>6.5</v>
      </c>
      <c r="C329" t="s">
        <v>840</v>
      </c>
      <c r="D329">
        <v>4</v>
      </c>
      <c r="E329">
        <v>6</v>
      </c>
      <c r="F329" t="s">
        <v>21</v>
      </c>
      <c r="G329">
        <v>1</v>
      </c>
      <c r="H329">
        <v>838</v>
      </c>
      <c r="I329" t="s">
        <v>22</v>
      </c>
      <c r="J329">
        <v>0</v>
      </c>
      <c r="K329">
        <v>0</v>
      </c>
      <c r="L329">
        <v>0</v>
      </c>
      <c r="M329" t="s">
        <v>23</v>
      </c>
      <c r="N329">
        <v>10</v>
      </c>
      <c r="O329">
        <v>49.638800000000003</v>
      </c>
      <c r="P329">
        <v>-127.732</v>
      </c>
      <c r="Q329" t="s">
        <v>841</v>
      </c>
      <c r="R329" t="s">
        <v>47</v>
      </c>
      <c r="S329" t="s">
        <v>998</v>
      </c>
      <c r="T329">
        <v>4</v>
      </c>
    </row>
    <row r="330" spans="1:20">
      <c r="A330" t="s">
        <v>999</v>
      </c>
      <c r="B330">
        <v>6.5</v>
      </c>
      <c r="C330" t="s">
        <v>1000</v>
      </c>
      <c r="D330">
        <v>6</v>
      </c>
      <c r="E330">
        <v>6</v>
      </c>
      <c r="G330">
        <v>0</v>
      </c>
      <c r="H330">
        <v>745</v>
      </c>
      <c r="I330" t="s">
        <v>22</v>
      </c>
      <c r="J330">
        <v>691</v>
      </c>
      <c r="K330">
        <v>0</v>
      </c>
      <c r="L330">
        <v>34.4</v>
      </c>
      <c r="M330" t="s">
        <v>23</v>
      </c>
      <c r="N330">
        <v>17</v>
      </c>
      <c r="O330">
        <v>10.086</v>
      </c>
      <c r="P330">
        <v>-85.298000000000002</v>
      </c>
      <c r="Q330" t="s">
        <v>495</v>
      </c>
      <c r="R330" t="s">
        <v>47</v>
      </c>
      <c r="S330" t="s">
        <v>495</v>
      </c>
      <c r="T330">
        <v>4</v>
      </c>
    </row>
    <row r="331" spans="1:20">
      <c r="A331" t="s">
        <v>1006</v>
      </c>
      <c r="B331">
        <v>7.6</v>
      </c>
      <c r="C331" s="1">
        <v>41038.612500000003</v>
      </c>
      <c r="D331">
        <v>8</v>
      </c>
      <c r="E331">
        <v>7</v>
      </c>
      <c r="G331">
        <v>0</v>
      </c>
      <c r="H331">
        <v>1555</v>
      </c>
      <c r="I331" t="s">
        <v>22</v>
      </c>
      <c r="J331">
        <v>703</v>
      </c>
      <c r="K331">
        <v>0</v>
      </c>
      <c r="L331">
        <v>34.299999999999997</v>
      </c>
      <c r="M331" t="s">
        <v>23</v>
      </c>
      <c r="N331">
        <v>35</v>
      </c>
      <c r="O331">
        <v>10.085000000000001</v>
      </c>
      <c r="P331">
        <v>-85.314999999999998</v>
      </c>
      <c r="Q331" t="s">
        <v>1007</v>
      </c>
      <c r="R331" t="s">
        <v>47</v>
      </c>
      <c r="S331" t="s">
        <v>495</v>
      </c>
      <c r="T331">
        <v>4</v>
      </c>
    </row>
    <row r="332" spans="1:20">
      <c r="A332" t="s">
        <v>492</v>
      </c>
      <c r="B332">
        <v>6.5</v>
      </c>
      <c r="C332" t="s">
        <v>493</v>
      </c>
      <c r="D332">
        <v>8</v>
      </c>
      <c r="E332">
        <v>8</v>
      </c>
      <c r="F332" t="s">
        <v>45</v>
      </c>
      <c r="G332">
        <v>1</v>
      </c>
      <c r="H332">
        <v>1153</v>
      </c>
      <c r="I332" t="s">
        <v>22</v>
      </c>
      <c r="J332">
        <v>0</v>
      </c>
      <c r="K332">
        <v>0.22500000000000001</v>
      </c>
      <c r="L332">
        <v>37</v>
      </c>
      <c r="M332" t="s">
        <v>23</v>
      </c>
      <c r="N332">
        <v>19.36</v>
      </c>
      <c r="O332">
        <v>9.5146999999999995</v>
      </c>
      <c r="P332">
        <v>-84.486500000000007</v>
      </c>
      <c r="Q332" t="s">
        <v>494</v>
      </c>
      <c r="R332" t="s">
        <v>47</v>
      </c>
      <c r="S332" t="s">
        <v>495</v>
      </c>
      <c r="T332">
        <v>4</v>
      </c>
    </row>
    <row r="333" spans="1:20">
      <c r="A333" t="s">
        <v>1720</v>
      </c>
      <c r="B333">
        <v>6.6</v>
      </c>
      <c r="C333" t="s">
        <v>1721</v>
      </c>
      <c r="D333">
        <v>0</v>
      </c>
      <c r="E333">
        <v>8</v>
      </c>
      <c r="G333">
        <v>0</v>
      </c>
      <c r="H333">
        <v>670</v>
      </c>
      <c r="I333" t="s">
        <v>22</v>
      </c>
      <c r="J333">
        <v>273</v>
      </c>
      <c r="K333">
        <v>0</v>
      </c>
      <c r="L333">
        <v>0</v>
      </c>
      <c r="M333" t="s">
        <v>829</v>
      </c>
      <c r="N333">
        <v>10</v>
      </c>
      <c r="O333">
        <v>13.670999999999999</v>
      </c>
      <c r="P333">
        <v>-88.938000000000002</v>
      </c>
      <c r="Q333" t="s">
        <v>1722</v>
      </c>
      <c r="R333" t="s">
        <v>47</v>
      </c>
      <c r="S333" t="s">
        <v>1723</v>
      </c>
      <c r="T333">
        <v>4</v>
      </c>
    </row>
    <row r="334" spans="1:20">
      <c r="A334" t="s">
        <v>805</v>
      </c>
      <c r="B334">
        <v>7.3</v>
      </c>
      <c r="C334" t="s">
        <v>806</v>
      </c>
      <c r="D334">
        <v>8</v>
      </c>
      <c r="E334">
        <v>6</v>
      </c>
      <c r="F334" t="s">
        <v>45</v>
      </c>
      <c r="G334">
        <v>1</v>
      </c>
      <c r="H334">
        <v>982</v>
      </c>
      <c r="I334" t="s">
        <v>22</v>
      </c>
      <c r="J334">
        <v>0</v>
      </c>
      <c r="K334">
        <v>1.0780000000000001</v>
      </c>
      <c r="L334">
        <v>18</v>
      </c>
      <c r="M334" t="s">
        <v>23</v>
      </c>
      <c r="N334">
        <v>40</v>
      </c>
      <c r="O334">
        <v>12.526199999999999</v>
      </c>
      <c r="P334">
        <v>-88.122500000000002</v>
      </c>
      <c r="Q334" t="s">
        <v>807</v>
      </c>
      <c r="R334" t="s">
        <v>47</v>
      </c>
      <c r="S334" t="s">
        <v>1723</v>
      </c>
      <c r="T334">
        <v>4</v>
      </c>
    </row>
    <row r="335" spans="1:20">
      <c r="A335" t="s">
        <v>353</v>
      </c>
      <c r="B335">
        <v>6.6</v>
      </c>
      <c r="C335" t="s">
        <v>354</v>
      </c>
      <c r="D335">
        <v>7</v>
      </c>
      <c r="E335">
        <v>6</v>
      </c>
      <c r="F335" t="s">
        <v>45</v>
      </c>
      <c r="G335">
        <v>1</v>
      </c>
      <c r="H335">
        <v>886</v>
      </c>
      <c r="I335" t="s">
        <v>22</v>
      </c>
      <c r="J335">
        <v>0</v>
      </c>
      <c r="K335">
        <v>1.1930000000000001</v>
      </c>
      <c r="L335">
        <v>22</v>
      </c>
      <c r="M335" t="s">
        <v>23</v>
      </c>
      <c r="N335">
        <v>57.92</v>
      </c>
      <c r="O335">
        <v>13.199400000000001</v>
      </c>
      <c r="P335">
        <v>-89.305599999999998</v>
      </c>
      <c r="Q335" t="s">
        <v>355</v>
      </c>
      <c r="R335" t="s">
        <v>47</v>
      </c>
      <c r="S335" t="s">
        <v>1723</v>
      </c>
      <c r="T335">
        <v>4</v>
      </c>
    </row>
    <row r="336" spans="1:20">
      <c r="A336" t="s">
        <v>1729</v>
      </c>
      <c r="B336">
        <v>7.7</v>
      </c>
      <c r="C336" t="s">
        <v>1730</v>
      </c>
      <c r="D336">
        <v>0</v>
      </c>
      <c r="E336">
        <v>8</v>
      </c>
      <c r="G336">
        <v>0</v>
      </c>
      <c r="H336">
        <v>912</v>
      </c>
      <c r="I336" t="s">
        <v>22</v>
      </c>
      <c r="J336">
        <v>427</v>
      </c>
      <c r="K336">
        <v>0</v>
      </c>
      <c r="L336">
        <v>0</v>
      </c>
      <c r="M336" t="s">
        <v>829</v>
      </c>
      <c r="N336">
        <v>60</v>
      </c>
      <c r="O336">
        <v>13.048999999999999</v>
      </c>
      <c r="P336">
        <v>-88.66</v>
      </c>
      <c r="Q336" t="s">
        <v>588</v>
      </c>
      <c r="R336" t="s">
        <v>47</v>
      </c>
      <c r="S336" t="s">
        <v>1723</v>
      </c>
      <c r="T336">
        <v>4</v>
      </c>
    </row>
    <row r="337" spans="1:20">
      <c r="A337" t="s">
        <v>1011</v>
      </c>
      <c r="B337">
        <v>7.3</v>
      </c>
      <c r="C337" t="s">
        <v>1012</v>
      </c>
      <c r="D337">
        <v>5</v>
      </c>
      <c r="E337">
        <v>5</v>
      </c>
      <c r="G337">
        <v>0</v>
      </c>
      <c r="H337">
        <v>994</v>
      </c>
      <c r="I337" t="s">
        <v>22</v>
      </c>
      <c r="J337">
        <v>417</v>
      </c>
      <c r="K337">
        <v>0</v>
      </c>
      <c r="L337">
        <v>37</v>
      </c>
      <c r="M337" t="s">
        <v>23</v>
      </c>
      <c r="N337">
        <v>28</v>
      </c>
      <c r="O337">
        <v>12.138999999999999</v>
      </c>
      <c r="P337">
        <v>-88.59</v>
      </c>
      <c r="Q337" t="s">
        <v>588</v>
      </c>
      <c r="R337" t="s">
        <v>47</v>
      </c>
      <c r="S337" t="s">
        <v>1723</v>
      </c>
      <c r="T337">
        <v>4</v>
      </c>
    </row>
    <row r="338" spans="1:20">
      <c r="A338" t="s">
        <v>586</v>
      </c>
      <c r="B338">
        <v>6.9</v>
      </c>
      <c r="C338" t="s">
        <v>587</v>
      </c>
      <c r="D338">
        <v>5</v>
      </c>
      <c r="E338">
        <v>4</v>
      </c>
      <c r="F338" t="s">
        <v>21</v>
      </c>
      <c r="G338">
        <v>1</v>
      </c>
      <c r="H338">
        <v>855</v>
      </c>
      <c r="I338" t="s">
        <v>22</v>
      </c>
      <c r="J338">
        <v>0</v>
      </c>
      <c r="K338">
        <v>1.796</v>
      </c>
      <c r="L338">
        <v>20</v>
      </c>
      <c r="M338" t="s">
        <v>23</v>
      </c>
      <c r="N338">
        <v>10</v>
      </c>
      <c r="O338">
        <v>11.909700000000001</v>
      </c>
      <c r="P338">
        <v>-88.896799999999999</v>
      </c>
      <c r="Q338" t="s">
        <v>588</v>
      </c>
      <c r="R338" t="s">
        <v>47</v>
      </c>
      <c r="S338" t="s">
        <v>1723</v>
      </c>
      <c r="T338">
        <v>4</v>
      </c>
    </row>
    <row r="339" spans="1:20">
      <c r="A339" t="s">
        <v>994</v>
      </c>
      <c r="B339">
        <v>7.4</v>
      </c>
      <c r="C339" s="1">
        <v>41101.690972222219</v>
      </c>
      <c r="D339">
        <v>8</v>
      </c>
      <c r="E339">
        <v>7</v>
      </c>
      <c r="F339" t="s">
        <v>45</v>
      </c>
      <c r="G339">
        <v>0</v>
      </c>
      <c r="H339">
        <v>1455</v>
      </c>
      <c r="I339" t="s">
        <v>22</v>
      </c>
      <c r="J339">
        <v>751</v>
      </c>
      <c r="K339">
        <v>0</v>
      </c>
      <c r="L339">
        <v>25.5</v>
      </c>
      <c r="M339" t="s">
        <v>23</v>
      </c>
      <c r="N339">
        <v>24</v>
      </c>
      <c r="O339">
        <v>13.988</v>
      </c>
      <c r="P339">
        <v>-91.894999999999996</v>
      </c>
      <c r="Q339" t="s">
        <v>991</v>
      </c>
      <c r="R339" t="s">
        <v>47</v>
      </c>
      <c r="S339" t="s">
        <v>534</v>
      </c>
      <c r="T339">
        <v>4</v>
      </c>
    </row>
    <row r="340" spans="1:20">
      <c r="A340" t="s">
        <v>990</v>
      </c>
      <c r="B340">
        <v>6.5</v>
      </c>
      <c r="C340" s="1">
        <v>41224.926388888889</v>
      </c>
      <c r="D340">
        <v>4</v>
      </c>
      <c r="E340">
        <v>5</v>
      </c>
      <c r="G340">
        <v>0</v>
      </c>
      <c r="H340">
        <v>708</v>
      </c>
      <c r="I340" t="s">
        <v>22</v>
      </c>
      <c r="J340">
        <v>598</v>
      </c>
      <c r="K340">
        <v>0</v>
      </c>
      <c r="L340">
        <v>57.3</v>
      </c>
      <c r="M340" t="s">
        <v>23</v>
      </c>
      <c r="N340">
        <v>20</v>
      </c>
      <c r="O340">
        <v>14.129</v>
      </c>
      <c r="P340">
        <v>-92.164000000000001</v>
      </c>
      <c r="Q340" t="s">
        <v>991</v>
      </c>
      <c r="R340" t="s">
        <v>47</v>
      </c>
      <c r="S340" t="s">
        <v>534</v>
      </c>
      <c r="T340">
        <v>4</v>
      </c>
    </row>
    <row r="341" spans="1:20">
      <c r="A341" t="s">
        <v>1621</v>
      </c>
      <c r="B341">
        <v>6.5</v>
      </c>
      <c r="C341" t="s">
        <v>1622</v>
      </c>
      <c r="D341">
        <v>0</v>
      </c>
      <c r="E341">
        <v>6</v>
      </c>
      <c r="G341">
        <v>0</v>
      </c>
      <c r="H341">
        <v>650</v>
      </c>
      <c r="I341" t="s">
        <v>22</v>
      </c>
      <c r="J341">
        <v>316</v>
      </c>
      <c r="K341">
        <v>0</v>
      </c>
      <c r="L341">
        <v>0</v>
      </c>
      <c r="M341" t="s">
        <v>829</v>
      </c>
      <c r="N341">
        <v>24</v>
      </c>
      <c r="O341">
        <v>13.625999999999999</v>
      </c>
      <c r="P341">
        <v>-90.774000000000001</v>
      </c>
      <c r="Q341" t="s">
        <v>530</v>
      </c>
      <c r="R341" t="s">
        <v>47</v>
      </c>
      <c r="S341" t="s">
        <v>534</v>
      </c>
      <c r="T341">
        <v>4</v>
      </c>
    </row>
    <row r="342" spans="1:20">
      <c r="A342" t="s">
        <v>531</v>
      </c>
      <c r="B342">
        <v>6.9</v>
      </c>
      <c r="C342" t="s">
        <v>532</v>
      </c>
      <c r="D342">
        <v>8</v>
      </c>
      <c r="E342">
        <v>6</v>
      </c>
      <c r="F342" t="s">
        <v>45</v>
      </c>
      <c r="G342">
        <v>1</v>
      </c>
      <c r="H342">
        <v>1188</v>
      </c>
      <c r="I342" t="s">
        <v>22</v>
      </c>
      <c r="J342">
        <v>0</v>
      </c>
      <c r="K342">
        <v>0.247</v>
      </c>
      <c r="L342">
        <v>35</v>
      </c>
      <c r="M342" t="s">
        <v>23</v>
      </c>
      <c r="N342">
        <v>93</v>
      </c>
      <c r="O342">
        <v>14.9091</v>
      </c>
      <c r="P342">
        <v>-92.009200000000007</v>
      </c>
      <c r="Q342" t="s">
        <v>533</v>
      </c>
      <c r="R342" t="s">
        <v>47</v>
      </c>
      <c r="S342" t="s">
        <v>534</v>
      </c>
      <c r="T342">
        <v>4</v>
      </c>
    </row>
    <row r="343" spans="1:20">
      <c r="A343" t="s">
        <v>1201</v>
      </c>
      <c r="B343">
        <v>7</v>
      </c>
      <c r="C343" s="1">
        <v>40513.911805555559</v>
      </c>
      <c r="D343">
        <v>9</v>
      </c>
      <c r="E343">
        <v>9</v>
      </c>
      <c r="G343">
        <v>0</v>
      </c>
      <c r="H343">
        <v>1623</v>
      </c>
      <c r="I343" t="s">
        <v>22</v>
      </c>
      <c r="J343">
        <v>500</v>
      </c>
      <c r="K343">
        <v>0</v>
      </c>
      <c r="L343">
        <v>22.7</v>
      </c>
      <c r="M343" t="s">
        <v>829</v>
      </c>
      <c r="N343">
        <v>13</v>
      </c>
      <c r="O343">
        <v>18.443000000000001</v>
      </c>
      <c r="P343">
        <v>-72.570999999999998</v>
      </c>
      <c r="Q343" t="s">
        <v>1202</v>
      </c>
      <c r="R343" t="s">
        <v>47</v>
      </c>
      <c r="S343" t="s">
        <v>169</v>
      </c>
      <c r="T343">
        <v>4</v>
      </c>
    </row>
    <row r="344" spans="1:20">
      <c r="A344" t="s">
        <v>166</v>
      </c>
      <c r="B344">
        <v>7.2</v>
      </c>
      <c r="C344" t="s">
        <v>167</v>
      </c>
      <c r="D344">
        <v>9</v>
      </c>
      <c r="E344">
        <v>8</v>
      </c>
      <c r="F344" t="s">
        <v>103</v>
      </c>
      <c r="G344">
        <v>1</v>
      </c>
      <c r="H344">
        <v>2331</v>
      </c>
      <c r="I344" t="s">
        <v>22</v>
      </c>
      <c r="J344">
        <v>0</v>
      </c>
      <c r="K344">
        <v>1.1779999999999999</v>
      </c>
      <c r="L344">
        <v>23</v>
      </c>
      <c r="M344" t="s">
        <v>23</v>
      </c>
      <c r="N344">
        <v>10</v>
      </c>
      <c r="O344">
        <v>18.3521</v>
      </c>
      <c r="P344">
        <v>-73.480400000000003</v>
      </c>
      <c r="Q344" t="s">
        <v>168</v>
      </c>
      <c r="R344" t="s">
        <v>47</v>
      </c>
      <c r="S344" t="s">
        <v>169</v>
      </c>
      <c r="T344">
        <v>4</v>
      </c>
    </row>
    <row r="345" spans="1:20">
      <c r="A345" t="s">
        <v>480</v>
      </c>
      <c r="B345">
        <v>7.5</v>
      </c>
      <c r="C345" s="1">
        <v>43374.118750000001</v>
      </c>
      <c r="D345">
        <v>8</v>
      </c>
      <c r="E345">
        <v>5</v>
      </c>
      <c r="F345" t="s">
        <v>21</v>
      </c>
      <c r="G345">
        <v>1</v>
      </c>
      <c r="H345">
        <v>1623</v>
      </c>
      <c r="I345" t="s">
        <v>22</v>
      </c>
      <c r="J345">
        <v>0</v>
      </c>
      <c r="K345">
        <v>4.5810000000000004</v>
      </c>
      <c r="L345">
        <v>12</v>
      </c>
      <c r="M345" t="s">
        <v>23</v>
      </c>
      <c r="N345">
        <v>19</v>
      </c>
      <c r="O345">
        <v>17.482500000000002</v>
      </c>
      <c r="P345">
        <v>-83.52</v>
      </c>
      <c r="Q345" t="s">
        <v>481</v>
      </c>
      <c r="R345" t="s">
        <v>47</v>
      </c>
      <c r="S345" t="s">
        <v>1738</v>
      </c>
      <c r="T345">
        <v>4</v>
      </c>
    </row>
    <row r="346" spans="1:20">
      <c r="A346" t="s">
        <v>1244</v>
      </c>
      <c r="B346">
        <v>7.3</v>
      </c>
      <c r="C346" t="s">
        <v>1245</v>
      </c>
      <c r="D346">
        <v>7</v>
      </c>
      <c r="E346">
        <v>8</v>
      </c>
      <c r="G346">
        <v>0</v>
      </c>
      <c r="H346">
        <v>1560</v>
      </c>
      <c r="I346" t="s">
        <v>22</v>
      </c>
      <c r="J346">
        <v>464</v>
      </c>
      <c r="K346">
        <v>0</v>
      </c>
      <c r="L346">
        <v>27.2</v>
      </c>
      <c r="M346" t="s">
        <v>829</v>
      </c>
      <c r="N346">
        <v>19</v>
      </c>
      <c r="O346">
        <v>16.731000000000002</v>
      </c>
      <c r="P346">
        <v>-86.216999999999999</v>
      </c>
      <c r="Q346" t="s">
        <v>1246</v>
      </c>
      <c r="R346" t="s">
        <v>47</v>
      </c>
      <c r="S346" t="s">
        <v>1738</v>
      </c>
      <c r="T346">
        <v>4</v>
      </c>
    </row>
    <row r="347" spans="1:20">
      <c r="A347" t="s">
        <v>296</v>
      </c>
      <c r="B347">
        <v>7.7</v>
      </c>
      <c r="C347" t="s">
        <v>297</v>
      </c>
      <c r="D347">
        <v>9</v>
      </c>
      <c r="E347">
        <v>6</v>
      </c>
      <c r="F347" t="s">
        <v>45</v>
      </c>
      <c r="G347">
        <v>1</v>
      </c>
      <c r="H347">
        <v>1812</v>
      </c>
      <c r="I347" t="s">
        <v>22</v>
      </c>
      <c r="J347">
        <v>0</v>
      </c>
      <c r="K347">
        <v>1.657</v>
      </c>
      <c r="L347">
        <v>26</v>
      </c>
      <c r="M347" t="s">
        <v>23</v>
      </c>
      <c r="N347">
        <v>14.86</v>
      </c>
      <c r="O347">
        <v>19.4193</v>
      </c>
      <c r="P347">
        <v>-78.756</v>
      </c>
      <c r="Q347" t="s">
        <v>298</v>
      </c>
      <c r="R347" t="s">
        <v>47</v>
      </c>
      <c r="S347" t="s">
        <v>1742</v>
      </c>
      <c r="T347">
        <v>4</v>
      </c>
    </row>
    <row r="348" spans="1:20">
      <c r="A348" t="s">
        <v>1313</v>
      </c>
      <c r="B348">
        <v>7.4</v>
      </c>
      <c r="C348" t="s">
        <v>1314</v>
      </c>
      <c r="D348">
        <v>7</v>
      </c>
      <c r="E348">
        <v>7</v>
      </c>
      <c r="G348">
        <v>0</v>
      </c>
      <c r="H348">
        <v>1542</v>
      </c>
      <c r="I348" t="s">
        <v>22</v>
      </c>
      <c r="J348">
        <v>663</v>
      </c>
      <c r="K348">
        <v>0</v>
      </c>
      <c r="L348">
        <v>13.4</v>
      </c>
      <c r="M348" t="s">
        <v>36</v>
      </c>
      <c r="N348">
        <v>156</v>
      </c>
      <c r="O348">
        <v>14.944000000000001</v>
      </c>
      <c r="P348">
        <v>-61.274000000000001</v>
      </c>
      <c r="Q348" t="s">
        <v>1315</v>
      </c>
      <c r="R348" t="s">
        <v>47</v>
      </c>
      <c r="S348" t="s">
        <v>1316</v>
      </c>
      <c r="T348">
        <v>4</v>
      </c>
    </row>
    <row r="349" spans="1:20">
      <c r="A349" t="s">
        <v>152</v>
      </c>
      <c r="B349">
        <v>7</v>
      </c>
      <c r="C349" s="1">
        <v>44417.074305555558</v>
      </c>
      <c r="D349">
        <v>8</v>
      </c>
      <c r="E349">
        <v>8</v>
      </c>
      <c r="F349" t="s">
        <v>103</v>
      </c>
      <c r="G349">
        <v>1</v>
      </c>
      <c r="H349">
        <v>2504</v>
      </c>
      <c r="I349" t="s">
        <v>22</v>
      </c>
      <c r="J349">
        <v>0</v>
      </c>
      <c r="K349">
        <v>7.0000000000000007E-2</v>
      </c>
      <c r="L349">
        <v>43</v>
      </c>
      <c r="M349" t="s">
        <v>23</v>
      </c>
      <c r="N349">
        <v>20</v>
      </c>
      <c r="O349">
        <v>16.950199999999999</v>
      </c>
      <c r="P349">
        <v>-99.787700000000001</v>
      </c>
      <c r="Q349" t="s">
        <v>153</v>
      </c>
      <c r="R349" t="s">
        <v>47</v>
      </c>
      <c r="S349" t="s">
        <v>48</v>
      </c>
      <c r="T349">
        <v>4</v>
      </c>
    </row>
    <row r="350" spans="1:20">
      <c r="A350" t="s">
        <v>49</v>
      </c>
      <c r="B350">
        <v>7.6</v>
      </c>
      <c r="C350" t="s">
        <v>50</v>
      </c>
      <c r="D350">
        <v>9</v>
      </c>
      <c r="E350">
        <v>8</v>
      </c>
      <c r="F350" t="s">
        <v>45</v>
      </c>
      <c r="G350">
        <v>1</v>
      </c>
      <c r="H350">
        <v>1799</v>
      </c>
      <c r="I350" t="s">
        <v>22</v>
      </c>
      <c r="J350">
        <v>271</v>
      </c>
      <c r="K350">
        <v>1.153</v>
      </c>
      <c r="L350">
        <v>69</v>
      </c>
      <c r="M350" t="s">
        <v>23</v>
      </c>
      <c r="N350">
        <v>26.943000000000001</v>
      </c>
      <c r="O350">
        <v>18.366700000000002</v>
      </c>
      <c r="P350">
        <v>-103.252</v>
      </c>
      <c r="Q350" t="s">
        <v>46</v>
      </c>
      <c r="R350" t="s">
        <v>47</v>
      </c>
      <c r="S350" t="s">
        <v>48</v>
      </c>
      <c r="T350">
        <v>4</v>
      </c>
    </row>
    <row r="351" spans="1:20">
      <c r="A351" t="s">
        <v>43</v>
      </c>
      <c r="B351">
        <v>6.8</v>
      </c>
      <c r="C351" t="s">
        <v>44</v>
      </c>
      <c r="D351">
        <v>8</v>
      </c>
      <c r="E351">
        <v>7</v>
      </c>
      <c r="F351" t="s">
        <v>45</v>
      </c>
      <c r="G351">
        <v>1</v>
      </c>
      <c r="H351">
        <v>1179</v>
      </c>
      <c r="I351" t="s">
        <v>22</v>
      </c>
      <c r="J351">
        <v>175</v>
      </c>
      <c r="K351">
        <v>2.137</v>
      </c>
      <c r="L351">
        <v>92</v>
      </c>
      <c r="M351" t="s">
        <v>23</v>
      </c>
      <c r="N351">
        <v>20</v>
      </c>
      <c r="O351">
        <v>18.329999999999998</v>
      </c>
      <c r="P351">
        <v>-102.913</v>
      </c>
      <c r="Q351" t="s">
        <v>46</v>
      </c>
      <c r="R351" t="s">
        <v>47</v>
      </c>
      <c r="S351" t="s">
        <v>48</v>
      </c>
      <c r="T351">
        <v>4</v>
      </c>
    </row>
    <row r="352" spans="1:20">
      <c r="A352" t="s">
        <v>1237</v>
      </c>
      <c r="B352">
        <v>6.9</v>
      </c>
      <c r="C352" s="1">
        <v>39880.749305555553</v>
      </c>
      <c r="D352">
        <v>5</v>
      </c>
      <c r="E352">
        <v>7</v>
      </c>
      <c r="G352">
        <v>0</v>
      </c>
      <c r="H352">
        <v>1202</v>
      </c>
      <c r="I352" t="s">
        <v>22</v>
      </c>
      <c r="J352">
        <v>243</v>
      </c>
      <c r="K352">
        <v>0</v>
      </c>
      <c r="L352">
        <v>35</v>
      </c>
      <c r="M352" t="s">
        <v>829</v>
      </c>
      <c r="N352">
        <v>10</v>
      </c>
      <c r="O352">
        <v>29.039000000000001</v>
      </c>
      <c r="P352">
        <v>-112.90300000000001</v>
      </c>
      <c r="Q352" t="s">
        <v>1238</v>
      </c>
      <c r="R352" t="s">
        <v>47</v>
      </c>
      <c r="S352" t="s">
        <v>48</v>
      </c>
      <c r="T352">
        <v>4</v>
      </c>
    </row>
    <row r="353" spans="1:20">
      <c r="A353" t="s">
        <v>1445</v>
      </c>
      <c r="B353">
        <v>6.6</v>
      </c>
      <c r="C353" s="1">
        <v>38808.355555555558</v>
      </c>
      <c r="D353">
        <v>7</v>
      </c>
      <c r="E353">
        <v>6</v>
      </c>
      <c r="G353">
        <v>0</v>
      </c>
      <c r="H353">
        <v>703</v>
      </c>
      <c r="I353" t="s">
        <v>22</v>
      </c>
      <c r="J353">
        <v>323</v>
      </c>
      <c r="K353">
        <v>0</v>
      </c>
      <c r="L353">
        <v>48.2</v>
      </c>
      <c r="M353" t="s">
        <v>829</v>
      </c>
      <c r="N353">
        <v>14</v>
      </c>
      <c r="O353">
        <v>28.164000000000001</v>
      </c>
      <c r="P353">
        <v>-112.117</v>
      </c>
      <c r="Q353" t="s">
        <v>1238</v>
      </c>
      <c r="R353" t="s">
        <v>47</v>
      </c>
      <c r="S353" t="s">
        <v>48</v>
      </c>
      <c r="T353">
        <v>4</v>
      </c>
    </row>
    <row r="354" spans="1:20">
      <c r="A354" t="s">
        <v>1258</v>
      </c>
      <c r="B354">
        <v>6.7</v>
      </c>
      <c r="C354" t="s">
        <v>1259</v>
      </c>
      <c r="D354">
        <v>5</v>
      </c>
      <c r="E354">
        <v>6</v>
      </c>
      <c r="G354">
        <v>0</v>
      </c>
      <c r="H354">
        <v>731</v>
      </c>
      <c r="I354" t="s">
        <v>22</v>
      </c>
      <c r="J354">
        <v>481</v>
      </c>
      <c r="K354">
        <v>0</v>
      </c>
      <c r="L354">
        <v>28.6</v>
      </c>
      <c r="M354" t="s">
        <v>829</v>
      </c>
      <c r="N354">
        <v>24</v>
      </c>
      <c r="O354">
        <v>14.423</v>
      </c>
      <c r="P354">
        <v>-92.364000000000004</v>
      </c>
      <c r="Q354" t="s">
        <v>1260</v>
      </c>
      <c r="R354" t="s">
        <v>47</v>
      </c>
      <c r="S354" t="s">
        <v>48</v>
      </c>
      <c r="T354">
        <v>4</v>
      </c>
    </row>
    <row r="355" spans="1:20">
      <c r="A355" t="s">
        <v>514</v>
      </c>
      <c r="B355">
        <v>8.1999999999999993</v>
      </c>
      <c r="C355" s="1">
        <v>42956.200694444444</v>
      </c>
      <c r="D355">
        <v>9</v>
      </c>
      <c r="E355">
        <v>7</v>
      </c>
      <c r="F355" t="s">
        <v>103</v>
      </c>
      <c r="G355">
        <v>1</v>
      </c>
      <c r="H355">
        <v>2910</v>
      </c>
      <c r="I355" t="s">
        <v>22</v>
      </c>
      <c r="J355">
        <v>0</v>
      </c>
      <c r="K355">
        <v>0.94399999999999995</v>
      </c>
      <c r="L355">
        <v>22</v>
      </c>
      <c r="M355" t="s">
        <v>23</v>
      </c>
      <c r="N355">
        <v>47.39</v>
      </c>
      <c r="O355">
        <v>15.0222</v>
      </c>
      <c r="P355">
        <v>-93.899299999999997</v>
      </c>
      <c r="Q355" t="s">
        <v>515</v>
      </c>
      <c r="R355" t="s">
        <v>47</v>
      </c>
      <c r="S355" t="s">
        <v>48</v>
      </c>
      <c r="T355">
        <v>4</v>
      </c>
    </row>
    <row r="356" spans="1:20">
      <c r="A356" t="s">
        <v>846</v>
      </c>
      <c r="B356">
        <v>7.2</v>
      </c>
      <c r="C356" t="s">
        <v>847</v>
      </c>
      <c r="D356">
        <v>8</v>
      </c>
      <c r="E356">
        <v>7</v>
      </c>
      <c r="F356" t="s">
        <v>45</v>
      </c>
      <c r="G356">
        <v>1</v>
      </c>
      <c r="H356">
        <v>1017</v>
      </c>
      <c r="I356" t="s">
        <v>22</v>
      </c>
      <c r="J356">
        <v>0</v>
      </c>
      <c r="K356">
        <v>2.25</v>
      </c>
      <c r="L356">
        <v>46</v>
      </c>
      <c r="M356" t="s">
        <v>23</v>
      </c>
      <c r="N356">
        <v>24</v>
      </c>
      <c r="O356">
        <v>17.396999999999998</v>
      </c>
      <c r="P356">
        <v>-100.97199999999999</v>
      </c>
      <c r="Q356" t="s">
        <v>848</v>
      </c>
      <c r="R356" t="s">
        <v>47</v>
      </c>
      <c r="S356" t="s">
        <v>48</v>
      </c>
      <c r="T356">
        <v>4</v>
      </c>
    </row>
    <row r="357" spans="1:20">
      <c r="A357" t="s">
        <v>1618</v>
      </c>
      <c r="B357">
        <v>7.6</v>
      </c>
      <c r="C357" t="s">
        <v>1619</v>
      </c>
      <c r="D357">
        <v>0</v>
      </c>
      <c r="E357">
        <v>7</v>
      </c>
      <c r="G357">
        <v>0</v>
      </c>
      <c r="H357">
        <v>889</v>
      </c>
      <c r="I357" t="s">
        <v>22</v>
      </c>
      <c r="J357">
        <v>551</v>
      </c>
      <c r="K357">
        <v>0</v>
      </c>
      <c r="L357">
        <v>0</v>
      </c>
      <c r="M357" t="s">
        <v>36</v>
      </c>
      <c r="N357">
        <v>24</v>
      </c>
      <c r="O357">
        <v>18.77</v>
      </c>
      <c r="P357">
        <v>-104.104</v>
      </c>
      <c r="Q357" t="s">
        <v>1620</v>
      </c>
      <c r="R357" t="s">
        <v>47</v>
      </c>
      <c r="S357" t="s">
        <v>48</v>
      </c>
      <c r="T357">
        <v>4</v>
      </c>
    </row>
    <row r="358" spans="1:20">
      <c r="A358" t="s">
        <v>1176</v>
      </c>
      <c r="B358">
        <v>7.2</v>
      </c>
      <c r="C358" s="1">
        <v>40272.944444444445</v>
      </c>
      <c r="D358">
        <v>9</v>
      </c>
      <c r="E358">
        <v>9</v>
      </c>
      <c r="F358" t="s">
        <v>103</v>
      </c>
      <c r="G358">
        <v>0</v>
      </c>
      <c r="H358">
        <v>2910</v>
      </c>
      <c r="I358" t="s">
        <v>344</v>
      </c>
      <c r="J358">
        <v>10</v>
      </c>
      <c r="K358">
        <v>0.51370000000000005</v>
      </c>
      <c r="L358">
        <v>239</v>
      </c>
      <c r="M358" t="s">
        <v>345</v>
      </c>
      <c r="N358">
        <v>9.9870000000000001</v>
      </c>
      <c r="O358">
        <v>32.286200000000001</v>
      </c>
      <c r="P358">
        <v>-115.295</v>
      </c>
      <c r="Q358" t="s">
        <v>1177</v>
      </c>
      <c r="R358" t="s">
        <v>47</v>
      </c>
      <c r="S358" t="s">
        <v>48</v>
      </c>
      <c r="T358">
        <v>4</v>
      </c>
    </row>
    <row r="359" spans="1:20">
      <c r="A359" t="s">
        <v>1034</v>
      </c>
      <c r="B359">
        <v>6.5</v>
      </c>
      <c r="C359" s="1">
        <v>41217.954861111109</v>
      </c>
      <c r="D359">
        <v>7</v>
      </c>
      <c r="E359">
        <v>6</v>
      </c>
      <c r="G359">
        <v>0</v>
      </c>
      <c r="H359">
        <v>1171</v>
      </c>
      <c r="I359" t="s">
        <v>22</v>
      </c>
      <c r="J359">
        <v>599</v>
      </c>
      <c r="K359">
        <v>0</v>
      </c>
      <c r="L359">
        <v>54.1</v>
      </c>
      <c r="M359" t="s">
        <v>36</v>
      </c>
      <c r="N359">
        <v>20</v>
      </c>
      <c r="O359">
        <v>18.228999999999999</v>
      </c>
      <c r="P359">
        <v>-102.68899999999999</v>
      </c>
      <c r="Q359" t="s">
        <v>1035</v>
      </c>
      <c r="R359" t="s">
        <v>47</v>
      </c>
      <c r="S359" t="s">
        <v>48</v>
      </c>
      <c r="T359">
        <v>4</v>
      </c>
    </row>
    <row r="360" spans="1:20">
      <c r="A360" t="s">
        <v>1135</v>
      </c>
      <c r="B360">
        <v>6.7</v>
      </c>
      <c r="C360" t="s">
        <v>1136</v>
      </c>
      <c r="D360">
        <v>5</v>
      </c>
      <c r="E360">
        <v>5</v>
      </c>
      <c r="G360">
        <v>0</v>
      </c>
      <c r="H360">
        <v>776</v>
      </c>
      <c r="I360" t="s">
        <v>22</v>
      </c>
      <c r="J360">
        <v>352</v>
      </c>
      <c r="K360">
        <v>0</v>
      </c>
      <c r="L360">
        <v>50.3</v>
      </c>
      <c r="M360" t="s">
        <v>829</v>
      </c>
      <c r="N360">
        <v>13</v>
      </c>
      <c r="O360">
        <v>24.696000000000002</v>
      </c>
      <c r="P360">
        <v>-109.15600000000001</v>
      </c>
      <c r="Q360" t="s">
        <v>1137</v>
      </c>
      <c r="R360" t="s">
        <v>47</v>
      </c>
      <c r="S360" t="s">
        <v>48</v>
      </c>
      <c r="T360">
        <v>4</v>
      </c>
    </row>
    <row r="361" spans="1:20">
      <c r="A361" t="s">
        <v>891</v>
      </c>
      <c r="B361">
        <v>6.6</v>
      </c>
      <c r="C361" t="s">
        <v>892</v>
      </c>
      <c r="D361">
        <v>8</v>
      </c>
      <c r="E361">
        <v>5</v>
      </c>
      <c r="F361" t="s">
        <v>21</v>
      </c>
      <c r="G361">
        <v>1</v>
      </c>
      <c r="H361">
        <v>692</v>
      </c>
      <c r="I361" t="s">
        <v>22</v>
      </c>
      <c r="J361">
        <v>0</v>
      </c>
      <c r="K361">
        <v>1.98</v>
      </c>
      <c r="L361">
        <v>44</v>
      </c>
      <c r="M361" t="s">
        <v>23</v>
      </c>
      <c r="N361">
        <v>9.4499999999999993</v>
      </c>
      <c r="O361">
        <v>26.0913</v>
      </c>
      <c r="P361">
        <v>-110.321</v>
      </c>
      <c r="Q361" t="s">
        <v>893</v>
      </c>
      <c r="R361" t="s">
        <v>47</v>
      </c>
      <c r="S361" t="s">
        <v>48</v>
      </c>
      <c r="T361">
        <v>4</v>
      </c>
    </row>
    <row r="362" spans="1:20">
      <c r="A362" t="s">
        <v>1306</v>
      </c>
      <c r="B362">
        <v>6.5</v>
      </c>
      <c r="C362" s="1">
        <v>39784.534722222219</v>
      </c>
      <c r="D362">
        <v>7</v>
      </c>
      <c r="E362">
        <v>6</v>
      </c>
      <c r="G362">
        <v>0</v>
      </c>
      <c r="H362">
        <v>723</v>
      </c>
      <c r="I362" t="s">
        <v>22</v>
      </c>
      <c r="J362">
        <v>521</v>
      </c>
      <c r="K362">
        <v>0</v>
      </c>
      <c r="L362">
        <v>27.6</v>
      </c>
      <c r="M362" t="s">
        <v>829</v>
      </c>
      <c r="N362">
        <v>83</v>
      </c>
      <c r="O362">
        <v>16.356999999999999</v>
      </c>
      <c r="P362">
        <v>-94.304000000000002</v>
      </c>
      <c r="Q362" t="s">
        <v>1307</v>
      </c>
      <c r="R362" t="s">
        <v>47</v>
      </c>
      <c r="S362" t="s">
        <v>48</v>
      </c>
      <c r="T362">
        <v>4</v>
      </c>
    </row>
    <row r="363" spans="1:20">
      <c r="A363" t="s">
        <v>1098</v>
      </c>
      <c r="B363">
        <v>6.6</v>
      </c>
      <c r="C363" s="1">
        <v>40728.549305555556</v>
      </c>
      <c r="D363">
        <v>7</v>
      </c>
      <c r="E363">
        <v>6</v>
      </c>
      <c r="G363">
        <v>0</v>
      </c>
      <c r="H363">
        <v>897</v>
      </c>
      <c r="I363" t="s">
        <v>22</v>
      </c>
      <c r="J363">
        <v>518</v>
      </c>
      <c r="K363">
        <v>0</v>
      </c>
      <c r="L363">
        <v>37.200000000000003</v>
      </c>
      <c r="M363" t="s">
        <v>23</v>
      </c>
      <c r="N363">
        <v>166.2</v>
      </c>
      <c r="O363">
        <v>17.207999999999998</v>
      </c>
      <c r="P363">
        <v>-94.337999999999994</v>
      </c>
      <c r="Q363" t="s">
        <v>1099</v>
      </c>
      <c r="R363" t="s">
        <v>47</v>
      </c>
      <c r="S363" t="s">
        <v>48</v>
      </c>
      <c r="T363">
        <v>4</v>
      </c>
    </row>
    <row r="364" spans="1:20">
      <c r="A364" t="s">
        <v>661</v>
      </c>
      <c r="B364">
        <v>6.6</v>
      </c>
      <c r="C364" t="s">
        <v>662</v>
      </c>
      <c r="D364">
        <v>3</v>
      </c>
      <c r="E364">
        <v>4</v>
      </c>
      <c r="F364" t="s">
        <v>21</v>
      </c>
      <c r="G364">
        <v>1</v>
      </c>
      <c r="H364">
        <v>673</v>
      </c>
      <c r="I364" t="s">
        <v>22</v>
      </c>
      <c r="J364">
        <v>0</v>
      </c>
      <c r="K364">
        <v>2.4129999999999998</v>
      </c>
      <c r="L364">
        <v>74</v>
      </c>
      <c r="M364" t="s">
        <v>23</v>
      </c>
      <c r="N364">
        <v>10</v>
      </c>
      <c r="O364">
        <v>18.823899999999998</v>
      </c>
      <c r="P364">
        <v>-106.934</v>
      </c>
      <c r="Q364" t="s">
        <v>663</v>
      </c>
      <c r="R364" t="s">
        <v>47</v>
      </c>
      <c r="S364" t="s">
        <v>48</v>
      </c>
      <c r="T364">
        <v>4</v>
      </c>
    </row>
    <row r="365" spans="1:20">
      <c r="A365" t="s">
        <v>672</v>
      </c>
      <c r="B365">
        <v>6.6</v>
      </c>
      <c r="C365" t="s">
        <v>673</v>
      </c>
      <c r="D365">
        <v>8</v>
      </c>
      <c r="E365">
        <v>6</v>
      </c>
      <c r="F365" t="s">
        <v>21</v>
      </c>
      <c r="G365">
        <v>1</v>
      </c>
      <c r="H365">
        <v>765</v>
      </c>
      <c r="I365" t="s">
        <v>22</v>
      </c>
      <c r="J365">
        <v>0</v>
      </c>
      <c r="K365">
        <v>0.41</v>
      </c>
      <c r="L365">
        <v>35</v>
      </c>
      <c r="M365" t="s">
        <v>23</v>
      </c>
      <c r="N365">
        <v>85</v>
      </c>
      <c r="O365">
        <v>15.801500000000001</v>
      </c>
      <c r="P365">
        <v>-93.632999999999996</v>
      </c>
      <c r="Q365" t="s">
        <v>674</v>
      </c>
      <c r="R365" t="s">
        <v>47</v>
      </c>
      <c r="S365" t="s">
        <v>48</v>
      </c>
      <c r="T365">
        <v>4</v>
      </c>
    </row>
    <row r="366" spans="1:20">
      <c r="A366" t="s">
        <v>511</v>
      </c>
      <c r="B366">
        <v>7.1</v>
      </c>
      <c r="C366" t="s">
        <v>512</v>
      </c>
      <c r="D366">
        <v>9</v>
      </c>
      <c r="E366">
        <v>8</v>
      </c>
      <c r="G366">
        <v>0</v>
      </c>
      <c r="H366">
        <v>1686</v>
      </c>
      <c r="I366" t="s">
        <v>22</v>
      </c>
      <c r="J366">
        <v>0</v>
      </c>
      <c r="K366">
        <v>0.98399999999999999</v>
      </c>
      <c r="L366">
        <v>23</v>
      </c>
      <c r="M366" t="s">
        <v>23</v>
      </c>
      <c r="N366">
        <v>48</v>
      </c>
      <c r="O366">
        <v>18.549900000000001</v>
      </c>
      <c r="P366">
        <v>-98.488699999999994</v>
      </c>
      <c r="Q366" t="s">
        <v>513</v>
      </c>
      <c r="R366" t="s">
        <v>47</v>
      </c>
      <c r="S366" t="s">
        <v>48</v>
      </c>
      <c r="T366">
        <v>4</v>
      </c>
    </row>
    <row r="367" spans="1:20">
      <c r="A367" t="s">
        <v>1059</v>
      </c>
      <c r="B367">
        <v>6.5</v>
      </c>
      <c r="C367" s="1">
        <v>40859.074305555558</v>
      </c>
      <c r="D367">
        <v>8</v>
      </c>
      <c r="E367">
        <v>7</v>
      </c>
      <c r="G367">
        <v>0</v>
      </c>
      <c r="H367">
        <v>1400</v>
      </c>
      <c r="I367" t="s">
        <v>22</v>
      </c>
      <c r="J367">
        <v>578</v>
      </c>
      <c r="K367">
        <v>0</v>
      </c>
      <c r="L367">
        <v>38.6</v>
      </c>
      <c r="M367" t="s">
        <v>23</v>
      </c>
      <c r="N367">
        <v>59</v>
      </c>
      <c r="O367">
        <v>17.986000000000001</v>
      </c>
      <c r="P367">
        <v>-99.789000000000001</v>
      </c>
      <c r="Q367" t="s">
        <v>1060</v>
      </c>
      <c r="R367" t="s">
        <v>47</v>
      </c>
      <c r="S367" t="s">
        <v>48</v>
      </c>
      <c r="T367">
        <v>4</v>
      </c>
    </row>
    <row r="368" spans="1:20">
      <c r="A368" t="s">
        <v>1656</v>
      </c>
      <c r="B368">
        <v>6.8</v>
      </c>
      <c r="C368" t="s">
        <v>1657</v>
      </c>
      <c r="D368">
        <v>0</v>
      </c>
      <c r="E368">
        <v>6</v>
      </c>
      <c r="G368">
        <v>0</v>
      </c>
      <c r="H368">
        <v>711</v>
      </c>
      <c r="I368" t="s">
        <v>22</v>
      </c>
      <c r="J368">
        <v>292</v>
      </c>
      <c r="K368">
        <v>0</v>
      </c>
      <c r="L368">
        <v>0</v>
      </c>
      <c r="M368" t="s">
        <v>829</v>
      </c>
      <c r="N368">
        <v>24.9</v>
      </c>
      <c r="O368">
        <v>16.984999999999999</v>
      </c>
      <c r="P368">
        <v>-100.86499999999999</v>
      </c>
      <c r="Q368" t="s">
        <v>1658</v>
      </c>
      <c r="R368" t="s">
        <v>47</v>
      </c>
      <c r="S368" t="s">
        <v>48</v>
      </c>
      <c r="T368">
        <v>4</v>
      </c>
    </row>
    <row r="369" spans="1:20">
      <c r="A369" t="s">
        <v>471</v>
      </c>
      <c r="B369">
        <v>7.2</v>
      </c>
      <c r="C369" t="s">
        <v>472</v>
      </c>
      <c r="D369">
        <v>7</v>
      </c>
      <c r="E369">
        <v>7</v>
      </c>
      <c r="F369" t="s">
        <v>45</v>
      </c>
      <c r="G369">
        <v>1</v>
      </c>
      <c r="H369">
        <v>1384</v>
      </c>
      <c r="I369" t="s">
        <v>22</v>
      </c>
      <c r="J369">
        <v>0</v>
      </c>
      <c r="K369">
        <v>0.14199999999999999</v>
      </c>
      <c r="L369">
        <v>82</v>
      </c>
      <c r="M369" t="s">
        <v>23</v>
      </c>
      <c r="N369">
        <v>22</v>
      </c>
      <c r="O369">
        <v>16.3855</v>
      </c>
      <c r="P369">
        <v>-97.978700000000003</v>
      </c>
      <c r="Q369" t="s">
        <v>473</v>
      </c>
      <c r="R369" t="s">
        <v>47</v>
      </c>
      <c r="S369" t="s">
        <v>48</v>
      </c>
      <c r="T369">
        <v>4</v>
      </c>
    </row>
    <row r="370" spans="1:20">
      <c r="A370" t="s">
        <v>818</v>
      </c>
      <c r="B370">
        <v>6.9</v>
      </c>
      <c r="C370" s="1">
        <v>41827.474305555559</v>
      </c>
      <c r="D370">
        <v>8</v>
      </c>
      <c r="E370">
        <v>7</v>
      </c>
      <c r="F370" t="s">
        <v>66</v>
      </c>
      <c r="G370">
        <v>1</v>
      </c>
      <c r="H370">
        <v>1079</v>
      </c>
      <c r="I370" t="s">
        <v>22</v>
      </c>
      <c r="J370">
        <v>0</v>
      </c>
      <c r="K370">
        <v>0.26300000000000001</v>
      </c>
      <c r="L370">
        <v>51</v>
      </c>
      <c r="M370" t="s">
        <v>23</v>
      </c>
      <c r="N370">
        <v>53</v>
      </c>
      <c r="O370">
        <v>14.724</v>
      </c>
      <c r="P370">
        <v>-92.461399999999998</v>
      </c>
      <c r="Q370" t="s">
        <v>373</v>
      </c>
      <c r="R370" t="s">
        <v>47</v>
      </c>
      <c r="S370" t="s">
        <v>48</v>
      </c>
      <c r="T370">
        <v>4</v>
      </c>
    </row>
    <row r="371" spans="1:20">
      <c r="A371" t="s">
        <v>372</v>
      </c>
      <c r="B371">
        <v>6.7</v>
      </c>
      <c r="C371" s="1">
        <v>43467.676388888889</v>
      </c>
      <c r="D371">
        <v>6</v>
      </c>
      <c r="E371">
        <v>6</v>
      </c>
      <c r="F371" t="s">
        <v>45</v>
      </c>
      <c r="G371">
        <v>1</v>
      </c>
      <c r="H371">
        <v>909</v>
      </c>
      <c r="I371" t="s">
        <v>22</v>
      </c>
      <c r="J371">
        <v>0</v>
      </c>
      <c r="K371">
        <v>0.28899999999999998</v>
      </c>
      <c r="L371">
        <v>43</v>
      </c>
      <c r="M371" t="s">
        <v>23</v>
      </c>
      <c r="N371">
        <v>66</v>
      </c>
      <c r="O371">
        <v>14.680199999999999</v>
      </c>
      <c r="P371">
        <v>-92.452699999999993</v>
      </c>
      <c r="Q371" t="s">
        <v>373</v>
      </c>
      <c r="R371" t="s">
        <v>47</v>
      </c>
      <c r="S371" t="s">
        <v>48</v>
      </c>
      <c r="T371">
        <v>4</v>
      </c>
    </row>
    <row r="372" spans="1:20">
      <c r="A372" t="s">
        <v>1032</v>
      </c>
      <c r="B372">
        <v>7</v>
      </c>
      <c r="C372" s="1">
        <v>41247.302083333336</v>
      </c>
      <c r="D372">
        <v>7</v>
      </c>
      <c r="E372">
        <v>7</v>
      </c>
      <c r="G372">
        <v>0</v>
      </c>
      <c r="H372">
        <v>1000</v>
      </c>
      <c r="I372" t="s">
        <v>22</v>
      </c>
      <c r="J372">
        <v>474</v>
      </c>
      <c r="K372">
        <v>0</v>
      </c>
      <c r="L372">
        <v>95.9</v>
      </c>
      <c r="M372" t="s">
        <v>23</v>
      </c>
      <c r="N372">
        <v>13</v>
      </c>
      <c r="O372">
        <v>28.696000000000002</v>
      </c>
      <c r="P372">
        <v>-113.104</v>
      </c>
      <c r="Q372" t="s">
        <v>1033</v>
      </c>
      <c r="R372" t="s">
        <v>47</v>
      </c>
      <c r="S372" t="s">
        <v>48</v>
      </c>
      <c r="T372">
        <v>4</v>
      </c>
    </row>
    <row r="373" spans="1:20">
      <c r="A373" t="s">
        <v>265</v>
      </c>
      <c r="B373">
        <v>7.4</v>
      </c>
      <c r="C373" t="s">
        <v>266</v>
      </c>
      <c r="D373">
        <v>8</v>
      </c>
      <c r="E373">
        <v>8</v>
      </c>
      <c r="F373" t="s">
        <v>66</v>
      </c>
      <c r="G373">
        <v>1</v>
      </c>
      <c r="H373">
        <v>1494</v>
      </c>
      <c r="I373" t="s">
        <v>22</v>
      </c>
      <c r="J373">
        <v>0</v>
      </c>
      <c r="K373">
        <v>0.151</v>
      </c>
      <c r="L373">
        <v>30</v>
      </c>
      <c r="M373" t="s">
        <v>23</v>
      </c>
      <c r="N373">
        <v>20</v>
      </c>
      <c r="O373">
        <v>15.9163</v>
      </c>
      <c r="P373">
        <v>-95.953299999999999</v>
      </c>
      <c r="Q373" t="s">
        <v>267</v>
      </c>
      <c r="R373" t="s">
        <v>47</v>
      </c>
      <c r="S373" t="s">
        <v>48</v>
      </c>
      <c r="T373">
        <v>4</v>
      </c>
    </row>
    <row r="374" spans="1:20">
      <c r="A374" t="s">
        <v>1044</v>
      </c>
      <c r="B374">
        <v>7.4</v>
      </c>
      <c r="C374" t="s">
        <v>1045</v>
      </c>
      <c r="D374">
        <v>9</v>
      </c>
      <c r="E374">
        <v>8</v>
      </c>
      <c r="G374">
        <v>0</v>
      </c>
      <c r="H374">
        <v>1752</v>
      </c>
      <c r="I374" t="s">
        <v>22</v>
      </c>
      <c r="J374">
        <v>672</v>
      </c>
      <c r="K374">
        <v>0</v>
      </c>
      <c r="L374">
        <v>37.9</v>
      </c>
      <c r="M374" t="s">
        <v>23</v>
      </c>
      <c r="N374">
        <v>20</v>
      </c>
      <c r="O374">
        <v>16.492999999999999</v>
      </c>
      <c r="P374">
        <v>-98.230999999999995</v>
      </c>
      <c r="Q374" t="s">
        <v>1046</v>
      </c>
      <c r="R374" t="s">
        <v>47</v>
      </c>
      <c r="S374" t="s">
        <v>48</v>
      </c>
      <c r="T374">
        <v>4</v>
      </c>
    </row>
    <row r="375" spans="1:20">
      <c r="A375" t="s">
        <v>721</v>
      </c>
      <c r="B375">
        <v>6.7</v>
      </c>
      <c r="C375" t="s">
        <v>722</v>
      </c>
      <c r="D375">
        <v>5</v>
      </c>
      <c r="E375">
        <v>5</v>
      </c>
      <c r="F375" t="s">
        <v>21</v>
      </c>
      <c r="G375">
        <v>1</v>
      </c>
      <c r="H375">
        <v>708</v>
      </c>
      <c r="I375" t="s">
        <v>22</v>
      </c>
      <c r="J375">
        <v>0</v>
      </c>
      <c r="K375">
        <v>1.256</v>
      </c>
      <c r="L375">
        <v>123</v>
      </c>
      <c r="M375" t="s">
        <v>23</v>
      </c>
      <c r="N375">
        <v>10</v>
      </c>
      <c r="O375">
        <v>24.913</v>
      </c>
      <c r="P375">
        <v>-109.623</v>
      </c>
      <c r="Q375" t="s">
        <v>723</v>
      </c>
      <c r="R375" t="s">
        <v>47</v>
      </c>
      <c r="S375" t="s">
        <v>48</v>
      </c>
      <c r="T375">
        <v>4</v>
      </c>
    </row>
    <row r="376" spans="1:20">
      <c r="A376" t="s">
        <v>854</v>
      </c>
      <c r="B376">
        <v>6.6</v>
      </c>
      <c r="C376" s="1">
        <v>41947.853472222225</v>
      </c>
      <c r="D376">
        <v>6</v>
      </c>
      <c r="E376">
        <v>5</v>
      </c>
      <c r="F376" t="s">
        <v>21</v>
      </c>
      <c r="G376">
        <v>1</v>
      </c>
      <c r="H376">
        <v>677</v>
      </c>
      <c r="I376" t="s">
        <v>22</v>
      </c>
      <c r="J376">
        <v>0</v>
      </c>
      <c r="K376">
        <v>0.76100000000000001</v>
      </c>
      <c r="L376">
        <v>20</v>
      </c>
      <c r="M376" t="s">
        <v>23</v>
      </c>
      <c r="N376">
        <v>135</v>
      </c>
      <c r="O376">
        <v>11.641999999999999</v>
      </c>
      <c r="P376">
        <v>-85.877899999999997</v>
      </c>
      <c r="Q376" t="s">
        <v>855</v>
      </c>
      <c r="R376" t="s">
        <v>47</v>
      </c>
      <c r="S376" t="s">
        <v>856</v>
      </c>
      <c r="T376">
        <v>4</v>
      </c>
    </row>
    <row r="377" spans="1:20">
      <c r="A377" t="s">
        <v>149</v>
      </c>
      <c r="B377">
        <v>6.5</v>
      </c>
      <c r="C377" t="s">
        <v>150</v>
      </c>
      <c r="D377">
        <v>7</v>
      </c>
      <c r="E377">
        <v>5</v>
      </c>
      <c r="F377" t="s">
        <v>21</v>
      </c>
      <c r="G377">
        <v>1</v>
      </c>
      <c r="H377">
        <v>684</v>
      </c>
      <c r="I377" t="s">
        <v>22</v>
      </c>
      <c r="J377">
        <v>0</v>
      </c>
      <c r="K377">
        <v>0.99299999999999999</v>
      </c>
      <c r="L377">
        <v>114</v>
      </c>
      <c r="M377" t="s">
        <v>23</v>
      </c>
      <c r="N377">
        <v>21</v>
      </c>
      <c r="O377">
        <v>12.159800000000001</v>
      </c>
      <c r="P377">
        <v>-87.854200000000006</v>
      </c>
      <c r="Q377" t="s">
        <v>151</v>
      </c>
      <c r="R377" t="s">
        <v>47</v>
      </c>
      <c r="S377" t="s">
        <v>856</v>
      </c>
      <c r="T377">
        <v>4</v>
      </c>
    </row>
    <row r="378" spans="1:20">
      <c r="A378" t="s">
        <v>1535</v>
      </c>
      <c r="B378">
        <v>7</v>
      </c>
      <c r="C378" s="1">
        <v>38240.893055555556</v>
      </c>
      <c r="D378">
        <v>0</v>
      </c>
      <c r="E378">
        <v>6</v>
      </c>
      <c r="G378">
        <v>0</v>
      </c>
      <c r="H378">
        <v>754</v>
      </c>
      <c r="I378" t="s">
        <v>22</v>
      </c>
      <c r="J378">
        <v>441</v>
      </c>
      <c r="K378">
        <v>0</v>
      </c>
      <c r="L378">
        <v>32.200000000000003</v>
      </c>
      <c r="M378" t="s">
        <v>829</v>
      </c>
      <c r="N378">
        <v>35</v>
      </c>
      <c r="O378">
        <v>11.422000000000001</v>
      </c>
      <c r="P378">
        <v>-86.665000000000006</v>
      </c>
      <c r="Q378" t="s">
        <v>91</v>
      </c>
      <c r="R378" t="s">
        <v>47</v>
      </c>
      <c r="S378" t="s">
        <v>856</v>
      </c>
      <c r="T378">
        <v>4</v>
      </c>
    </row>
    <row r="379" spans="1:20">
      <c r="A379" t="s">
        <v>89</v>
      </c>
      <c r="B379">
        <v>6.6</v>
      </c>
      <c r="C379" t="s">
        <v>90</v>
      </c>
      <c r="D379">
        <v>6</v>
      </c>
      <c r="E379">
        <v>5</v>
      </c>
      <c r="F379" t="s">
        <v>21</v>
      </c>
      <c r="G379">
        <v>1</v>
      </c>
      <c r="H379">
        <v>762</v>
      </c>
      <c r="I379" t="s">
        <v>22</v>
      </c>
      <c r="J379">
        <v>0</v>
      </c>
      <c r="K379">
        <v>0.91400000000000003</v>
      </c>
      <c r="L379">
        <v>94</v>
      </c>
      <c r="M379" t="s">
        <v>23</v>
      </c>
      <c r="N379">
        <v>27</v>
      </c>
      <c r="O379">
        <v>11.553800000000001</v>
      </c>
      <c r="P379">
        <v>-86.991900000000001</v>
      </c>
      <c r="Q379" t="s">
        <v>91</v>
      </c>
      <c r="R379" t="s">
        <v>47</v>
      </c>
      <c r="S379" t="s">
        <v>856</v>
      </c>
      <c r="T379">
        <v>4</v>
      </c>
    </row>
    <row r="380" spans="1:20">
      <c r="A380" t="s">
        <v>934</v>
      </c>
      <c r="B380">
        <v>6.5</v>
      </c>
      <c r="C380" t="s">
        <v>935</v>
      </c>
      <c r="D380">
        <v>5</v>
      </c>
      <c r="E380">
        <v>6</v>
      </c>
      <c r="F380" t="s">
        <v>21</v>
      </c>
      <c r="G380">
        <v>1</v>
      </c>
      <c r="H380">
        <v>679</v>
      </c>
      <c r="I380" t="s">
        <v>22</v>
      </c>
      <c r="J380">
        <v>698</v>
      </c>
      <c r="K380">
        <v>0</v>
      </c>
      <c r="L380">
        <v>27</v>
      </c>
      <c r="M380" t="s">
        <v>23</v>
      </c>
      <c r="N380">
        <v>30</v>
      </c>
      <c r="O380">
        <v>11.763</v>
      </c>
      <c r="P380">
        <v>-86.926000000000002</v>
      </c>
      <c r="Q380" t="s">
        <v>91</v>
      </c>
      <c r="R380" t="s">
        <v>47</v>
      </c>
      <c r="S380" t="s">
        <v>856</v>
      </c>
      <c r="T380">
        <v>4</v>
      </c>
    </row>
    <row r="381" spans="1:20">
      <c r="A381" t="s">
        <v>1468</v>
      </c>
      <c r="B381">
        <v>6.6</v>
      </c>
      <c r="C381" s="1">
        <v>38390.094444444447</v>
      </c>
      <c r="D381">
        <v>6</v>
      </c>
      <c r="E381">
        <v>5</v>
      </c>
      <c r="G381">
        <v>0</v>
      </c>
      <c r="H381">
        <v>719</v>
      </c>
      <c r="I381" t="s">
        <v>22</v>
      </c>
      <c r="J381">
        <v>446</v>
      </c>
      <c r="K381">
        <v>0</v>
      </c>
      <c r="L381">
        <v>21.1</v>
      </c>
      <c r="M381" t="s">
        <v>829</v>
      </c>
      <c r="N381">
        <v>27</v>
      </c>
      <c r="O381">
        <v>11.244999999999999</v>
      </c>
      <c r="P381">
        <v>-86.171999999999997</v>
      </c>
      <c r="Q381" t="s">
        <v>1469</v>
      </c>
      <c r="R381" t="s">
        <v>47</v>
      </c>
      <c r="S381" t="s">
        <v>856</v>
      </c>
      <c r="T381">
        <v>4</v>
      </c>
    </row>
    <row r="382" spans="1:20">
      <c r="A382" t="s">
        <v>39</v>
      </c>
      <c r="B382">
        <v>6.7</v>
      </c>
      <c r="C382" t="s">
        <v>40</v>
      </c>
      <c r="D382">
        <v>7</v>
      </c>
      <c r="E382">
        <v>6</v>
      </c>
      <c r="F382" t="s">
        <v>21</v>
      </c>
      <c r="G382">
        <v>1</v>
      </c>
      <c r="H382">
        <v>797</v>
      </c>
      <c r="I382" t="s">
        <v>22</v>
      </c>
      <c r="J382">
        <v>145</v>
      </c>
      <c r="K382">
        <v>1.151</v>
      </c>
      <c r="L382">
        <v>37</v>
      </c>
      <c r="M382" t="s">
        <v>23</v>
      </c>
      <c r="N382">
        <v>20</v>
      </c>
      <c r="O382">
        <v>7.6711999999999998</v>
      </c>
      <c r="P382">
        <v>-82.339600000000004</v>
      </c>
      <c r="Q382" t="s">
        <v>41</v>
      </c>
      <c r="R382" t="s">
        <v>47</v>
      </c>
      <c r="S382" t="s">
        <v>42</v>
      </c>
      <c r="T382">
        <v>4</v>
      </c>
    </row>
    <row r="383" spans="1:20">
      <c r="A383" t="s">
        <v>1566</v>
      </c>
      <c r="B383">
        <v>6.5</v>
      </c>
      <c r="C383" t="s">
        <v>1567</v>
      </c>
      <c r="D383">
        <v>0</v>
      </c>
      <c r="E383">
        <v>6</v>
      </c>
      <c r="G383">
        <v>0</v>
      </c>
      <c r="H383">
        <v>650</v>
      </c>
      <c r="I383" t="s">
        <v>22</v>
      </c>
      <c r="J383">
        <v>405</v>
      </c>
      <c r="K383">
        <v>0</v>
      </c>
      <c r="L383">
        <v>48.4</v>
      </c>
      <c r="M383" t="s">
        <v>36</v>
      </c>
      <c r="N383">
        <v>33</v>
      </c>
      <c r="O383">
        <v>8.4160000000000004</v>
      </c>
      <c r="P383">
        <v>-82.823999999999998</v>
      </c>
      <c r="Q383" t="s">
        <v>1568</v>
      </c>
      <c r="R383" t="s">
        <v>47</v>
      </c>
      <c r="S383" t="s">
        <v>42</v>
      </c>
      <c r="T383">
        <v>4</v>
      </c>
    </row>
    <row r="384" spans="1:20">
      <c r="A384" t="s">
        <v>788</v>
      </c>
      <c r="B384">
        <v>6.6</v>
      </c>
      <c r="C384" s="1">
        <v>41863.370833333334</v>
      </c>
      <c r="D384">
        <v>7</v>
      </c>
      <c r="E384">
        <v>6</v>
      </c>
      <c r="F384" t="s">
        <v>21</v>
      </c>
      <c r="G384">
        <v>1</v>
      </c>
      <c r="H384">
        <v>709</v>
      </c>
      <c r="I384" t="s">
        <v>22</v>
      </c>
      <c r="J384">
        <v>0</v>
      </c>
      <c r="K384">
        <v>2.4849999999999999</v>
      </c>
      <c r="L384">
        <v>43</v>
      </c>
      <c r="M384" t="s">
        <v>23</v>
      </c>
      <c r="N384">
        <v>20</v>
      </c>
      <c r="O384">
        <v>7.9401000000000002</v>
      </c>
      <c r="P384">
        <v>-82.686499999999995</v>
      </c>
      <c r="Q384" t="s">
        <v>787</v>
      </c>
      <c r="R384" t="s">
        <v>47</v>
      </c>
      <c r="S384" t="s">
        <v>42</v>
      </c>
      <c r="T384">
        <v>4</v>
      </c>
    </row>
    <row r="385" spans="1:20">
      <c r="A385" t="s">
        <v>1641</v>
      </c>
      <c r="B385">
        <v>6.5</v>
      </c>
      <c r="C385" t="s">
        <v>1642</v>
      </c>
      <c r="D385">
        <v>0</v>
      </c>
      <c r="E385">
        <v>7</v>
      </c>
      <c r="G385">
        <v>0</v>
      </c>
      <c r="H385">
        <v>650</v>
      </c>
      <c r="I385" t="s">
        <v>22</v>
      </c>
      <c r="J385">
        <v>533</v>
      </c>
      <c r="K385">
        <v>0</v>
      </c>
      <c r="L385">
        <v>0</v>
      </c>
      <c r="M385" t="s">
        <v>829</v>
      </c>
      <c r="N385">
        <v>10</v>
      </c>
      <c r="O385">
        <v>7.9290000000000003</v>
      </c>
      <c r="P385">
        <v>-82.793000000000006</v>
      </c>
      <c r="Q385" t="s">
        <v>787</v>
      </c>
      <c r="R385" t="s">
        <v>47</v>
      </c>
      <c r="S385" t="s">
        <v>42</v>
      </c>
      <c r="T385">
        <v>4</v>
      </c>
    </row>
    <row r="386" spans="1:20">
      <c r="A386" t="s">
        <v>786</v>
      </c>
      <c r="B386">
        <v>6.5</v>
      </c>
      <c r="C386" s="1">
        <v>42186.213194444441</v>
      </c>
      <c r="D386">
        <v>1</v>
      </c>
      <c r="E386">
        <v>4</v>
      </c>
      <c r="F386" t="s">
        <v>21</v>
      </c>
      <c r="G386">
        <v>1</v>
      </c>
      <c r="H386">
        <v>650</v>
      </c>
      <c r="I386" t="s">
        <v>22</v>
      </c>
      <c r="J386">
        <v>0</v>
      </c>
      <c r="K386">
        <v>4.3179999999999996</v>
      </c>
      <c r="L386">
        <v>61</v>
      </c>
      <c r="M386" t="s">
        <v>23</v>
      </c>
      <c r="N386">
        <v>8</v>
      </c>
      <c r="O386">
        <v>5.9044999999999996</v>
      </c>
      <c r="P386">
        <v>-82.657600000000002</v>
      </c>
      <c r="Q386" t="s">
        <v>787</v>
      </c>
      <c r="R386" t="s">
        <v>47</v>
      </c>
      <c r="S386" t="s">
        <v>42</v>
      </c>
      <c r="T386">
        <v>4</v>
      </c>
    </row>
    <row r="387" spans="1:20">
      <c r="A387" t="s">
        <v>836</v>
      </c>
      <c r="B387">
        <v>6.5</v>
      </c>
      <c r="C387" t="s">
        <v>837</v>
      </c>
      <c r="D387">
        <v>7</v>
      </c>
      <c r="E387">
        <v>5</v>
      </c>
      <c r="F387" t="s">
        <v>21</v>
      </c>
      <c r="G387">
        <v>1</v>
      </c>
      <c r="H387">
        <v>694</v>
      </c>
      <c r="I387" t="s">
        <v>22</v>
      </c>
      <c r="J387">
        <v>0</v>
      </c>
      <c r="K387">
        <v>3.121</v>
      </c>
      <c r="L387">
        <v>33</v>
      </c>
      <c r="M387" t="s">
        <v>23</v>
      </c>
      <c r="N387">
        <v>10</v>
      </c>
      <c r="O387">
        <v>7.2096</v>
      </c>
      <c r="P387">
        <v>-82.304500000000004</v>
      </c>
      <c r="Q387" t="s">
        <v>787</v>
      </c>
      <c r="R387" t="s">
        <v>47</v>
      </c>
      <c r="S387" t="s">
        <v>42</v>
      </c>
      <c r="T387">
        <v>4</v>
      </c>
    </row>
    <row r="388" spans="1:20">
      <c r="A388" t="s">
        <v>451</v>
      </c>
      <c r="B388">
        <v>6.5</v>
      </c>
      <c r="C388" t="s">
        <v>452</v>
      </c>
      <c r="D388">
        <v>6</v>
      </c>
      <c r="E388">
        <v>6</v>
      </c>
      <c r="F388" t="s">
        <v>21</v>
      </c>
      <c r="G388">
        <v>1</v>
      </c>
      <c r="H388">
        <v>655</v>
      </c>
      <c r="I388" t="s">
        <v>22</v>
      </c>
      <c r="J388">
        <v>0</v>
      </c>
      <c r="K388">
        <v>0.57599999999999996</v>
      </c>
      <c r="L388">
        <v>22</v>
      </c>
      <c r="M388" t="s">
        <v>23</v>
      </c>
      <c r="N388">
        <v>33.93</v>
      </c>
      <c r="O388">
        <v>51.423400000000001</v>
      </c>
      <c r="P388">
        <v>-178.02600000000001</v>
      </c>
      <c r="Q388" t="s">
        <v>453</v>
      </c>
      <c r="R388" t="s">
        <v>47</v>
      </c>
      <c r="S388" t="s">
        <v>145</v>
      </c>
      <c r="T388">
        <v>4</v>
      </c>
    </row>
    <row r="389" spans="1:20">
      <c r="A389" t="s">
        <v>918</v>
      </c>
      <c r="B389">
        <v>7</v>
      </c>
      <c r="C389" t="s">
        <v>919</v>
      </c>
      <c r="D389">
        <v>5</v>
      </c>
      <c r="E389">
        <v>6</v>
      </c>
      <c r="F389" t="s">
        <v>21</v>
      </c>
      <c r="G389">
        <v>0</v>
      </c>
      <c r="H389">
        <v>758</v>
      </c>
      <c r="I389" t="s">
        <v>22</v>
      </c>
      <c r="J389">
        <v>0</v>
      </c>
      <c r="K389">
        <v>0.624</v>
      </c>
      <c r="L389">
        <v>53</v>
      </c>
      <c r="M389" t="s">
        <v>23</v>
      </c>
      <c r="N389">
        <v>29</v>
      </c>
      <c r="O389">
        <v>51.536999999999999</v>
      </c>
      <c r="P389">
        <v>-175.23</v>
      </c>
      <c r="Q389" t="s">
        <v>914</v>
      </c>
      <c r="R389" t="s">
        <v>47</v>
      </c>
      <c r="S389" t="s">
        <v>145</v>
      </c>
      <c r="T389">
        <v>4</v>
      </c>
    </row>
    <row r="390" spans="1:20">
      <c r="A390" t="s">
        <v>913</v>
      </c>
      <c r="B390">
        <v>6.5</v>
      </c>
      <c r="C390" s="1">
        <v>41373.105555555558</v>
      </c>
      <c r="D390">
        <v>0</v>
      </c>
      <c r="E390">
        <v>6</v>
      </c>
      <c r="F390" t="s">
        <v>21</v>
      </c>
      <c r="G390">
        <v>1</v>
      </c>
      <c r="H390">
        <v>650</v>
      </c>
      <c r="I390" t="s">
        <v>22</v>
      </c>
      <c r="J390">
        <v>0</v>
      </c>
      <c r="K390">
        <v>0.73499999999999999</v>
      </c>
      <c r="L390">
        <v>24</v>
      </c>
      <c r="M390" t="s">
        <v>23</v>
      </c>
      <c r="N390">
        <v>20</v>
      </c>
      <c r="O390">
        <v>51.557299999999998</v>
      </c>
      <c r="P390">
        <v>-174.767</v>
      </c>
      <c r="Q390" t="s">
        <v>914</v>
      </c>
      <c r="R390" t="s">
        <v>47</v>
      </c>
      <c r="S390" t="s">
        <v>145</v>
      </c>
      <c r="T390">
        <v>4</v>
      </c>
    </row>
    <row r="391" spans="1:20">
      <c r="A391" t="s">
        <v>535</v>
      </c>
      <c r="B391">
        <v>6.8</v>
      </c>
      <c r="C391" s="1">
        <v>42772.933333333334</v>
      </c>
      <c r="D391">
        <v>0</v>
      </c>
      <c r="E391">
        <v>4</v>
      </c>
      <c r="F391" t="s">
        <v>21</v>
      </c>
      <c r="G391">
        <v>1</v>
      </c>
      <c r="H391">
        <v>711</v>
      </c>
      <c r="I391" t="s">
        <v>22</v>
      </c>
      <c r="J391">
        <v>0</v>
      </c>
      <c r="K391">
        <v>2.3079999999999998</v>
      </c>
      <c r="L391">
        <v>12</v>
      </c>
      <c r="M391" t="s">
        <v>23</v>
      </c>
      <c r="N391">
        <v>5</v>
      </c>
      <c r="O391">
        <v>54.031199999999998</v>
      </c>
      <c r="P391">
        <v>170.92</v>
      </c>
      <c r="Q391" t="s">
        <v>510</v>
      </c>
      <c r="R391" t="s">
        <v>47</v>
      </c>
      <c r="S391" t="s">
        <v>145</v>
      </c>
      <c r="T391">
        <v>4</v>
      </c>
    </row>
    <row r="392" spans="1:20">
      <c r="A392" t="s">
        <v>509</v>
      </c>
      <c r="B392">
        <v>6.5</v>
      </c>
      <c r="C392" s="1">
        <v>42957.94027777778</v>
      </c>
      <c r="D392">
        <v>3</v>
      </c>
      <c r="E392">
        <v>5</v>
      </c>
      <c r="F392" t="s">
        <v>21</v>
      </c>
      <c r="G392">
        <v>1</v>
      </c>
      <c r="H392">
        <v>651</v>
      </c>
      <c r="I392" t="s">
        <v>22</v>
      </c>
      <c r="J392">
        <v>0</v>
      </c>
      <c r="K392">
        <v>1.1539999999999999</v>
      </c>
      <c r="L392">
        <v>11</v>
      </c>
      <c r="M392" t="s">
        <v>23</v>
      </c>
      <c r="N392">
        <v>119</v>
      </c>
      <c r="O392">
        <v>52.390900000000002</v>
      </c>
      <c r="P392">
        <v>176.76900000000001</v>
      </c>
      <c r="Q392" t="s">
        <v>510</v>
      </c>
      <c r="R392" t="s">
        <v>47</v>
      </c>
      <c r="S392" t="s">
        <v>145</v>
      </c>
      <c r="T392">
        <v>4</v>
      </c>
    </row>
    <row r="393" spans="1:20">
      <c r="A393" t="s">
        <v>1470</v>
      </c>
      <c r="B393">
        <v>7.2</v>
      </c>
      <c r="C393" t="s">
        <v>1471</v>
      </c>
      <c r="D393">
        <v>5</v>
      </c>
      <c r="E393">
        <v>4</v>
      </c>
      <c r="G393">
        <v>0</v>
      </c>
      <c r="H393">
        <v>1318</v>
      </c>
      <c r="I393" t="s">
        <v>22</v>
      </c>
      <c r="J393">
        <v>420</v>
      </c>
      <c r="K393">
        <v>0</v>
      </c>
      <c r="L393">
        <v>31.4</v>
      </c>
      <c r="M393" t="s">
        <v>829</v>
      </c>
      <c r="N393">
        <v>16</v>
      </c>
      <c r="O393">
        <v>41.292000000000002</v>
      </c>
      <c r="P393">
        <v>-125.953</v>
      </c>
      <c r="Q393" t="s">
        <v>1472</v>
      </c>
      <c r="R393" t="s">
        <v>47</v>
      </c>
      <c r="S393" t="s">
        <v>145</v>
      </c>
      <c r="T393">
        <v>4</v>
      </c>
    </row>
    <row r="394" spans="1:20">
      <c r="A394" t="s">
        <v>1628</v>
      </c>
      <c r="B394">
        <v>7.9</v>
      </c>
      <c r="C394" s="1">
        <v>37326.925000000003</v>
      </c>
      <c r="D394">
        <v>8</v>
      </c>
      <c r="E394">
        <v>9</v>
      </c>
      <c r="G394">
        <v>0</v>
      </c>
      <c r="H394">
        <v>1750</v>
      </c>
      <c r="I394" t="s">
        <v>143</v>
      </c>
      <c r="J394">
        <v>0</v>
      </c>
      <c r="K394">
        <v>0</v>
      </c>
      <c r="L394">
        <v>0</v>
      </c>
      <c r="M394" t="s">
        <v>345</v>
      </c>
      <c r="N394">
        <v>4.2</v>
      </c>
      <c r="O394">
        <v>63.514099999999999</v>
      </c>
      <c r="P394">
        <v>-147.453</v>
      </c>
      <c r="Q394" t="s">
        <v>1629</v>
      </c>
      <c r="R394" t="s">
        <v>47</v>
      </c>
      <c r="S394" t="s">
        <v>145</v>
      </c>
      <c r="T394">
        <v>4</v>
      </c>
    </row>
    <row r="395" spans="1:20">
      <c r="A395" t="s">
        <v>1631</v>
      </c>
      <c r="B395">
        <v>6.6</v>
      </c>
      <c r="C395" t="s">
        <v>1632</v>
      </c>
      <c r="D395">
        <v>0</v>
      </c>
      <c r="E395">
        <v>7</v>
      </c>
      <c r="G395">
        <v>0</v>
      </c>
      <c r="H395">
        <v>670</v>
      </c>
      <c r="I395" t="s">
        <v>143</v>
      </c>
      <c r="J395">
        <v>0</v>
      </c>
      <c r="K395">
        <v>0</v>
      </c>
      <c r="L395">
        <v>0</v>
      </c>
      <c r="M395" t="s">
        <v>345</v>
      </c>
      <c r="N395">
        <v>4.2</v>
      </c>
      <c r="O395">
        <v>63.514400000000002</v>
      </c>
      <c r="P395">
        <v>-147.91200000000001</v>
      </c>
      <c r="Q395" t="s">
        <v>1629</v>
      </c>
      <c r="R395" t="s">
        <v>47</v>
      </c>
      <c r="S395" t="s">
        <v>145</v>
      </c>
      <c r="T395">
        <v>4</v>
      </c>
    </row>
    <row r="396" spans="1:20">
      <c r="A396" t="s">
        <v>142</v>
      </c>
      <c r="B396">
        <v>6.9</v>
      </c>
      <c r="C396" s="1">
        <v>44510.381944444445</v>
      </c>
      <c r="D396">
        <v>8</v>
      </c>
      <c r="E396">
        <v>6</v>
      </c>
      <c r="F396" t="s">
        <v>21</v>
      </c>
      <c r="G396">
        <v>1</v>
      </c>
      <c r="H396">
        <v>995</v>
      </c>
      <c r="I396" t="s">
        <v>143</v>
      </c>
      <c r="J396">
        <v>0</v>
      </c>
      <c r="K396">
        <v>0</v>
      </c>
      <c r="L396">
        <v>0</v>
      </c>
      <c r="M396" t="s">
        <v>23</v>
      </c>
      <c r="N396">
        <v>51.6</v>
      </c>
      <c r="O396">
        <v>56.258099999999999</v>
      </c>
      <c r="P396">
        <v>-156.49199999999999</v>
      </c>
      <c r="Q396" t="s">
        <v>144</v>
      </c>
      <c r="R396" t="s">
        <v>47</v>
      </c>
      <c r="S396" t="s">
        <v>145</v>
      </c>
      <c r="T396">
        <v>4</v>
      </c>
    </row>
    <row r="397" spans="1:20">
      <c r="A397" t="s">
        <v>474</v>
      </c>
      <c r="B397">
        <v>7.9</v>
      </c>
      <c r="C397" t="s">
        <v>475</v>
      </c>
      <c r="D397">
        <v>9</v>
      </c>
      <c r="E397">
        <v>4</v>
      </c>
      <c r="F397" t="s">
        <v>21</v>
      </c>
      <c r="G397">
        <v>1</v>
      </c>
      <c r="H397">
        <v>1870</v>
      </c>
      <c r="I397" t="s">
        <v>22</v>
      </c>
      <c r="J397">
        <v>0</v>
      </c>
      <c r="K397">
        <v>2.585</v>
      </c>
      <c r="L397">
        <v>30</v>
      </c>
      <c r="M397" t="s">
        <v>23</v>
      </c>
      <c r="N397">
        <v>14.06</v>
      </c>
      <c r="O397">
        <v>56.003900000000002</v>
      </c>
      <c r="P397">
        <v>-149.166</v>
      </c>
      <c r="Q397" t="s">
        <v>476</v>
      </c>
      <c r="R397" t="s">
        <v>47</v>
      </c>
      <c r="S397" t="s">
        <v>145</v>
      </c>
      <c r="T397">
        <v>4</v>
      </c>
    </row>
    <row r="398" spans="1:20">
      <c r="A398" t="s">
        <v>984</v>
      </c>
      <c r="B398">
        <v>7.5</v>
      </c>
      <c r="C398" s="1">
        <v>41395.373611111114</v>
      </c>
      <c r="D398">
        <v>6</v>
      </c>
      <c r="E398">
        <v>6</v>
      </c>
      <c r="G398">
        <v>0</v>
      </c>
      <c r="H398">
        <v>1425</v>
      </c>
      <c r="I398" t="s">
        <v>143</v>
      </c>
      <c r="J398">
        <v>0</v>
      </c>
      <c r="K398">
        <v>0</v>
      </c>
      <c r="L398">
        <v>0</v>
      </c>
      <c r="M398" t="s">
        <v>345</v>
      </c>
      <c r="N398">
        <v>8.6999999999999993</v>
      </c>
      <c r="O398">
        <v>55.228000000000002</v>
      </c>
      <c r="P398">
        <v>-134.85900000000001</v>
      </c>
      <c r="Q398" t="s">
        <v>985</v>
      </c>
      <c r="R398" t="s">
        <v>47</v>
      </c>
      <c r="S398" t="s">
        <v>145</v>
      </c>
      <c r="T398">
        <v>4</v>
      </c>
    </row>
    <row r="399" spans="1:20">
      <c r="A399" t="s">
        <v>579</v>
      </c>
      <c r="B399">
        <v>6.6</v>
      </c>
      <c r="C399" s="1">
        <v>42594.617361111108</v>
      </c>
      <c r="D399">
        <v>5</v>
      </c>
      <c r="E399">
        <v>4</v>
      </c>
      <c r="F399" t="s">
        <v>21</v>
      </c>
      <c r="G399">
        <v>1</v>
      </c>
      <c r="H399">
        <v>1120</v>
      </c>
      <c r="I399" t="s">
        <v>22</v>
      </c>
      <c r="J399">
        <v>0</v>
      </c>
      <c r="K399">
        <v>1.405</v>
      </c>
      <c r="L399">
        <v>55</v>
      </c>
      <c r="M399" t="s">
        <v>23</v>
      </c>
      <c r="N399">
        <v>8.4499999999999993</v>
      </c>
      <c r="O399">
        <v>40.453499999999998</v>
      </c>
      <c r="P399">
        <v>-126.194</v>
      </c>
      <c r="Q399" t="s">
        <v>580</v>
      </c>
      <c r="R399" t="s">
        <v>47</v>
      </c>
      <c r="S399" t="s">
        <v>145</v>
      </c>
      <c r="T399">
        <v>4</v>
      </c>
    </row>
    <row r="400" spans="1:20">
      <c r="A400" t="s">
        <v>1203</v>
      </c>
      <c r="B400">
        <v>6.5</v>
      </c>
      <c r="C400" s="1">
        <v>40452.018750000003</v>
      </c>
      <c r="D400">
        <v>7</v>
      </c>
      <c r="E400">
        <v>7</v>
      </c>
      <c r="G400">
        <v>0</v>
      </c>
      <c r="H400">
        <v>1360</v>
      </c>
      <c r="I400" t="s">
        <v>867</v>
      </c>
      <c r="J400">
        <v>51</v>
      </c>
      <c r="K400">
        <v>0.32250000000000001</v>
      </c>
      <c r="L400">
        <v>220</v>
      </c>
      <c r="M400" t="s">
        <v>345</v>
      </c>
      <c r="N400">
        <v>28.736999999999998</v>
      </c>
      <c r="O400">
        <v>40.652000000000001</v>
      </c>
      <c r="P400">
        <v>-124.69199999999999</v>
      </c>
      <c r="Q400" t="s">
        <v>580</v>
      </c>
      <c r="R400" t="s">
        <v>47</v>
      </c>
      <c r="S400" t="s">
        <v>145</v>
      </c>
      <c r="T400">
        <v>4</v>
      </c>
    </row>
    <row r="401" spans="1:20">
      <c r="A401" t="s">
        <v>730</v>
      </c>
      <c r="B401">
        <v>6.9</v>
      </c>
      <c r="C401" t="s">
        <v>731</v>
      </c>
      <c r="D401">
        <v>4</v>
      </c>
      <c r="E401">
        <v>7</v>
      </c>
      <c r="F401" t="s">
        <v>21</v>
      </c>
      <c r="G401">
        <v>1</v>
      </c>
      <c r="H401">
        <v>734</v>
      </c>
      <c r="I401" t="s">
        <v>22</v>
      </c>
      <c r="J401">
        <v>0</v>
      </c>
      <c r="K401">
        <v>0.44400000000000001</v>
      </c>
      <c r="L401">
        <v>39</v>
      </c>
      <c r="M401" t="s">
        <v>23</v>
      </c>
      <c r="N401">
        <v>29</v>
      </c>
      <c r="O401">
        <v>52.375999999999998</v>
      </c>
      <c r="P401">
        <v>-169.446</v>
      </c>
      <c r="Q401" t="s">
        <v>732</v>
      </c>
      <c r="R401" t="s">
        <v>47</v>
      </c>
      <c r="S401" t="s">
        <v>145</v>
      </c>
      <c r="T401">
        <v>4</v>
      </c>
    </row>
    <row r="402" spans="1:20">
      <c r="A402" t="s">
        <v>866</v>
      </c>
      <c r="B402">
        <v>6.8</v>
      </c>
      <c r="C402" s="1">
        <v>41915.220833333333</v>
      </c>
      <c r="D402">
        <v>5</v>
      </c>
      <c r="E402">
        <v>5</v>
      </c>
      <c r="F402" t="s">
        <v>21</v>
      </c>
      <c r="G402">
        <v>1</v>
      </c>
      <c r="H402">
        <v>1211</v>
      </c>
      <c r="I402" t="s">
        <v>867</v>
      </c>
      <c r="J402">
        <v>112</v>
      </c>
      <c r="K402">
        <v>0.65680000000000005</v>
      </c>
      <c r="L402">
        <v>229</v>
      </c>
      <c r="M402" t="s">
        <v>345</v>
      </c>
      <c r="N402">
        <v>16.440999999999999</v>
      </c>
      <c r="O402">
        <v>40.828699999999998</v>
      </c>
      <c r="P402">
        <v>-125.134</v>
      </c>
      <c r="Q402" t="s">
        <v>868</v>
      </c>
      <c r="R402" t="s">
        <v>47</v>
      </c>
      <c r="S402" t="s">
        <v>145</v>
      </c>
      <c r="T402">
        <v>4</v>
      </c>
    </row>
    <row r="403" spans="1:20">
      <c r="A403" t="s">
        <v>1689</v>
      </c>
      <c r="B403">
        <v>6.6</v>
      </c>
      <c r="C403" t="s">
        <v>1690</v>
      </c>
      <c r="D403">
        <v>6</v>
      </c>
      <c r="E403">
        <v>6</v>
      </c>
      <c r="G403">
        <v>0</v>
      </c>
      <c r="H403">
        <v>754</v>
      </c>
      <c r="I403" t="s">
        <v>143</v>
      </c>
      <c r="J403">
        <v>0</v>
      </c>
      <c r="K403">
        <v>0</v>
      </c>
      <c r="L403">
        <v>0</v>
      </c>
      <c r="M403" t="s">
        <v>345</v>
      </c>
      <c r="N403">
        <v>131.80000000000001</v>
      </c>
      <c r="O403">
        <v>58.774999999999999</v>
      </c>
      <c r="P403">
        <v>-154.70099999999999</v>
      </c>
      <c r="Q403" t="s">
        <v>1691</v>
      </c>
      <c r="R403" t="s">
        <v>47</v>
      </c>
      <c r="S403" t="s">
        <v>145</v>
      </c>
      <c r="T403">
        <v>4</v>
      </c>
    </row>
    <row r="404" spans="1:20">
      <c r="A404" t="s">
        <v>455</v>
      </c>
      <c r="B404">
        <v>6.9</v>
      </c>
      <c r="C404" s="1">
        <v>43195.938888888886</v>
      </c>
      <c r="D404">
        <v>7</v>
      </c>
      <c r="E404">
        <v>8</v>
      </c>
      <c r="F404" t="s">
        <v>45</v>
      </c>
      <c r="G404">
        <v>1</v>
      </c>
      <c r="H404">
        <v>1392</v>
      </c>
      <c r="I404" t="s">
        <v>456</v>
      </c>
      <c r="J404">
        <v>63</v>
      </c>
      <c r="K404">
        <v>0.11</v>
      </c>
      <c r="L404">
        <v>210</v>
      </c>
      <c r="M404" t="s">
        <v>345</v>
      </c>
      <c r="N404">
        <v>5.81</v>
      </c>
      <c r="O404">
        <v>19.318200000000001</v>
      </c>
      <c r="P404">
        <v>-155</v>
      </c>
      <c r="Q404" t="s">
        <v>457</v>
      </c>
      <c r="R404" t="s">
        <v>47</v>
      </c>
      <c r="S404" t="s">
        <v>145</v>
      </c>
      <c r="T404">
        <v>4</v>
      </c>
    </row>
    <row r="405" spans="1:20">
      <c r="A405" t="s">
        <v>1712</v>
      </c>
      <c r="B405">
        <v>6.8</v>
      </c>
      <c r="C405" t="s">
        <v>1713</v>
      </c>
      <c r="D405">
        <v>7</v>
      </c>
      <c r="E405">
        <v>7</v>
      </c>
      <c r="G405">
        <v>0</v>
      </c>
      <c r="H405">
        <v>1441</v>
      </c>
      <c r="I405" t="s">
        <v>1714</v>
      </c>
      <c r="J405">
        <v>67</v>
      </c>
      <c r="K405">
        <v>0</v>
      </c>
      <c r="L405">
        <v>31</v>
      </c>
      <c r="M405" t="s">
        <v>1404</v>
      </c>
      <c r="N405">
        <v>51.798000000000002</v>
      </c>
      <c r="O405">
        <v>47.149000000000001</v>
      </c>
      <c r="P405">
        <v>-122.727</v>
      </c>
      <c r="Q405" t="s">
        <v>1715</v>
      </c>
      <c r="R405" t="s">
        <v>47</v>
      </c>
      <c r="S405" t="s">
        <v>145</v>
      </c>
      <c r="T405">
        <v>4</v>
      </c>
    </row>
    <row r="406" spans="1:20">
      <c r="A406" t="s">
        <v>1651</v>
      </c>
      <c r="B406">
        <v>7.1</v>
      </c>
      <c r="C406" t="s">
        <v>1652</v>
      </c>
      <c r="D406">
        <v>0</v>
      </c>
      <c r="E406">
        <v>7</v>
      </c>
      <c r="G406">
        <v>0</v>
      </c>
      <c r="H406">
        <v>776</v>
      </c>
      <c r="I406" t="s">
        <v>22</v>
      </c>
      <c r="J406">
        <v>257</v>
      </c>
      <c r="K406">
        <v>0</v>
      </c>
      <c r="L406">
        <v>0</v>
      </c>
      <c r="M406" t="s">
        <v>829</v>
      </c>
      <c r="N406">
        <v>85.7</v>
      </c>
      <c r="O406">
        <v>13.087999999999999</v>
      </c>
      <c r="P406">
        <v>144.619</v>
      </c>
      <c r="Q406" t="s">
        <v>1653</v>
      </c>
      <c r="R406" t="s">
        <v>47</v>
      </c>
      <c r="S406" t="s">
        <v>145</v>
      </c>
      <c r="T406">
        <v>4</v>
      </c>
    </row>
    <row r="407" spans="1:20">
      <c r="A407" t="s">
        <v>275</v>
      </c>
      <c r="B407">
        <v>6.5</v>
      </c>
      <c r="C407" t="s">
        <v>276</v>
      </c>
      <c r="D407">
        <v>7</v>
      </c>
      <c r="E407">
        <v>8</v>
      </c>
      <c r="F407" t="s">
        <v>21</v>
      </c>
      <c r="G407">
        <v>0</v>
      </c>
      <c r="H407">
        <v>1320</v>
      </c>
      <c r="I407" t="s">
        <v>277</v>
      </c>
      <c r="J407">
        <v>27</v>
      </c>
      <c r="K407">
        <v>0.35699999999999998</v>
      </c>
      <c r="L407">
        <v>55.79</v>
      </c>
      <c r="M407" t="s">
        <v>278</v>
      </c>
      <c r="N407">
        <v>2.7</v>
      </c>
      <c r="O407">
        <v>38.168900000000001</v>
      </c>
      <c r="P407">
        <v>-117.85</v>
      </c>
      <c r="Q407" t="s">
        <v>279</v>
      </c>
      <c r="R407" t="s">
        <v>47</v>
      </c>
      <c r="S407" t="s">
        <v>145</v>
      </c>
      <c r="T407">
        <v>4</v>
      </c>
    </row>
    <row r="408" spans="1:20">
      <c r="A408" t="s">
        <v>127</v>
      </c>
      <c r="B408">
        <v>6.8</v>
      </c>
      <c r="C408" s="1">
        <v>44866.482638888891</v>
      </c>
      <c r="D408">
        <v>7</v>
      </c>
      <c r="E408">
        <v>6</v>
      </c>
      <c r="F408" t="s">
        <v>21</v>
      </c>
      <c r="G408">
        <v>1</v>
      </c>
      <c r="H408">
        <v>730</v>
      </c>
      <c r="I408" t="s">
        <v>22</v>
      </c>
      <c r="J408">
        <v>0</v>
      </c>
      <c r="K408">
        <v>0.92</v>
      </c>
      <c r="L408">
        <v>61</v>
      </c>
      <c r="M408" t="s">
        <v>23</v>
      </c>
      <c r="N408">
        <v>20</v>
      </c>
      <c r="O408">
        <v>52.656300000000002</v>
      </c>
      <c r="P408">
        <v>-167.917</v>
      </c>
      <c r="Q408" t="s">
        <v>123</v>
      </c>
      <c r="R408" t="s">
        <v>47</v>
      </c>
      <c r="S408" t="s">
        <v>145</v>
      </c>
      <c r="T408">
        <v>4</v>
      </c>
    </row>
    <row r="409" spans="1:20">
      <c r="A409" t="s">
        <v>126</v>
      </c>
      <c r="B409">
        <v>6.7</v>
      </c>
      <c r="C409" s="1">
        <v>44866.482638888891</v>
      </c>
      <c r="D409">
        <v>0</v>
      </c>
      <c r="E409">
        <v>4</v>
      </c>
      <c r="G409">
        <v>1</v>
      </c>
      <c r="H409">
        <v>691</v>
      </c>
      <c r="I409" t="s">
        <v>121</v>
      </c>
      <c r="J409">
        <v>50</v>
      </c>
      <c r="K409">
        <v>0.93694299999999997</v>
      </c>
      <c r="L409">
        <v>126</v>
      </c>
      <c r="M409" t="s">
        <v>122</v>
      </c>
      <c r="N409">
        <v>33</v>
      </c>
      <c r="O409">
        <v>52.48</v>
      </c>
      <c r="P409">
        <v>-167.73599999999999</v>
      </c>
      <c r="Q409" t="s">
        <v>123</v>
      </c>
      <c r="R409" t="s">
        <v>47</v>
      </c>
      <c r="S409" t="s">
        <v>145</v>
      </c>
      <c r="T409">
        <v>4</v>
      </c>
    </row>
    <row r="410" spans="1:20">
      <c r="A410" t="s">
        <v>126</v>
      </c>
      <c r="B410">
        <v>6.7</v>
      </c>
      <c r="C410" s="1">
        <v>44866.482638888891</v>
      </c>
      <c r="D410">
        <v>0</v>
      </c>
      <c r="E410">
        <v>4</v>
      </c>
      <c r="G410">
        <v>1</v>
      </c>
      <c r="H410">
        <v>691</v>
      </c>
      <c r="I410" t="s">
        <v>124</v>
      </c>
      <c r="J410">
        <v>20</v>
      </c>
      <c r="K410">
        <v>0</v>
      </c>
      <c r="L410">
        <v>205.2</v>
      </c>
      <c r="M410" t="s">
        <v>122</v>
      </c>
      <c r="N410">
        <v>33</v>
      </c>
      <c r="O410">
        <v>52.48</v>
      </c>
      <c r="P410">
        <v>-167.73599999999999</v>
      </c>
      <c r="Q410" t="s">
        <v>123</v>
      </c>
      <c r="R410" t="s">
        <v>47</v>
      </c>
      <c r="S410" t="s">
        <v>145</v>
      </c>
      <c r="T410">
        <v>4</v>
      </c>
    </row>
    <row r="411" spans="1:20">
      <c r="A411" t="s">
        <v>125</v>
      </c>
      <c r="B411">
        <v>6.6</v>
      </c>
      <c r="C411" s="1">
        <v>44866.527083333334</v>
      </c>
      <c r="D411">
        <v>8</v>
      </c>
      <c r="E411">
        <v>5</v>
      </c>
      <c r="F411" t="s">
        <v>21</v>
      </c>
      <c r="G411">
        <v>1</v>
      </c>
      <c r="H411">
        <v>674</v>
      </c>
      <c r="I411" t="s">
        <v>22</v>
      </c>
      <c r="J411">
        <v>0</v>
      </c>
      <c r="K411">
        <v>0.50700000000000001</v>
      </c>
      <c r="L411">
        <v>49</v>
      </c>
      <c r="M411" t="s">
        <v>23</v>
      </c>
      <c r="N411">
        <v>19</v>
      </c>
      <c r="O411">
        <v>52.6252</v>
      </c>
      <c r="P411">
        <v>-168.15</v>
      </c>
      <c r="Q411" t="s">
        <v>123</v>
      </c>
      <c r="R411" t="s">
        <v>47</v>
      </c>
      <c r="S411" t="s">
        <v>145</v>
      </c>
      <c r="T411">
        <v>4</v>
      </c>
    </row>
    <row r="412" spans="1:20">
      <c r="A412" t="s">
        <v>120</v>
      </c>
      <c r="B412">
        <v>6.5</v>
      </c>
      <c r="C412" s="1">
        <v>44866.527083333334</v>
      </c>
      <c r="D412">
        <v>0</v>
      </c>
      <c r="E412">
        <v>3</v>
      </c>
      <c r="G412">
        <v>1</v>
      </c>
      <c r="H412">
        <v>650</v>
      </c>
      <c r="I412" t="s">
        <v>121</v>
      </c>
      <c r="J412">
        <v>97</v>
      </c>
      <c r="K412">
        <v>1.6160699999999999</v>
      </c>
      <c r="L412">
        <v>108</v>
      </c>
      <c r="M412" t="s">
        <v>122</v>
      </c>
      <c r="N412">
        <v>37</v>
      </c>
      <c r="O412">
        <v>52.502000000000002</v>
      </c>
      <c r="P412">
        <v>-168.08</v>
      </c>
      <c r="Q412" t="s">
        <v>123</v>
      </c>
      <c r="R412" t="s">
        <v>47</v>
      </c>
      <c r="S412" t="s">
        <v>145</v>
      </c>
      <c r="T412">
        <v>4</v>
      </c>
    </row>
    <row r="413" spans="1:20">
      <c r="A413" t="s">
        <v>120</v>
      </c>
      <c r="B413">
        <v>6.5</v>
      </c>
      <c r="C413" s="1">
        <v>44866.527083333334</v>
      </c>
      <c r="D413">
        <v>0</v>
      </c>
      <c r="E413">
        <v>3</v>
      </c>
      <c r="G413">
        <v>1</v>
      </c>
      <c r="H413">
        <v>650</v>
      </c>
      <c r="I413" t="s">
        <v>124</v>
      </c>
      <c r="J413">
        <v>23</v>
      </c>
      <c r="K413">
        <v>0</v>
      </c>
      <c r="L413">
        <v>208.8</v>
      </c>
      <c r="M413" t="s">
        <v>122</v>
      </c>
      <c r="N413">
        <v>37</v>
      </c>
      <c r="O413">
        <v>52.502000000000002</v>
      </c>
      <c r="P413">
        <v>-168.08</v>
      </c>
      <c r="Q413" t="s">
        <v>123</v>
      </c>
      <c r="R413" t="s">
        <v>47</v>
      </c>
      <c r="S413" t="s">
        <v>145</v>
      </c>
      <c r="T413">
        <v>4</v>
      </c>
    </row>
    <row r="414" spans="1:20">
      <c r="A414" t="s">
        <v>1731</v>
      </c>
      <c r="B414">
        <v>6.9</v>
      </c>
      <c r="C414" s="1">
        <v>37165.668055555558</v>
      </c>
      <c r="D414">
        <v>5</v>
      </c>
      <c r="E414">
        <v>7</v>
      </c>
      <c r="G414">
        <v>0</v>
      </c>
      <c r="H414">
        <v>745</v>
      </c>
      <c r="I414" t="s">
        <v>143</v>
      </c>
      <c r="J414">
        <v>0</v>
      </c>
      <c r="K414">
        <v>0</v>
      </c>
      <c r="L414">
        <v>0</v>
      </c>
      <c r="M414" t="s">
        <v>345</v>
      </c>
      <c r="N414">
        <v>36.4</v>
      </c>
      <c r="O414">
        <v>56.7744</v>
      </c>
      <c r="P414">
        <v>-153.28100000000001</v>
      </c>
      <c r="Q414" t="s">
        <v>1732</v>
      </c>
      <c r="R414" t="s">
        <v>47</v>
      </c>
      <c r="S414" t="s">
        <v>145</v>
      </c>
      <c r="T414">
        <v>4</v>
      </c>
    </row>
    <row r="415" spans="1:20">
      <c r="A415" t="s">
        <v>658</v>
      </c>
      <c r="B415">
        <v>7.1</v>
      </c>
      <c r="C415" t="s">
        <v>659</v>
      </c>
      <c r="D415">
        <v>7</v>
      </c>
      <c r="E415">
        <v>7</v>
      </c>
      <c r="F415" t="s">
        <v>21</v>
      </c>
      <c r="G415">
        <v>1</v>
      </c>
      <c r="H415">
        <v>1496</v>
      </c>
      <c r="I415" t="s">
        <v>143</v>
      </c>
      <c r="J415">
        <v>0</v>
      </c>
      <c r="K415">
        <v>0</v>
      </c>
      <c r="L415">
        <v>0</v>
      </c>
      <c r="M415" t="s">
        <v>345</v>
      </c>
      <c r="N415">
        <v>125.6</v>
      </c>
      <c r="O415">
        <v>59.620399999999997</v>
      </c>
      <c r="P415">
        <v>-153.339</v>
      </c>
      <c r="Q415" t="s">
        <v>660</v>
      </c>
      <c r="R415" t="s">
        <v>47</v>
      </c>
      <c r="S415" t="s">
        <v>145</v>
      </c>
      <c r="T415">
        <v>4</v>
      </c>
    </row>
    <row r="416" spans="1:20">
      <c r="A416" t="s">
        <v>178</v>
      </c>
      <c r="B416">
        <v>8.1999999999999993</v>
      </c>
      <c r="C416" t="s">
        <v>179</v>
      </c>
      <c r="D416">
        <v>8</v>
      </c>
      <c r="E416">
        <v>6</v>
      </c>
      <c r="F416" t="s">
        <v>21</v>
      </c>
      <c r="G416">
        <v>1</v>
      </c>
      <c r="H416">
        <v>1237</v>
      </c>
      <c r="I416" t="s">
        <v>22</v>
      </c>
      <c r="J416">
        <v>0</v>
      </c>
      <c r="K416">
        <v>0.875</v>
      </c>
      <c r="L416">
        <v>66</v>
      </c>
      <c r="M416" t="s">
        <v>23</v>
      </c>
      <c r="N416">
        <v>46.66</v>
      </c>
      <c r="O416">
        <v>55.474200000000003</v>
      </c>
      <c r="P416">
        <v>-157.917</v>
      </c>
      <c r="Q416" t="s">
        <v>172</v>
      </c>
      <c r="R416" t="s">
        <v>47</v>
      </c>
      <c r="S416" t="s">
        <v>145</v>
      </c>
      <c r="T416">
        <v>4</v>
      </c>
    </row>
    <row r="417" spans="1:20">
      <c r="A417" t="s">
        <v>180</v>
      </c>
      <c r="B417">
        <v>8.1999999999999993</v>
      </c>
      <c r="C417" t="s">
        <v>179</v>
      </c>
      <c r="D417">
        <v>8</v>
      </c>
      <c r="E417">
        <v>7</v>
      </c>
      <c r="F417" t="s">
        <v>45</v>
      </c>
      <c r="G417">
        <v>1</v>
      </c>
      <c r="H417">
        <v>1252</v>
      </c>
      <c r="I417" t="s">
        <v>143</v>
      </c>
      <c r="J417">
        <v>0</v>
      </c>
      <c r="K417">
        <v>0</v>
      </c>
      <c r="L417">
        <v>0</v>
      </c>
      <c r="M417" t="s">
        <v>23</v>
      </c>
      <c r="N417">
        <v>35</v>
      </c>
      <c r="O417">
        <v>55.315399999999997</v>
      </c>
      <c r="P417">
        <v>-157.82900000000001</v>
      </c>
      <c r="Q417" t="s">
        <v>172</v>
      </c>
      <c r="R417" t="s">
        <v>47</v>
      </c>
      <c r="S417" t="s">
        <v>145</v>
      </c>
      <c r="T417">
        <v>4</v>
      </c>
    </row>
    <row r="418" spans="1:20">
      <c r="A418" t="s">
        <v>258</v>
      </c>
      <c r="B418">
        <v>7.8</v>
      </c>
      <c r="C418" t="s">
        <v>259</v>
      </c>
      <c r="D418">
        <v>9</v>
      </c>
      <c r="E418">
        <v>7</v>
      </c>
      <c r="F418" t="s">
        <v>21</v>
      </c>
      <c r="G418">
        <v>1</v>
      </c>
      <c r="H418">
        <v>1111</v>
      </c>
      <c r="I418" t="s">
        <v>22</v>
      </c>
      <c r="J418">
        <v>0</v>
      </c>
      <c r="K418">
        <v>0.621</v>
      </c>
      <c r="L418">
        <v>60</v>
      </c>
      <c r="M418" t="s">
        <v>23</v>
      </c>
      <c r="N418">
        <v>28</v>
      </c>
      <c r="O418">
        <v>55.107900000000001</v>
      </c>
      <c r="P418">
        <v>-158.477</v>
      </c>
      <c r="Q418" t="s">
        <v>172</v>
      </c>
      <c r="R418" t="s">
        <v>47</v>
      </c>
      <c r="S418" t="s">
        <v>145</v>
      </c>
      <c r="T418">
        <v>4</v>
      </c>
    </row>
    <row r="419" spans="1:20">
      <c r="A419" t="s">
        <v>170</v>
      </c>
      <c r="B419">
        <v>6.9</v>
      </c>
      <c r="C419" t="s">
        <v>171</v>
      </c>
      <c r="D419">
        <v>5</v>
      </c>
      <c r="E419">
        <v>4</v>
      </c>
      <c r="F419" t="s">
        <v>21</v>
      </c>
      <c r="G419">
        <v>1</v>
      </c>
      <c r="H419">
        <v>738</v>
      </c>
      <c r="I419" t="s">
        <v>143</v>
      </c>
      <c r="J419">
        <v>0</v>
      </c>
      <c r="K419">
        <v>0</v>
      </c>
      <c r="L419">
        <v>0</v>
      </c>
      <c r="M419" t="s">
        <v>23</v>
      </c>
      <c r="N419">
        <v>33.299999999999997</v>
      </c>
      <c r="O419">
        <v>55.236400000000003</v>
      </c>
      <c r="P419">
        <v>-157.70699999999999</v>
      </c>
      <c r="Q419" t="s">
        <v>172</v>
      </c>
      <c r="R419" t="s">
        <v>47</v>
      </c>
      <c r="S419" t="s">
        <v>145</v>
      </c>
      <c r="T419">
        <v>4</v>
      </c>
    </row>
    <row r="420" spans="1:20">
      <c r="A420" t="s">
        <v>173</v>
      </c>
      <c r="B420">
        <v>6.9</v>
      </c>
      <c r="C420" t="s">
        <v>171</v>
      </c>
      <c r="D420">
        <v>5</v>
      </c>
      <c r="E420">
        <v>4</v>
      </c>
      <c r="F420" t="s">
        <v>21</v>
      </c>
      <c r="G420">
        <v>1</v>
      </c>
      <c r="H420">
        <v>738</v>
      </c>
      <c r="I420" t="s">
        <v>22</v>
      </c>
      <c r="J420">
        <v>0</v>
      </c>
      <c r="K420">
        <v>1.173</v>
      </c>
      <c r="L420">
        <v>36</v>
      </c>
      <c r="M420" t="s">
        <v>23</v>
      </c>
      <c r="N420">
        <v>20.74</v>
      </c>
      <c r="O420">
        <v>55.265700000000002</v>
      </c>
      <c r="P420">
        <v>-157.68</v>
      </c>
      <c r="Q420" t="s">
        <v>172</v>
      </c>
      <c r="R420" t="s">
        <v>47</v>
      </c>
      <c r="S420" t="s">
        <v>145</v>
      </c>
      <c r="T420">
        <v>4</v>
      </c>
    </row>
    <row r="421" spans="1:20">
      <c r="A421" t="s">
        <v>393</v>
      </c>
      <c r="B421">
        <v>7.1</v>
      </c>
      <c r="C421" t="s">
        <v>394</v>
      </c>
      <c r="D421">
        <v>8</v>
      </c>
      <c r="E421">
        <v>8</v>
      </c>
      <c r="F421" t="s">
        <v>66</v>
      </c>
      <c r="G421">
        <v>1</v>
      </c>
      <c r="H421">
        <v>1790</v>
      </c>
      <c r="I421" t="s">
        <v>143</v>
      </c>
      <c r="J421">
        <v>0</v>
      </c>
      <c r="K421">
        <v>0</v>
      </c>
      <c r="L421">
        <v>0</v>
      </c>
      <c r="M421" t="s">
        <v>345</v>
      </c>
      <c r="N421">
        <v>46.7</v>
      </c>
      <c r="O421">
        <v>61.346400000000003</v>
      </c>
      <c r="P421">
        <v>-149.95500000000001</v>
      </c>
      <c r="Q421" t="s">
        <v>395</v>
      </c>
      <c r="R421" t="s">
        <v>47</v>
      </c>
      <c r="S421" t="s">
        <v>145</v>
      </c>
      <c r="T421">
        <v>4</v>
      </c>
    </row>
    <row r="422" spans="1:20">
      <c r="A422" t="s">
        <v>1402</v>
      </c>
      <c r="B422">
        <v>6.7</v>
      </c>
      <c r="C422" t="s">
        <v>1403</v>
      </c>
      <c r="D422">
        <v>8</v>
      </c>
      <c r="E422">
        <v>9</v>
      </c>
      <c r="G422">
        <v>0</v>
      </c>
      <c r="H422">
        <v>1481</v>
      </c>
      <c r="I422" t="s">
        <v>456</v>
      </c>
      <c r="J422">
        <v>43</v>
      </c>
      <c r="K422">
        <v>0</v>
      </c>
      <c r="L422">
        <v>124</v>
      </c>
      <c r="M422" t="s">
        <v>1404</v>
      </c>
      <c r="N422">
        <v>38.182000000000002</v>
      </c>
      <c r="O422">
        <v>19.876999999999999</v>
      </c>
      <c r="P422">
        <v>-155.935</v>
      </c>
      <c r="Q422" t="s">
        <v>1405</v>
      </c>
      <c r="R422" t="s">
        <v>47</v>
      </c>
      <c r="S422" t="s">
        <v>145</v>
      </c>
      <c r="T422">
        <v>4</v>
      </c>
    </row>
    <row r="423" spans="1:20">
      <c r="A423" t="s">
        <v>824</v>
      </c>
      <c r="B423">
        <v>7.9</v>
      </c>
      <c r="C423" t="s">
        <v>825</v>
      </c>
      <c r="D423">
        <v>6</v>
      </c>
      <c r="E423">
        <v>8</v>
      </c>
      <c r="F423" t="s">
        <v>21</v>
      </c>
      <c r="G423">
        <v>1</v>
      </c>
      <c r="H423">
        <v>963</v>
      </c>
      <c r="I423" t="s">
        <v>22</v>
      </c>
      <c r="J423">
        <v>0</v>
      </c>
      <c r="K423">
        <v>0.13300000000000001</v>
      </c>
      <c r="L423">
        <v>22</v>
      </c>
      <c r="M423" t="s">
        <v>23</v>
      </c>
      <c r="N423">
        <v>109</v>
      </c>
      <c r="O423">
        <v>51.848599999999998</v>
      </c>
      <c r="P423">
        <v>178.73500000000001</v>
      </c>
      <c r="Q423" t="s">
        <v>826</v>
      </c>
      <c r="R423" t="s">
        <v>47</v>
      </c>
      <c r="S423" t="s">
        <v>145</v>
      </c>
      <c r="T423">
        <v>4</v>
      </c>
    </row>
    <row r="424" spans="1:20">
      <c r="A424" t="s">
        <v>1569</v>
      </c>
      <c r="B424">
        <v>6.5</v>
      </c>
      <c r="C424" t="s">
        <v>1570</v>
      </c>
      <c r="D424">
        <v>7</v>
      </c>
      <c r="E424">
        <v>9</v>
      </c>
      <c r="G424">
        <v>0</v>
      </c>
      <c r="H424">
        <v>1390</v>
      </c>
      <c r="I424" t="s">
        <v>867</v>
      </c>
      <c r="J424">
        <v>65</v>
      </c>
      <c r="K424">
        <v>4.6850000000000003E-2</v>
      </c>
      <c r="L424">
        <v>71</v>
      </c>
      <c r="M424" t="s">
        <v>345</v>
      </c>
      <c r="N424">
        <v>8.3819999999999997</v>
      </c>
      <c r="O424">
        <v>35.700499999999998</v>
      </c>
      <c r="P424">
        <v>-121.101</v>
      </c>
      <c r="Q424" t="s">
        <v>1571</v>
      </c>
      <c r="R424" t="s">
        <v>47</v>
      </c>
      <c r="S424" t="s">
        <v>145</v>
      </c>
      <c r="T424">
        <v>4</v>
      </c>
    </row>
    <row r="425" spans="1:20">
      <c r="A425" t="s">
        <v>236</v>
      </c>
      <c r="B425">
        <v>7.6</v>
      </c>
      <c r="C425" t="s">
        <v>237</v>
      </c>
      <c r="D425">
        <v>9</v>
      </c>
      <c r="E425">
        <v>7</v>
      </c>
      <c r="F425" t="s">
        <v>45</v>
      </c>
      <c r="G425">
        <v>1</v>
      </c>
      <c r="H425">
        <v>1165</v>
      </c>
      <c r="I425" t="s">
        <v>22</v>
      </c>
      <c r="J425">
        <v>0</v>
      </c>
      <c r="K425">
        <v>0.23</v>
      </c>
      <c r="L425">
        <v>36</v>
      </c>
      <c r="M425" t="s">
        <v>23</v>
      </c>
      <c r="N425">
        <v>28.37</v>
      </c>
      <c r="O425">
        <v>54.661999999999999</v>
      </c>
      <c r="P425">
        <v>-159.67500000000001</v>
      </c>
      <c r="Q425" t="s">
        <v>238</v>
      </c>
      <c r="R425" t="s">
        <v>47</v>
      </c>
      <c r="S425" t="s">
        <v>145</v>
      </c>
      <c r="T425">
        <v>4</v>
      </c>
    </row>
    <row r="426" spans="1:20">
      <c r="A426" t="s">
        <v>343</v>
      </c>
      <c r="B426">
        <v>7.1</v>
      </c>
      <c r="C426" s="1">
        <v>43623.138194444444</v>
      </c>
      <c r="D426">
        <v>9</v>
      </c>
      <c r="E426">
        <v>9</v>
      </c>
      <c r="F426" t="s">
        <v>45</v>
      </c>
      <c r="G426">
        <v>0</v>
      </c>
      <c r="H426">
        <v>1646</v>
      </c>
      <c r="I426" t="s">
        <v>344</v>
      </c>
      <c r="J426">
        <v>77</v>
      </c>
      <c r="K426">
        <v>4.616E-2</v>
      </c>
      <c r="L426">
        <v>43</v>
      </c>
      <c r="M426" t="s">
        <v>345</v>
      </c>
      <c r="N426">
        <v>8</v>
      </c>
      <c r="O426">
        <v>35.769500000000001</v>
      </c>
      <c r="P426">
        <v>-117.599</v>
      </c>
      <c r="Q426" t="s">
        <v>346</v>
      </c>
      <c r="R426" t="s">
        <v>47</v>
      </c>
      <c r="S426" t="s">
        <v>145</v>
      </c>
      <c r="T426">
        <v>4</v>
      </c>
    </row>
    <row r="427" spans="1:20">
      <c r="A427" t="s">
        <v>286</v>
      </c>
      <c r="B427">
        <v>6.5</v>
      </c>
      <c r="C427" t="s">
        <v>287</v>
      </c>
      <c r="D427">
        <v>8</v>
      </c>
      <c r="E427">
        <v>8</v>
      </c>
      <c r="F427" t="s">
        <v>21</v>
      </c>
      <c r="G427">
        <v>0</v>
      </c>
      <c r="H427">
        <v>1410</v>
      </c>
      <c r="I427" t="s">
        <v>22</v>
      </c>
      <c r="J427">
        <v>0</v>
      </c>
      <c r="K427">
        <v>0.88500000000000001</v>
      </c>
      <c r="L427">
        <v>31</v>
      </c>
      <c r="M427" t="s">
        <v>23</v>
      </c>
      <c r="N427">
        <v>12.06</v>
      </c>
      <c r="O427">
        <v>44.464599999999997</v>
      </c>
      <c r="P427">
        <v>-115.11799999999999</v>
      </c>
      <c r="Q427" t="s">
        <v>288</v>
      </c>
      <c r="R427" t="s">
        <v>47</v>
      </c>
      <c r="S427" t="s">
        <v>145</v>
      </c>
      <c r="T427">
        <v>4</v>
      </c>
    </row>
    <row r="428" spans="1:20">
      <c r="A428" t="s">
        <v>744</v>
      </c>
      <c r="B428">
        <v>6.8</v>
      </c>
      <c r="C428" t="s">
        <v>745</v>
      </c>
      <c r="D428">
        <v>5</v>
      </c>
      <c r="E428">
        <v>6</v>
      </c>
      <c r="F428" t="s">
        <v>21</v>
      </c>
      <c r="G428">
        <v>1</v>
      </c>
      <c r="H428">
        <v>762</v>
      </c>
      <c r="I428" t="s">
        <v>143</v>
      </c>
      <c r="J428">
        <v>0</v>
      </c>
      <c r="K428">
        <v>0</v>
      </c>
      <c r="L428">
        <v>0</v>
      </c>
      <c r="M428" t="s">
        <v>345</v>
      </c>
      <c r="N428">
        <v>72.599999999999994</v>
      </c>
      <c r="O428">
        <v>56.594000000000001</v>
      </c>
      <c r="P428">
        <v>-156.43</v>
      </c>
      <c r="Q428" t="s">
        <v>746</v>
      </c>
      <c r="R428" t="s">
        <v>47</v>
      </c>
      <c r="S428" t="s">
        <v>145</v>
      </c>
      <c r="T428">
        <v>4</v>
      </c>
    </row>
    <row r="429" spans="1:20">
      <c r="A429" t="s">
        <v>1510</v>
      </c>
      <c r="B429">
        <v>6.8</v>
      </c>
      <c r="C429" t="s">
        <v>1511</v>
      </c>
      <c r="D429">
        <v>5</v>
      </c>
      <c r="E429">
        <v>6</v>
      </c>
      <c r="G429">
        <v>0</v>
      </c>
      <c r="H429">
        <v>858</v>
      </c>
      <c r="I429" t="s">
        <v>22</v>
      </c>
      <c r="J429">
        <v>639</v>
      </c>
      <c r="K429">
        <v>0</v>
      </c>
      <c r="L429">
        <v>21.8</v>
      </c>
      <c r="M429" t="s">
        <v>36</v>
      </c>
      <c r="N429">
        <v>10</v>
      </c>
      <c r="O429">
        <v>18.957999999999998</v>
      </c>
      <c r="P429">
        <v>-81.409000000000006</v>
      </c>
      <c r="Q429" t="s">
        <v>1512</v>
      </c>
      <c r="R429" t="s">
        <v>47</v>
      </c>
      <c r="T429">
        <v>4</v>
      </c>
    </row>
    <row r="430" spans="1:20">
      <c r="A430" t="s">
        <v>374</v>
      </c>
      <c r="B430">
        <v>6.7</v>
      </c>
      <c r="C430" t="s">
        <v>375</v>
      </c>
      <c r="D430">
        <v>0</v>
      </c>
      <c r="E430">
        <v>3</v>
      </c>
      <c r="F430" t="s">
        <v>21</v>
      </c>
      <c r="G430">
        <v>0</v>
      </c>
      <c r="H430">
        <v>691</v>
      </c>
      <c r="I430" t="s">
        <v>22</v>
      </c>
      <c r="J430">
        <v>0</v>
      </c>
      <c r="K430">
        <v>7.5270000000000001</v>
      </c>
      <c r="L430">
        <v>17</v>
      </c>
      <c r="M430" t="s">
        <v>23</v>
      </c>
      <c r="N430">
        <v>13</v>
      </c>
      <c r="O430">
        <v>-43.121899999999997</v>
      </c>
      <c r="P430">
        <v>42.3568</v>
      </c>
      <c r="Q430" t="s">
        <v>376</v>
      </c>
      <c r="R430" t="s">
        <v>47</v>
      </c>
      <c r="T430">
        <v>4</v>
      </c>
    </row>
    <row r="431" spans="1:20">
      <c r="A431" t="s">
        <v>338</v>
      </c>
      <c r="B431">
        <v>6.6</v>
      </c>
      <c r="C431" t="s">
        <v>339</v>
      </c>
      <c r="D431">
        <v>5</v>
      </c>
      <c r="E431">
        <v>5</v>
      </c>
      <c r="F431" t="s">
        <v>21</v>
      </c>
      <c r="G431">
        <v>0</v>
      </c>
      <c r="H431">
        <v>791</v>
      </c>
      <c r="I431" t="s">
        <v>22</v>
      </c>
      <c r="J431">
        <v>0</v>
      </c>
      <c r="K431">
        <v>2.9780000000000002</v>
      </c>
      <c r="L431">
        <v>32</v>
      </c>
      <c r="M431" t="s">
        <v>23</v>
      </c>
      <c r="N431">
        <v>10</v>
      </c>
      <c r="O431">
        <v>-18.2242</v>
      </c>
      <c r="P431">
        <v>120.358</v>
      </c>
      <c r="Q431" t="s">
        <v>340</v>
      </c>
      <c r="R431" t="s">
        <v>25</v>
      </c>
      <c r="S431" t="s">
        <v>1737</v>
      </c>
      <c r="T431">
        <v>5</v>
      </c>
    </row>
    <row r="432" spans="1:20">
      <c r="A432" t="s">
        <v>1209</v>
      </c>
      <c r="B432">
        <v>7.3</v>
      </c>
      <c r="C432" s="1">
        <v>40067.447222222225</v>
      </c>
      <c r="D432">
        <v>0</v>
      </c>
      <c r="E432">
        <v>4</v>
      </c>
      <c r="G432">
        <v>0</v>
      </c>
      <c r="H432">
        <v>820</v>
      </c>
      <c r="I432" t="s">
        <v>22</v>
      </c>
      <c r="J432">
        <v>430</v>
      </c>
      <c r="K432">
        <v>0</v>
      </c>
      <c r="L432">
        <v>15</v>
      </c>
      <c r="M432" t="s">
        <v>829</v>
      </c>
      <c r="N432">
        <v>595</v>
      </c>
      <c r="O432">
        <v>-17.239000000000001</v>
      </c>
      <c r="P432">
        <v>178.33099999999999</v>
      </c>
      <c r="Q432" t="s">
        <v>1210</v>
      </c>
      <c r="R432" t="s">
        <v>25</v>
      </c>
      <c r="S432" t="s">
        <v>31</v>
      </c>
      <c r="T432">
        <v>5</v>
      </c>
    </row>
    <row r="433" spans="1:20">
      <c r="A433" t="s">
        <v>610</v>
      </c>
      <c r="B433">
        <v>6.9</v>
      </c>
      <c r="C433" t="s">
        <v>611</v>
      </c>
      <c r="D433">
        <v>2</v>
      </c>
      <c r="E433">
        <v>3</v>
      </c>
      <c r="F433" t="s">
        <v>21</v>
      </c>
      <c r="G433">
        <v>1</v>
      </c>
      <c r="H433">
        <v>733</v>
      </c>
      <c r="I433" t="s">
        <v>22</v>
      </c>
      <c r="J433">
        <v>0</v>
      </c>
      <c r="K433">
        <v>4.0510000000000002</v>
      </c>
      <c r="L433">
        <v>9</v>
      </c>
      <c r="M433" t="s">
        <v>23</v>
      </c>
      <c r="N433">
        <v>596.4</v>
      </c>
      <c r="O433">
        <v>-19.7819</v>
      </c>
      <c r="P433">
        <v>-178.244</v>
      </c>
      <c r="Q433" t="s">
        <v>612</v>
      </c>
      <c r="R433" t="s">
        <v>25</v>
      </c>
      <c r="S433" t="s">
        <v>31</v>
      </c>
      <c r="T433">
        <v>5</v>
      </c>
    </row>
    <row r="434" spans="1:20">
      <c r="A434" t="s">
        <v>610</v>
      </c>
      <c r="B434">
        <v>6.9</v>
      </c>
      <c r="C434" t="s">
        <v>816</v>
      </c>
      <c r="D434">
        <v>0</v>
      </c>
      <c r="E434">
        <v>6</v>
      </c>
      <c r="F434" t="s">
        <v>21</v>
      </c>
      <c r="G434">
        <v>1</v>
      </c>
      <c r="H434">
        <v>732</v>
      </c>
      <c r="I434" t="s">
        <v>22</v>
      </c>
      <c r="J434">
        <v>0</v>
      </c>
      <c r="K434">
        <v>3.9340000000000002</v>
      </c>
      <c r="L434">
        <v>15</v>
      </c>
      <c r="M434" t="s">
        <v>23</v>
      </c>
      <c r="N434">
        <v>615.41999999999996</v>
      </c>
      <c r="O434">
        <v>-19.801500000000001</v>
      </c>
      <c r="P434">
        <v>-178.4</v>
      </c>
      <c r="Q434" t="s">
        <v>612</v>
      </c>
      <c r="R434" t="s">
        <v>25</v>
      </c>
      <c r="S434" t="s">
        <v>31</v>
      </c>
      <c r="T434">
        <v>5</v>
      </c>
    </row>
    <row r="435" spans="1:20">
      <c r="A435" t="s">
        <v>804</v>
      </c>
      <c r="B435">
        <v>7.1</v>
      </c>
      <c r="C435" s="1">
        <v>41650.789583333331</v>
      </c>
      <c r="D435">
        <v>3</v>
      </c>
      <c r="E435">
        <v>6</v>
      </c>
      <c r="F435" t="s">
        <v>21</v>
      </c>
      <c r="G435">
        <v>1</v>
      </c>
      <c r="H435">
        <v>776</v>
      </c>
      <c r="I435" t="s">
        <v>22</v>
      </c>
      <c r="J435">
        <v>0</v>
      </c>
      <c r="K435">
        <v>4.415</v>
      </c>
      <c r="L435">
        <v>13</v>
      </c>
      <c r="M435" t="s">
        <v>23</v>
      </c>
      <c r="N435">
        <v>434</v>
      </c>
      <c r="O435">
        <v>-19.690300000000001</v>
      </c>
      <c r="P435">
        <v>-177.75899999999999</v>
      </c>
      <c r="Q435" t="s">
        <v>612</v>
      </c>
      <c r="R435" t="s">
        <v>25</v>
      </c>
      <c r="S435" t="s">
        <v>31</v>
      </c>
      <c r="T435">
        <v>5</v>
      </c>
    </row>
    <row r="436" spans="1:20">
      <c r="A436" t="s">
        <v>879</v>
      </c>
      <c r="B436">
        <v>6.5</v>
      </c>
      <c r="C436" t="s">
        <v>880</v>
      </c>
      <c r="D436">
        <v>3</v>
      </c>
      <c r="E436">
        <v>4</v>
      </c>
      <c r="F436" t="s">
        <v>21</v>
      </c>
      <c r="G436">
        <v>0</v>
      </c>
      <c r="H436">
        <v>651</v>
      </c>
      <c r="I436" t="s">
        <v>22</v>
      </c>
      <c r="J436">
        <v>0</v>
      </c>
      <c r="K436">
        <v>5.194</v>
      </c>
      <c r="L436">
        <v>22</v>
      </c>
      <c r="M436" t="s">
        <v>23</v>
      </c>
      <c r="N436">
        <v>371</v>
      </c>
      <c r="O436">
        <v>-17.117100000000001</v>
      </c>
      <c r="P436">
        <v>-176.54499999999999</v>
      </c>
      <c r="Q436" t="s">
        <v>612</v>
      </c>
      <c r="R436" t="s">
        <v>25</v>
      </c>
      <c r="S436" t="s">
        <v>31</v>
      </c>
      <c r="T436">
        <v>5</v>
      </c>
    </row>
    <row r="437" spans="1:20">
      <c r="A437" t="s">
        <v>1434</v>
      </c>
      <c r="B437">
        <v>6.5</v>
      </c>
      <c r="C437" s="1">
        <v>38902.354166666664</v>
      </c>
      <c r="D437">
        <v>3</v>
      </c>
      <c r="E437">
        <v>5</v>
      </c>
      <c r="G437">
        <v>0</v>
      </c>
      <c r="H437">
        <v>654</v>
      </c>
      <c r="I437" t="s">
        <v>22</v>
      </c>
      <c r="J437">
        <v>247</v>
      </c>
      <c r="K437">
        <v>0</v>
      </c>
      <c r="L437">
        <v>25.5</v>
      </c>
      <c r="M437" t="s">
        <v>829</v>
      </c>
      <c r="N437">
        <v>14</v>
      </c>
      <c r="O437">
        <v>-16.527000000000001</v>
      </c>
      <c r="P437">
        <v>176.989</v>
      </c>
      <c r="Q437" t="s">
        <v>1435</v>
      </c>
      <c r="R437" t="s">
        <v>25</v>
      </c>
      <c r="S437" t="s">
        <v>31</v>
      </c>
      <c r="T437">
        <v>5</v>
      </c>
    </row>
    <row r="438" spans="1:20">
      <c r="A438" t="s">
        <v>446</v>
      </c>
      <c r="B438">
        <v>8.1999999999999993</v>
      </c>
      <c r="C438" t="s">
        <v>447</v>
      </c>
      <c r="D438">
        <v>5</v>
      </c>
      <c r="E438">
        <v>4</v>
      </c>
      <c r="F438" t="s">
        <v>21</v>
      </c>
      <c r="G438">
        <v>1</v>
      </c>
      <c r="H438">
        <v>1050</v>
      </c>
      <c r="I438" t="s">
        <v>22</v>
      </c>
      <c r="J438">
        <v>0</v>
      </c>
      <c r="K438">
        <v>3.63</v>
      </c>
      <c r="L438">
        <v>13</v>
      </c>
      <c r="M438" t="s">
        <v>23</v>
      </c>
      <c r="N438">
        <v>600</v>
      </c>
      <c r="O438">
        <v>-18.112500000000001</v>
      </c>
      <c r="P438">
        <v>-178.15299999999999</v>
      </c>
      <c r="Q438" t="s">
        <v>398</v>
      </c>
      <c r="R438" t="s">
        <v>25</v>
      </c>
      <c r="S438" t="s">
        <v>31</v>
      </c>
      <c r="T438">
        <v>5</v>
      </c>
    </row>
    <row r="439" spans="1:20">
      <c r="A439" t="s">
        <v>429</v>
      </c>
      <c r="B439">
        <v>7.9</v>
      </c>
      <c r="C439" s="1">
        <v>43260.65902777778</v>
      </c>
      <c r="D439">
        <v>7</v>
      </c>
      <c r="E439">
        <v>4</v>
      </c>
      <c r="F439" t="s">
        <v>21</v>
      </c>
      <c r="G439">
        <v>1</v>
      </c>
      <c r="H439">
        <v>979</v>
      </c>
      <c r="I439" t="s">
        <v>22</v>
      </c>
      <c r="J439">
        <v>0</v>
      </c>
      <c r="K439">
        <v>1.431</v>
      </c>
      <c r="L439">
        <v>12</v>
      </c>
      <c r="M439" t="s">
        <v>23</v>
      </c>
      <c r="N439">
        <v>670.81</v>
      </c>
      <c r="O439">
        <v>-18.474299999999999</v>
      </c>
      <c r="P439">
        <v>179.35</v>
      </c>
      <c r="Q439" t="s">
        <v>398</v>
      </c>
      <c r="R439" t="s">
        <v>25</v>
      </c>
      <c r="S439" t="s">
        <v>31</v>
      </c>
      <c r="T439">
        <v>5</v>
      </c>
    </row>
    <row r="440" spans="1:20">
      <c r="A440" t="s">
        <v>396</v>
      </c>
      <c r="B440">
        <v>6.8</v>
      </c>
      <c r="C440" t="s">
        <v>397</v>
      </c>
      <c r="D440">
        <v>0</v>
      </c>
      <c r="E440">
        <v>3</v>
      </c>
      <c r="F440" t="s">
        <v>21</v>
      </c>
      <c r="G440">
        <v>1</v>
      </c>
      <c r="H440">
        <v>711</v>
      </c>
      <c r="I440" t="s">
        <v>22</v>
      </c>
      <c r="J440">
        <v>0</v>
      </c>
      <c r="K440">
        <v>2.879</v>
      </c>
      <c r="L440">
        <v>39</v>
      </c>
      <c r="M440" t="s">
        <v>23</v>
      </c>
      <c r="N440">
        <v>540</v>
      </c>
      <c r="O440">
        <v>-17.8735</v>
      </c>
      <c r="P440">
        <v>-178.92699999999999</v>
      </c>
      <c r="Q440" t="s">
        <v>398</v>
      </c>
      <c r="R440" t="s">
        <v>25</v>
      </c>
      <c r="S440" t="s">
        <v>31</v>
      </c>
      <c r="T440">
        <v>5</v>
      </c>
    </row>
    <row r="441" spans="1:20">
      <c r="A441" t="s">
        <v>419</v>
      </c>
      <c r="B441">
        <v>6.7</v>
      </c>
      <c r="C441" t="s">
        <v>420</v>
      </c>
      <c r="D441">
        <v>2</v>
      </c>
      <c r="E441">
        <v>3</v>
      </c>
      <c r="F441" t="s">
        <v>21</v>
      </c>
      <c r="G441">
        <v>1</v>
      </c>
      <c r="H441">
        <v>691</v>
      </c>
      <c r="I441" t="s">
        <v>22</v>
      </c>
      <c r="J441">
        <v>0</v>
      </c>
      <c r="K441">
        <v>3.7450000000000001</v>
      </c>
      <c r="L441">
        <v>23</v>
      </c>
      <c r="M441" t="s">
        <v>23</v>
      </c>
      <c r="N441">
        <v>550</v>
      </c>
      <c r="O441">
        <v>-18.360399999999998</v>
      </c>
      <c r="P441">
        <v>-178.06299999999999</v>
      </c>
      <c r="Q441" t="s">
        <v>398</v>
      </c>
      <c r="R441" t="s">
        <v>25</v>
      </c>
      <c r="S441" t="s">
        <v>31</v>
      </c>
      <c r="T441">
        <v>5</v>
      </c>
    </row>
    <row r="442" spans="1:20">
      <c r="A442" t="s">
        <v>567</v>
      </c>
      <c r="B442">
        <v>6.9</v>
      </c>
      <c r="C442" s="1">
        <v>42795.911111111112</v>
      </c>
      <c r="D442">
        <v>6</v>
      </c>
      <c r="E442">
        <v>4</v>
      </c>
      <c r="F442" t="s">
        <v>21</v>
      </c>
      <c r="G442">
        <v>1</v>
      </c>
      <c r="H442">
        <v>742</v>
      </c>
      <c r="I442" t="s">
        <v>22</v>
      </c>
      <c r="J442">
        <v>0</v>
      </c>
      <c r="K442">
        <v>2.4950000000000001</v>
      </c>
      <c r="L442">
        <v>13</v>
      </c>
      <c r="M442" t="s">
        <v>23</v>
      </c>
      <c r="N442">
        <v>12</v>
      </c>
      <c r="O442">
        <v>-19.3733</v>
      </c>
      <c r="P442">
        <v>176.05199999999999</v>
      </c>
      <c r="Q442" t="s">
        <v>568</v>
      </c>
      <c r="R442" t="s">
        <v>25</v>
      </c>
      <c r="S442" t="s">
        <v>31</v>
      </c>
      <c r="T442">
        <v>5</v>
      </c>
    </row>
    <row r="443" spans="1:20">
      <c r="A443" t="s">
        <v>324</v>
      </c>
      <c r="B443">
        <v>6.6</v>
      </c>
      <c r="C443" s="1">
        <v>43474.662499999999</v>
      </c>
      <c r="D443">
        <v>2</v>
      </c>
      <c r="E443">
        <v>3</v>
      </c>
      <c r="G443">
        <v>1</v>
      </c>
      <c r="H443">
        <v>671</v>
      </c>
      <c r="I443" t="s">
        <v>22</v>
      </c>
      <c r="J443">
        <v>0</v>
      </c>
      <c r="K443">
        <v>4.1210000000000004</v>
      </c>
      <c r="L443">
        <v>19</v>
      </c>
      <c r="M443" t="s">
        <v>23</v>
      </c>
      <c r="N443">
        <v>591</v>
      </c>
      <c r="O443">
        <v>-20.364100000000001</v>
      </c>
      <c r="P443">
        <v>-178.57</v>
      </c>
      <c r="Q443" t="s">
        <v>310</v>
      </c>
      <c r="R443" t="s">
        <v>25</v>
      </c>
      <c r="S443" t="s">
        <v>31</v>
      </c>
      <c r="T443">
        <v>5</v>
      </c>
    </row>
    <row r="444" spans="1:20">
      <c r="A444" t="s">
        <v>309</v>
      </c>
      <c r="B444">
        <v>6.5</v>
      </c>
      <c r="C444" s="1">
        <v>43688.447222222225</v>
      </c>
      <c r="D444">
        <v>0</v>
      </c>
      <c r="E444">
        <v>2</v>
      </c>
      <c r="F444" t="s">
        <v>21</v>
      </c>
      <c r="G444">
        <v>0</v>
      </c>
      <c r="H444">
        <v>650</v>
      </c>
      <c r="I444" t="s">
        <v>22</v>
      </c>
      <c r="J444">
        <v>0</v>
      </c>
      <c r="K444">
        <v>4.7649999999999997</v>
      </c>
      <c r="L444">
        <v>25</v>
      </c>
      <c r="M444" t="s">
        <v>23</v>
      </c>
      <c r="N444">
        <v>577</v>
      </c>
      <c r="O444">
        <v>-21.944900000000001</v>
      </c>
      <c r="P444">
        <v>-179.511</v>
      </c>
      <c r="Q444" t="s">
        <v>310</v>
      </c>
      <c r="R444" t="s">
        <v>25</v>
      </c>
      <c r="S444" t="s">
        <v>31</v>
      </c>
      <c r="T444">
        <v>5</v>
      </c>
    </row>
    <row r="445" spans="1:20">
      <c r="A445" t="s">
        <v>35</v>
      </c>
      <c r="B445">
        <v>7</v>
      </c>
      <c r="C445" s="1">
        <v>44815.410416666666</v>
      </c>
      <c r="D445">
        <v>4</v>
      </c>
      <c r="E445">
        <v>3</v>
      </c>
      <c r="F445" t="s">
        <v>21</v>
      </c>
      <c r="G445">
        <v>1</v>
      </c>
      <c r="H445">
        <v>755</v>
      </c>
      <c r="I445" t="s">
        <v>22</v>
      </c>
      <c r="J445">
        <v>142</v>
      </c>
      <c r="K445">
        <v>4.5780000000000003</v>
      </c>
      <c r="L445">
        <v>26</v>
      </c>
      <c r="M445" t="s">
        <v>36</v>
      </c>
      <c r="N445">
        <v>660</v>
      </c>
      <c r="O445">
        <v>-26.0442</v>
      </c>
      <c r="P445">
        <v>178.381</v>
      </c>
      <c r="Q445" t="s">
        <v>37</v>
      </c>
      <c r="R445" t="s">
        <v>25</v>
      </c>
      <c r="S445" t="s">
        <v>31</v>
      </c>
      <c r="T445">
        <v>5</v>
      </c>
    </row>
    <row r="446" spans="1:20">
      <c r="A446" t="s">
        <v>553</v>
      </c>
      <c r="B446">
        <v>6.9</v>
      </c>
      <c r="C446" t="s">
        <v>554</v>
      </c>
      <c r="D446">
        <v>2</v>
      </c>
      <c r="E446">
        <v>3</v>
      </c>
      <c r="F446" t="s">
        <v>21</v>
      </c>
      <c r="G446">
        <v>1</v>
      </c>
      <c r="H446">
        <v>733</v>
      </c>
      <c r="I446" t="s">
        <v>22</v>
      </c>
      <c r="J446">
        <v>0</v>
      </c>
      <c r="K446">
        <v>6.0119999999999996</v>
      </c>
      <c r="L446">
        <v>19</v>
      </c>
      <c r="M446" t="s">
        <v>23</v>
      </c>
      <c r="N446">
        <v>414.5</v>
      </c>
      <c r="O446">
        <v>-23.2593</v>
      </c>
      <c r="P446">
        <v>-178.804</v>
      </c>
      <c r="Q446" t="s">
        <v>37</v>
      </c>
      <c r="R446" t="s">
        <v>25</v>
      </c>
      <c r="S446" t="s">
        <v>31</v>
      </c>
      <c r="T446">
        <v>5</v>
      </c>
    </row>
    <row r="447" spans="1:20">
      <c r="A447" t="s">
        <v>38</v>
      </c>
      <c r="B447">
        <v>6.8</v>
      </c>
      <c r="C447" s="1">
        <v>44815.401388888888</v>
      </c>
      <c r="D447">
        <v>1</v>
      </c>
      <c r="E447">
        <v>3</v>
      </c>
      <c r="F447" t="s">
        <v>21</v>
      </c>
      <c r="G447">
        <v>1</v>
      </c>
      <c r="H447">
        <v>711</v>
      </c>
      <c r="I447" t="s">
        <v>22</v>
      </c>
      <c r="J447">
        <v>136</v>
      </c>
      <c r="K447">
        <v>4.6779999999999999</v>
      </c>
      <c r="L447">
        <v>22</v>
      </c>
      <c r="M447" t="s">
        <v>23</v>
      </c>
      <c r="N447">
        <v>630.37900000000002</v>
      </c>
      <c r="O447">
        <v>-25.9678</v>
      </c>
      <c r="P447">
        <v>178.363</v>
      </c>
      <c r="Q447" t="s">
        <v>37</v>
      </c>
      <c r="R447" t="s">
        <v>25</v>
      </c>
      <c r="S447" t="s">
        <v>31</v>
      </c>
      <c r="T447">
        <v>5</v>
      </c>
    </row>
    <row r="448" spans="1:20">
      <c r="A448" t="s">
        <v>38</v>
      </c>
      <c r="B448">
        <v>6.8</v>
      </c>
      <c r="C448" t="s">
        <v>111</v>
      </c>
      <c r="D448">
        <v>2</v>
      </c>
      <c r="E448">
        <v>3</v>
      </c>
      <c r="F448" t="s">
        <v>21</v>
      </c>
      <c r="G448">
        <v>1</v>
      </c>
      <c r="H448">
        <v>712</v>
      </c>
      <c r="I448" t="s">
        <v>22</v>
      </c>
      <c r="J448">
        <v>0</v>
      </c>
      <c r="K448">
        <v>5.78</v>
      </c>
      <c r="L448">
        <v>12</v>
      </c>
      <c r="M448" t="s">
        <v>23</v>
      </c>
      <c r="N448">
        <v>535</v>
      </c>
      <c r="O448">
        <v>-23.7852</v>
      </c>
      <c r="P448">
        <v>-179.96799999999999</v>
      </c>
      <c r="Q448" t="s">
        <v>37</v>
      </c>
      <c r="R448" t="s">
        <v>25</v>
      </c>
      <c r="S448" t="s">
        <v>31</v>
      </c>
      <c r="T448">
        <v>5</v>
      </c>
    </row>
    <row r="449" spans="1:20">
      <c r="A449" t="s">
        <v>424</v>
      </c>
      <c r="B449">
        <v>6.5</v>
      </c>
      <c r="C449" t="s">
        <v>425</v>
      </c>
      <c r="D449">
        <v>4</v>
      </c>
      <c r="E449">
        <v>1</v>
      </c>
      <c r="F449" t="s">
        <v>21</v>
      </c>
      <c r="G449">
        <v>0</v>
      </c>
      <c r="H449">
        <v>651</v>
      </c>
      <c r="I449" t="s">
        <v>22</v>
      </c>
      <c r="J449">
        <v>0</v>
      </c>
      <c r="K449">
        <v>5.1390000000000002</v>
      </c>
      <c r="L449">
        <v>18</v>
      </c>
      <c r="M449" t="s">
        <v>23</v>
      </c>
      <c r="N449">
        <v>576</v>
      </c>
      <c r="O449">
        <v>-25.414999999999999</v>
      </c>
      <c r="P449">
        <v>178.19900000000001</v>
      </c>
      <c r="Q449" t="s">
        <v>37</v>
      </c>
      <c r="R449" t="s">
        <v>25</v>
      </c>
      <c r="S449" t="s">
        <v>31</v>
      </c>
      <c r="T449">
        <v>5</v>
      </c>
    </row>
    <row r="450" spans="1:20">
      <c r="A450" t="s">
        <v>30</v>
      </c>
      <c r="B450">
        <v>7</v>
      </c>
      <c r="C450" s="1">
        <v>44906.29791666667</v>
      </c>
      <c r="D450">
        <v>3</v>
      </c>
      <c r="E450">
        <v>3</v>
      </c>
      <c r="F450" t="s">
        <v>21</v>
      </c>
      <c r="G450">
        <v>1</v>
      </c>
      <c r="H450">
        <v>755</v>
      </c>
      <c r="I450" t="s">
        <v>22</v>
      </c>
      <c r="J450">
        <v>147</v>
      </c>
      <c r="K450">
        <v>3.125</v>
      </c>
      <c r="L450">
        <v>18</v>
      </c>
      <c r="M450" t="s">
        <v>23</v>
      </c>
      <c r="N450">
        <v>579</v>
      </c>
      <c r="O450">
        <v>-20.050799999999999</v>
      </c>
      <c r="P450">
        <v>-178.346</v>
      </c>
      <c r="R450" t="s">
        <v>25</v>
      </c>
      <c r="S450" t="s">
        <v>31</v>
      </c>
      <c r="T450">
        <v>5</v>
      </c>
    </row>
    <row r="451" spans="1:20">
      <c r="A451" t="s">
        <v>392</v>
      </c>
      <c r="B451">
        <v>7.5</v>
      </c>
      <c r="C451" s="1">
        <v>43232.179166666669</v>
      </c>
      <c r="D451">
        <v>3</v>
      </c>
      <c r="E451">
        <v>6</v>
      </c>
      <c r="F451" t="s">
        <v>21</v>
      </c>
      <c r="G451">
        <v>1</v>
      </c>
      <c r="H451">
        <v>871</v>
      </c>
      <c r="I451" t="s">
        <v>22</v>
      </c>
      <c r="J451">
        <v>0</v>
      </c>
      <c r="K451">
        <v>2.4049999999999998</v>
      </c>
      <c r="L451">
        <v>18</v>
      </c>
      <c r="M451" t="s">
        <v>23</v>
      </c>
      <c r="N451">
        <v>10</v>
      </c>
      <c r="O451">
        <v>-21.9496</v>
      </c>
      <c r="P451">
        <v>169.42699999999999</v>
      </c>
      <c r="Q451" t="s">
        <v>97</v>
      </c>
      <c r="R451" t="s">
        <v>25</v>
      </c>
      <c r="S451" t="s">
        <v>1744</v>
      </c>
      <c r="T451">
        <v>5</v>
      </c>
    </row>
    <row r="452" spans="1:20">
      <c r="A452" t="s">
        <v>1562</v>
      </c>
      <c r="B452">
        <v>7.3</v>
      </c>
      <c r="C452" t="s">
        <v>1563</v>
      </c>
      <c r="D452">
        <v>0</v>
      </c>
      <c r="E452">
        <v>4</v>
      </c>
      <c r="G452">
        <v>0</v>
      </c>
      <c r="H452">
        <v>820</v>
      </c>
      <c r="I452" t="s">
        <v>22</v>
      </c>
      <c r="J452">
        <v>235</v>
      </c>
      <c r="K452">
        <v>0</v>
      </c>
      <c r="L452">
        <v>46.6</v>
      </c>
      <c r="M452" t="s">
        <v>829</v>
      </c>
      <c r="N452">
        <v>10</v>
      </c>
      <c r="O452">
        <v>-22.015000000000001</v>
      </c>
      <c r="P452">
        <v>169.76599999999999</v>
      </c>
      <c r="Q452" t="s">
        <v>97</v>
      </c>
      <c r="R452" t="s">
        <v>25</v>
      </c>
      <c r="S452" t="s">
        <v>1744</v>
      </c>
      <c r="T452">
        <v>5</v>
      </c>
    </row>
    <row r="453" spans="1:20">
      <c r="A453" t="s">
        <v>432</v>
      </c>
      <c r="B453">
        <v>7.1</v>
      </c>
      <c r="C453" t="s">
        <v>433</v>
      </c>
      <c r="D453">
        <v>2</v>
      </c>
      <c r="E453">
        <v>5</v>
      </c>
      <c r="F453" t="s">
        <v>21</v>
      </c>
      <c r="G453">
        <v>1</v>
      </c>
      <c r="H453">
        <v>776</v>
      </c>
      <c r="I453" t="s">
        <v>22</v>
      </c>
      <c r="J453">
        <v>0</v>
      </c>
      <c r="K453">
        <v>2.548</v>
      </c>
      <c r="L453">
        <v>23</v>
      </c>
      <c r="M453" t="s">
        <v>23</v>
      </c>
      <c r="N453">
        <v>21.43</v>
      </c>
      <c r="O453">
        <v>-22.029499999999999</v>
      </c>
      <c r="P453">
        <v>170.126</v>
      </c>
      <c r="Q453" t="s">
        <v>97</v>
      </c>
      <c r="R453" t="s">
        <v>25</v>
      </c>
      <c r="S453" t="s">
        <v>1744</v>
      </c>
      <c r="T453">
        <v>5</v>
      </c>
    </row>
    <row r="454" spans="1:20">
      <c r="A454" t="s">
        <v>488</v>
      </c>
      <c r="B454">
        <v>7</v>
      </c>
      <c r="C454" t="s">
        <v>489</v>
      </c>
      <c r="D454">
        <v>4</v>
      </c>
      <c r="E454">
        <v>6</v>
      </c>
      <c r="F454" t="s">
        <v>21</v>
      </c>
      <c r="G454">
        <v>1</v>
      </c>
      <c r="H454">
        <v>771</v>
      </c>
      <c r="I454" t="s">
        <v>22</v>
      </c>
      <c r="J454">
        <v>0</v>
      </c>
      <c r="K454">
        <v>0.61699999999999999</v>
      </c>
      <c r="L454">
        <v>14</v>
      </c>
      <c r="M454" t="s">
        <v>23</v>
      </c>
      <c r="N454">
        <v>10</v>
      </c>
      <c r="O454">
        <v>-21.3246</v>
      </c>
      <c r="P454">
        <v>168.67099999999999</v>
      </c>
      <c r="Q454" t="s">
        <v>97</v>
      </c>
      <c r="R454" t="s">
        <v>25</v>
      </c>
      <c r="S454" t="s">
        <v>1744</v>
      </c>
      <c r="T454">
        <v>5</v>
      </c>
    </row>
    <row r="455" spans="1:20">
      <c r="A455" t="s">
        <v>1123</v>
      </c>
      <c r="B455">
        <v>7</v>
      </c>
      <c r="C455" t="s">
        <v>1124</v>
      </c>
      <c r="D455">
        <v>2</v>
      </c>
      <c r="E455">
        <v>5</v>
      </c>
      <c r="G455">
        <v>0</v>
      </c>
      <c r="H455">
        <v>755</v>
      </c>
      <c r="I455" t="s">
        <v>22</v>
      </c>
      <c r="J455">
        <v>578</v>
      </c>
      <c r="K455">
        <v>0</v>
      </c>
      <c r="L455">
        <v>13.3</v>
      </c>
      <c r="M455" t="s">
        <v>23</v>
      </c>
      <c r="N455">
        <v>9</v>
      </c>
      <c r="O455">
        <v>-20.628</v>
      </c>
      <c r="P455">
        <v>168.471</v>
      </c>
      <c r="Q455" t="s">
        <v>97</v>
      </c>
      <c r="R455" t="s">
        <v>25</v>
      </c>
      <c r="S455" t="s">
        <v>1744</v>
      </c>
      <c r="T455">
        <v>5</v>
      </c>
    </row>
    <row r="456" spans="1:20">
      <c r="A456" t="s">
        <v>95</v>
      </c>
      <c r="B456">
        <v>6.9</v>
      </c>
      <c r="C456" t="s">
        <v>96</v>
      </c>
      <c r="D456">
        <v>6</v>
      </c>
      <c r="E456">
        <v>4</v>
      </c>
      <c r="F456" t="s">
        <v>21</v>
      </c>
      <c r="G456">
        <v>1</v>
      </c>
      <c r="H456">
        <v>738</v>
      </c>
      <c r="I456" t="s">
        <v>22</v>
      </c>
      <c r="J456">
        <v>0</v>
      </c>
      <c r="K456">
        <v>2.6970000000000001</v>
      </c>
      <c r="L456">
        <v>42</v>
      </c>
      <c r="M456" t="s">
        <v>23</v>
      </c>
      <c r="N456">
        <v>10</v>
      </c>
      <c r="O456">
        <v>-22.72</v>
      </c>
      <c r="P456">
        <v>170.27699999999999</v>
      </c>
      <c r="Q456" t="s">
        <v>97</v>
      </c>
      <c r="R456" t="s">
        <v>25</v>
      </c>
      <c r="S456" t="s">
        <v>1744</v>
      </c>
      <c r="T456">
        <v>5</v>
      </c>
    </row>
    <row r="457" spans="1:20">
      <c r="A457" t="s">
        <v>504</v>
      </c>
      <c r="B457">
        <v>6.7</v>
      </c>
      <c r="C457" t="s">
        <v>505</v>
      </c>
      <c r="D457">
        <v>3</v>
      </c>
      <c r="E457">
        <v>4</v>
      </c>
      <c r="F457" t="s">
        <v>21</v>
      </c>
      <c r="G457">
        <v>1</v>
      </c>
      <c r="H457">
        <v>691</v>
      </c>
      <c r="I457" t="s">
        <v>22</v>
      </c>
      <c r="J457">
        <v>0</v>
      </c>
      <c r="K457">
        <v>1.0620000000000001</v>
      </c>
      <c r="L457">
        <v>55</v>
      </c>
      <c r="M457" t="s">
        <v>23</v>
      </c>
      <c r="N457">
        <v>24</v>
      </c>
      <c r="O457">
        <v>-21.697099999999999</v>
      </c>
      <c r="P457">
        <v>169.148</v>
      </c>
      <c r="Q457" t="s">
        <v>97</v>
      </c>
      <c r="R457" t="s">
        <v>25</v>
      </c>
      <c r="S457" t="s">
        <v>1744</v>
      </c>
      <c r="T457">
        <v>5</v>
      </c>
    </row>
    <row r="458" spans="1:20">
      <c r="A458" t="s">
        <v>391</v>
      </c>
      <c r="B458">
        <v>6.6</v>
      </c>
      <c r="C458" s="1">
        <v>43232.279861111114</v>
      </c>
      <c r="D458">
        <v>0</v>
      </c>
      <c r="E458">
        <v>4</v>
      </c>
      <c r="F458" t="s">
        <v>21</v>
      </c>
      <c r="G458">
        <v>1</v>
      </c>
      <c r="H458">
        <v>670</v>
      </c>
      <c r="I458" t="s">
        <v>22</v>
      </c>
      <c r="J458">
        <v>0</v>
      </c>
      <c r="K458">
        <v>2.6789999999999998</v>
      </c>
      <c r="L458">
        <v>31</v>
      </c>
      <c r="M458" t="s">
        <v>23</v>
      </c>
      <c r="N458">
        <v>10</v>
      </c>
      <c r="O458">
        <v>-22.062899999999999</v>
      </c>
      <c r="P458">
        <v>169.733</v>
      </c>
      <c r="Q458" t="s">
        <v>97</v>
      </c>
      <c r="R458" t="s">
        <v>25</v>
      </c>
      <c r="S458" t="s">
        <v>1744</v>
      </c>
      <c r="T458">
        <v>5</v>
      </c>
    </row>
    <row r="459" spans="1:20">
      <c r="A459" t="s">
        <v>490</v>
      </c>
      <c r="B459">
        <v>6.6</v>
      </c>
      <c r="C459" t="s">
        <v>491</v>
      </c>
      <c r="D459">
        <v>4</v>
      </c>
      <c r="E459">
        <v>5</v>
      </c>
      <c r="F459" t="s">
        <v>21</v>
      </c>
      <c r="G459">
        <v>1</v>
      </c>
      <c r="H459">
        <v>676</v>
      </c>
      <c r="I459" t="s">
        <v>22</v>
      </c>
      <c r="J459">
        <v>0</v>
      </c>
      <c r="K459">
        <v>0.52900000000000003</v>
      </c>
      <c r="L459">
        <v>21</v>
      </c>
      <c r="M459" t="s">
        <v>23</v>
      </c>
      <c r="N459">
        <v>13</v>
      </c>
      <c r="O459">
        <v>-21.502700000000001</v>
      </c>
      <c r="P459">
        <v>168.59800000000001</v>
      </c>
      <c r="Q459" t="s">
        <v>97</v>
      </c>
      <c r="R459" t="s">
        <v>25</v>
      </c>
      <c r="S459" t="s">
        <v>1744</v>
      </c>
      <c r="T459">
        <v>5</v>
      </c>
    </row>
    <row r="460" spans="1:20">
      <c r="A460" t="s">
        <v>503</v>
      </c>
      <c r="B460">
        <v>6.6</v>
      </c>
      <c r="C460" s="1">
        <v>42746.099305555559</v>
      </c>
      <c r="D460">
        <v>3</v>
      </c>
      <c r="E460">
        <v>5</v>
      </c>
      <c r="F460" t="s">
        <v>21</v>
      </c>
      <c r="G460">
        <v>1</v>
      </c>
      <c r="H460">
        <v>674</v>
      </c>
      <c r="I460" t="s">
        <v>22</v>
      </c>
      <c r="J460">
        <v>0</v>
      </c>
      <c r="K460">
        <v>0.78800000000000003</v>
      </c>
      <c r="L460">
        <v>29</v>
      </c>
      <c r="M460" t="s">
        <v>23</v>
      </c>
      <c r="N460">
        <v>22</v>
      </c>
      <c r="O460">
        <v>-21.648399999999999</v>
      </c>
      <c r="P460">
        <v>168.85900000000001</v>
      </c>
      <c r="Q460" t="s">
        <v>97</v>
      </c>
      <c r="R460" t="s">
        <v>25</v>
      </c>
      <c r="S460" t="s">
        <v>1744</v>
      </c>
      <c r="T460">
        <v>5</v>
      </c>
    </row>
    <row r="461" spans="1:20">
      <c r="A461" t="s">
        <v>411</v>
      </c>
      <c r="B461">
        <v>6.5</v>
      </c>
      <c r="C461" t="s">
        <v>412</v>
      </c>
      <c r="D461">
        <v>0</v>
      </c>
      <c r="E461">
        <v>4</v>
      </c>
      <c r="F461" t="s">
        <v>21</v>
      </c>
      <c r="G461">
        <v>1</v>
      </c>
      <c r="H461">
        <v>650</v>
      </c>
      <c r="I461" t="s">
        <v>22</v>
      </c>
      <c r="J461">
        <v>0</v>
      </c>
      <c r="K461">
        <v>2.109</v>
      </c>
      <c r="L461">
        <v>22</v>
      </c>
      <c r="M461" t="s">
        <v>23</v>
      </c>
      <c r="N461">
        <v>17</v>
      </c>
      <c r="O461">
        <v>-21.742699999999999</v>
      </c>
      <c r="P461">
        <v>169.52199999999999</v>
      </c>
      <c r="Q461" t="s">
        <v>97</v>
      </c>
      <c r="R461" t="s">
        <v>25</v>
      </c>
      <c r="S461" t="s">
        <v>1744</v>
      </c>
      <c r="T461">
        <v>5</v>
      </c>
    </row>
    <row r="462" spans="1:20">
      <c r="A462" t="s">
        <v>598</v>
      </c>
      <c r="B462">
        <v>7.8</v>
      </c>
      <c r="C462" t="s">
        <v>599</v>
      </c>
      <c r="D462">
        <v>9</v>
      </c>
      <c r="E462">
        <v>9</v>
      </c>
      <c r="F462" t="s">
        <v>66</v>
      </c>
      <c r="G462">
        <v>1</v>
      </c>
      <c r="H462">
        <v>1545</v>
      </c>
      <c r="I462" t="s">
        <v>22</v>
      </c>
      <c r="J462">
        <v>0</v>
      </c>
      <c r="K462">
        <v>0.48099999999999998</v>
      </c>
      <c r="L462">
        <v>21</v>
      </c>
      <c r="M462" t="s">
        <v>23</v>
      </c>
      <c r="N462">
        <v>15.11</v>
      </c>
      <c r="O462">
        <v>-42.737299999999998</v>
      </c>
      <c r="P462">
        <v>173.054</v>
      </c>
      <c r="Q462" t="s">
        <v>593</v>
      </c>
      <c r="R462" t="s">
        <v>25</v>
      </c>
      <c r="S462" t="s">
        <v>594</v>
      </c>
      <c r="T462">
        <v>5</v>
      </c>
    </row>
    <row r="463" spans="1:20">
      <c r="A463" t="s">
        <v>591</v>
      </c>
      <c r="B463">
        <v>6.5</v>
      </c>
      <c r="C463" t="s">
        <v>592</v>
      </c>
      <c r="D463">
        <v>7</v>
      </c>
      <c r="E463">
        <v>7</v>
      </c>
      <c r="F463" t="s">
        <v>45</v>
      </c>
      <c r="G463">
        <v>1</v>
      </c>
      <c r="H463">
        <v>664</v>
      </c>
      <c r="I463" t="s">
        <v>22</v>
      </c>
      <c r="J463">
        <v>0</v>
      </c>
      <c r="K463">
        <v>0.28299999999999997</v>
      </c>
      <c r="L463">
        <v>56</v>
      </c>
      <c r="M463" t="s">
        <v>23</v>
      </c>
      <c r="N463">
        <v>9</v>
      </c>
      <c r="O463">
        <v>-42.605800000000002</v>
      </c>
      <c r="P463">
        <v>173.25399999999999</v>
      </c>
      <c r="Q463" t="s">
        <v>593</v>
      </c>
      <c r="R463" t="s">
        <v>25</v>
      </c>
      <c r="S463" t="s">
        <v>594</v>
      </c>
      <c r="T463">
        <v>5</v>
      </c>
    </row>
    <row r="464" spans="1:20">
      <c r="A464" t="s">
        <v>524</v>
      </c>
      <c r="B464">
        <v>6.6</v>
      </c>
      <c r="C464" s="1">
        <v>43046.291666666664</v>
      </c>
      <c r="D464">
        <v>5</v>
      </c>
      <c r="E464">
        <v>4</v>
      </c>
      <c r="F464" t="s">
        <v>21</v>
      </c>
      <c r="G464">
        <v>1</v>
      </c>
      <c r="H464">
        <v>704</v>
      </c>
      <c r="I464" t="s">
        <v>22</v>
      </c>
      <c r="J464">
        <v>0</v>
      </c>
      <c r="K464">
        <v>3.7730000000000001</v>
      </c>
      <c r="L464">
        <v>37</v>
      </c>
      <c r="M464" t="s">
        <v>23</v>
      </c>
      <c r="N464">
        <v>10</v>
      </c>
      <c r="O464">
        <v>-49.483699999999999</v>
      </c>
      <c r="P464">
        <v>164.01599999999999</v>
      </c>
      <c r="Q464" t="s">
        <v>525</v>
      </c>
      <c r="R464" t="s">
        <v>25</v>
      </c>
      <c r="S464" t="s">
        <v>594</v>
      </c>
      <c r="T464">
        <v>5</v>
      </c>
    </row>
    <row r="465" spans="1:20">
      <c r="A465" t="s">
        <v>595</v>
      </c>
      <c r="B465">
        <v>6.5</v>
      </c>
      <c r="C465" t="s">
        <v>596</v>
      </c>
      <c r="D465">
        <v>6</v>
      </c>
      <c r="E465">
        <v>7</v>
      </c>
      <c r="F465" t="s">
        <v>45</v>
      </c>
      <c r="G465">
        <v>1</v>
      </c>
      <c r="H465">
        <v>656</v>
      </c>
      <c r="I465" t="s">
        <v>22</v>
      </c>
      <c r="J465">
        <v>0</v>
      </c>
      <c r="K465">
        <v>0.13500000000000001</v>
      </c>
      <c r="L465">
        <v>58</v>
      </c>
      <c r="M465" t="s">
        <v>23</v>
      </c>
      <c r="N465">
        <v>10</v>
      </c>
      <c r="O465">
        <v>-42.320500000000003</v>
      </c>
      <c r="P465">
        <v>173.66900000000001</v>
      </c>
      <c r="Q465" t="s">
        <v>597</v>
      </c>
      <c r="R465" t="s">
        <v>25</v>
      </c>
      <c r="S465" t="s">
        <v>594</v>
      </c>
      <c r="T465">
        <v>5</v>
      </c>
    </row>
    <row r="466" spans="1:20">
      <c r="A466" t="s">
        <v>920</v>
      </c>
      <c r="B466">
        <v>6.5</v>
      </c>
      <c r="C466" t="s">
        <v>921</v>
      </c>
      <c r="D466">
        <v>9</v>
      </c>
      <c r="E466">
        <v>7</v>
      </c>
      <c r="F466" t="s">
        <v>45</v>
      </c>
      <c r="G466">
        <v>1</v>
      </c>
      <c r="H466">
        <v>690</v>
      </c>
      <c r="I466" t="s">
        <v>22</v>
      </c>
      <c r="J466">
        <v>0</v>
      </c>
      <c r="K466">
        <v>0</v>
      </c>
      <c r="L466">
        <v>0</v>
      </c>
      <c r="M466" t="s">
        <v>23</v>
      </c>
      <c r="N466">
        <v>8.1999999999999993</v>
      </c>
      <c r="O466">
        <v>-41.734000000000002</v>
      </c>
      <c r="P466">
        <v>174.15199999999999</v>
      </c>
      <c r="Q466" t="s">
        <v>597</v>
      </c>
      <c r="R466" t="s">
        <v>25</v>
      </c>
      <c r="S466" t="s">
        <v>594</v>
      </c>
      <c r="T466">
        <v>5</v>
      </c>
    </row>
    <row r="467" spans="1:20">
      <c r="A467" t="s">
        <v>925</v>
      </c>
      <c r="B467">
        <v>6.5</v>
      </c>
      <c r="C467" t="s">
        <v>926</v>
      </c>
      <c r="D467">
        <v>6</v>
      </c>
      <c r="E467">
        <v>7</v>
      </c>
      <c r="F467" t="s">
        <v>45</v>
      </c>
      <c r="G467">
        <v>1</v>
      </c>
      <c r="H467">
        <v>693</v>
      </c>
      <c r="I467" t="s">
        <v>22</v>
      </c>
      <c r="J467">
        <v>229</v>
      </c>
      <c r="K467">
        <v>0</v>
      </c>
      <c r="L467">
        <v>20</v>
      </c>
      <c r="M467" t="s">
        <v>23</v>
      </c>
      <c r="N467">
        <v>17</v>
      </c>
      <c r="O467">
        <v>-41.704000000000001</v>
      </c>
      <c r="P467">
        <v>174.33699999999999</v>
      </c>
      <c r="Q467" t="s">
        <v>597</v>
      </c>
      <c r="R467" t="s">
        <v>25</v>
      </c>
      <c r="S467" t="s">
        <v>594</v>
      </c>
      <c r="T467">
        <v>5</v>
      </c>
    </row>
    <row r="468" spans="1:20">
      <c r="A468" t="s">
        <v>215</v>
      </c>
      <c r="B468">
        <v>7.3</v>
      </c>
      <c r="C468" s="1">
        <v>44289.560416666667</v>
      </c>
      <c r="D468">
        <v>7</v>
      </c>
      <c r="E468">
        <v>6</v>
      </c>
      <c r="F468" t="s">
        <v>21</v>
      </c>
      <c r="G468">
        <v>1</v>
      </c>
      <c r="H468">
        <v>932</v>
      </c>
      <c r="I468" t="s">
        <v>22</v>
      </c>
      <c r="J468">
        <v>0</v>
      </c>
      <c r="K468">
        <v>0.91800000000000004</v>
      </c>
      <c r="L468">
        <v>24</v>
      </c>
      <c r="M468" t="s">
        <v>23</v>
      </c>
      <c r="N468">
        <v>10</v>
      </c>
      <c r="O468">
        <v>-37.595999999999997</v>
      </c>
      <c r="P468">
        <v>179.54400000000001</v>
      </c>
      <c r="Q468" t="s">
        <v>216</v>
      </c>
      <c r="R468" t="s">
        <v>25</v>
      </c>
      <c r="S468" t="s">
        <v>594</v>
      </c>
      <c r="T468">
        <v>5</v>
      </c>
    </row>
    <row r="469" spans="1:20">
      <c r="A469" t="s">
        <v>613</v>
      </c>
      <c r="B469">
        <v>7</v>
      </c>
      <c r="C469" s="1">
        <v>42378.692361111112</v>
      </c>
      <c r="D469">
        <v>5</v>
      </c>
      <c r="E469">
        <v>6</v>
      </c>
      <c r="F469" t="s">
        <v>21</v>
      </c>
      <c r="G469">
        <v>1</v>
      </c>
      <c r="H469">
        <v>897</v>
      </c>
      <c r="I469" t="s">
        <v>22</v>
      </c>
      <c r="J469">
        <v>0</v>
      </c>
      <c r="K469">
        <v>0.69799999999999995</v>
      </c>
      <c r="L469">
        <v>21</v>
      </c>
      <c r="M469" t="s">
        <v>23</v>
      </c>
      <c r="N469">
        <v>19</v>
      </c>
      <c r="O469">
        <v>-37.358600000000003</v>
      </c>
      <c r="P469">
        <v>179.14599999999999</v>
      </c>
      <c r="Q469" t="s">
        <v>216</v>
      </c>
      <c r="R469" t="s">
        <v>25</v>
      </c>
      <c r="S469" t="s">
        <v>594</v>
      </c>
      <c r="T469">
        <v>5</v>
      </c>
    </row>
    <row r="470" spans="1:20">
      <c r="A470" t="s">
        <v>798</v>
      </c>
      <c r="B470">
        <v>6.7</v>
      </c>
      <c r="C470" t="s">
        <v>799</v>
      </c>
      <c r="D470">
        <v>7</v>
      </c>
      <c r="E470">
        <v>4</v>
      </c>
      <c r="F470" t="s">
        <v>21</v>
      </c>
      <c r="G470">
        <v>1</v>
      </c>
      <c r="H470">
        <v>698</v>
      </c>
      <c r="I470" t="s">
        <v>22</v>
      </c>
      <c r="J470">
        <v>0</v>
      </c>
      <c r="K470">
        <v>1.079</v>
      </c>
      <c r="L470">
        <v>25</v>
      </c>
      <c r="M470" t="s">
        <v>23</v>
      </c>
      <c r="N470">
        <v>22</v>
      </c>
      <c r="O470">
        <v>-37.647799999999997</v>
      </c>
      <c r="P470">
        <v>179.66200000000001</v>
      </c>
      <c r="Q470" t="s">
        <v>216</v>
      </c>
      <c r="R470" t="s">
        <v>25</v>
      </c>
      <c r="S470" t="s">
        <v>594</v>
      </c>
      <c r="T470">
        <v>5</v>
      </c>
    </row>
    <row r="471" spans="1:20">
      <c r="A471" t="s">
        <v>1308</v>
      </c>
      <c r="B471">
        <v>6.6</v>
      </c>
      <c r="C471" t="s">
        <v>1309</v>
      </c>
      <c r="D471">
        <v>7</v>
      </c>
      <c r="E471">
        <v>6</v>
      </c>
      <c r="G471">
        <v>0</v>
      </c>
      <c r="H471">
        <v>808</v>
      </c>
      <c r="I471" t="s">
        <v>22</v>
      </c>
      <c r="J471">
        <v>461</v>
      </c>
      <c r="K471">
        <v>0</v>
      </c>
      <c r="L471">
        <v>18.8</v>
      </c>
      <c r="M471" t="s">
        <v>829</v>
      </c>
      <c r="N471">
        <v>20</v>
      </c>
      <c r="O471">
        <v>-39.011000000000003</v>
      </c>
      <c r="P471">
        <v>178.291</v>
      </c>
      <c r="Q471" t="s">
        <v>216</v>
      </c>
      <c r="R471" t="s">
        <v>25</v>
      </c>
      <c r="S471" t="s">
        <v>594</v>
      </c>
      <c r="T471">
        <v>5</v>
      </c>
    </row>
    <row r="472" spans="1:20">
      <c r="A472" t="s">
        <v>1088</v>
      </c>
      <c r="B472">
        <v>7.6</v>
      </c>
      <c r="C472" s="1">
        <v>40701.793749999997</v>
      </c>
      <c r="D472">
        <v>3</v>
      </c>
      <c r="E472">
        <v>7</v>
      </c>
      <c r="G472">
        <v>0</v>
      </c>
      <c r="H472">
        <v>893</v>
      </c>
      <c r="I472" t="s">
        <v>22</v>
      </c>
      <c r="J472">
        <v>567</v>
      </c>
      <c r="K472">
        <v>0</v>
      </c>
      <c r="L472">
        <v>33.5</v>
      </c>
      <c r="M472" t="s">
        <v>23</v>
      </c>
      <c r="N472">
        <v>17</v>
      </c>
      <c r="O472">
        <v>-29.539000000000001</v>
      </c>
      <c r="P472">
        <v>-176.34</v>
      </c>
      <c r="Q472" t="s">
        <v>116</v>
      </c>
      <c r="R472" t="s">
        <v>25</v>
      </c>
      <c r="S472" t="s">
        <v>594</v>
      </c>
      <c r="T472">
        <v>5</v>
      </c>
    </row>
    <row r="473" spans="1:20">
      <c r="A473" t="s">
        <v>426</v>
      </c>
      <c r="B473">
        <v>6.9</v>
      </c>
      <c r="C473" s="1">
        <v>43382.179861111108</v>
      </c>
      <c r="D473">
        <v>3</v>
      </c>
      <c r="E473">
        <v>4</v>
      </c>
      <c r="F473" t="s">
        <v>21</v>
      </c>
      <c r="G473">
        <v>0</v>
      </c>
      <c r="H473">
        <v>735</v>
      </c>
      <c r="I473" t="s">
        <v>22</v>
      </c>
      <c r="J473">
        <v>0</v>
      </c>
      <c r="K473">
        <v>2.7850000000000001</v>
      </c>
      <c r="L473">
        <v>18</v>
      </c>
      <c r="M473" t="s">
        <v>23</v>
      </c>
      <c r="N473">
        <v>115</v>
      </c>
      <c r="O473">
        <v>-31.744700000000002</v>
      </c>
      <c r="P473">
        <v>-179.37299999999999</v>
      </c>
      <c r="Q473" t="s">
        <v>116</v>
      </c>
      <c r="R473" t="s">
        <v>25</v>
      </c>
      <c r="S473" t="s">
        <v>594</v>
      </c>
      <c r="T473">
        <v>5</v>
      </c>
    </row>
    <row r="474" spans="1:20">
      <c r="A474" t="s">
        <v>114</v>
      </c>
      <c r="B474">
        <v>6.5</v>
      </c>
      <c r="C474" t="s">
        <v>115</v>
      </c>
      <c r="D474">
        <v>7</v>
      </c>
      <c r="E474">
        <v>4</v>
      </c>
      <c r="F474" t="s">
        <v>21</v>
      </c>
      <c r="G474">
        <v>1</v>
      </c>
      <c r="H474">
        <v>651</v>
      </c>
      <c r="I474" t="s">
        <v>22</v>
      </c>
      <c r="J474">
        <v>0</v>
      </c>
      <c r="K474">
        <v>1.0880000000000001</v>
      </c>
      <c r="L474">
        <v>57</v>
      </c>
      <c r="M474" t="s">
        <v>23</v>
      </c>
      <c r="N474">
        <v>8</v>
      </c>
      <c r="O474">
        <v>-29.535</v>
      </c>
      <c r="P474">
        <v>-176.72900000000001</v>
      </c>
      <c r="Q474" t="s">
        <v>116</v>
      </c>
      <c r="R474" t="s">
        <v>25</v>
      </c>
      <c r="S474" t="s">
        <v>594</v>
      </c>
      <c r="T474">
        <v>5</v>
      </c>
    </row>
    <row r="475" spans="1:20">
      <c r="A475" t="s">
        <v>114</v>
      </c>
      <c r="B475">
        <v>6.5</v>
      </c>
      <c r="C475" s="1">
        <v>44289.966666666667</v>
      </c>
      <c r="D475">
        <v>0</v>
      </c>
      <c r="E475">
        <v>4</v>
      </c>
      <c r="F475" t="s">
        <v>21</v>
      </c>
      <c r="G475">
        <v>0</v>
      </c>
      <c r="H475">
        <v>650</v>
      </c>
      <c r="I475" t="s">
        <v>22</v>
      </c>
      <c r="J475">
        <v>0</v>
      </c>
      <c r="K475">
        <v>11.763999999999999</v>
      </c>
      <c r="L475">
        <v>25</v>
      </c>
      <c r="M475" t="s">
        <v>36</v>
      </c>
      <c r="N475">
        <v>24</v>
      </c>
      <c r="O475">
        <v>-28.479199999999999</v>
      </c>
      <c r="P475">
        <v>-176.619</v>
      </c>
      <c r="Q475" t="s">
        <v>116</v>
      </c>
      <c r="R475" t="s">
        <v>25</v>
      </c>
      <c r="S475" t="s">
        <v>594</v>
      </c>
      <c r="T475">
        <v>5</v>
      </c>
    </row>
    <row r="476" spans="1:20">
      <c r="A476" t="s">
        <v>213</v>
      </c>
      <c r="B476">
        <v>8.1</v>
      </c>
      <c r="C476" s="1">
        <v>44289.811111111114</v>
      </c>
      <c r="D476">
        <v>9</v>
      </c>
      <c r="E476">
        <v>8</v>
      </c>
      <c r="F476" t="s">
        <v>21</v>
      </c>
      <c r="G476">
        <v>1</v>
      </c>
      <c r="H476">
        <v>1021</v>
      </c>
      <c r="I476" t="s">
        <v>22</v>
      </c>
      <c r="J476">
        <v>0</v>
      </c>
      <c r="K476">
        <v>0.73899999999999999</v>
      </c>
      <c r="L476">
        <v>21</v>
      </c>
      <c r="M476" t="s">
        <v>23</v>
      </c>
      <c r="N476">
        <v>28.93</v>
      </c>
      <c r="O476">
        <v>-29.746600000000001</v>
      </c>
      <c r="P476">
        <v>-177.22399999999999</v>
      </c>
      <c r="Q476" t="s">
        <v>110</v>
      </c>
      <c r="R476" t="s">
        <v>25</v>
      </c>
      <c r="S476" t="s">
        <v>594</v>
      </c>
      <c r="T476">
        <v>5</v>
      </c>
    </row>
    <row r="477" spans="1:20">
      <c r="A477" t="s">
        <v>214</v>
      </c>
      <c r="B477">
        <v>7.4</v>
      </c>
      <c r="C477" s="1">
        <v>44289.736805555556</v>
      </c>
      <c r="D477">
        <v>3</v>
      </c>
      <c r="E477">
        <v>7</v>
      </c>
      <c r="F477" t="s">
        <v>21</v>
      </c>
      <c r="G477">
        <v>1</v>
      </c>
      <c r="H477">
        <v>843</v>
      </c>
      <c r="I477" t="s">
        <v>22</v>
      </c>
      <c r="J477">
        <v>0</v>
      </c>
      <c r="K477">
        <v>0.437</v>
      </c>
      <c r="L477">
        <v>30</v>
      </c>
      <c r="M477" t="s">
        <v>23</v>
      </c>
      <c r="N477">
        <v>43</v>
      </c>
      <c r="O477">
        <v>-29.613099999999999</v>
      </c>
      <c r="P477">
        <v>-177.84200000000001</v>
      </c>
      <c r="Q477" t="s">
        <v>110</v>
      </c>
      <c r="R477" t="s">
        <v>25</v>
      </c>
      <c r="S477" t="s">
        <v>594</v>
      </c>
      <c r="T477">
        <v>5</v>
      </c>
    </row>
    <row r="478" spans="1:20">
      <c r="A478" t="s">
        <v>831</v>
      </c>
      <c r="B478">
        <v>6.9</v>
      </c>
      <c r="C478" t="s">
        <v>832</v>
      </c>
      <c r="D478">
        <v>0</v>
      </c>
      <c r="E478">
        <v>5</v>
      </c>
      <c r="F478" t="s">
        <v>21</v>
      </c>
      <c r="G478">
        <v>1</v>
      </c>
      <c r="H478">
        <v>732</v>
      </c>
      <c r="I478" t="s">
        <v>22</v>
      </c>
      <c r="J478">
        <v>0</v>
      </c>
      <c r="K478">
        <v>0.751</v>
      </c>
      <c r="L478">
        <v>35</v>
      </c>
      <c r="M478" t="s">
        <v>23</v>
      </c>
      <c r="N478">
        <v>20</v>
      </c>
      <c r="O478">
        <v>-29.9772</v>
      </c>
      <c r="P478">
        <v>-177.72499999999999</v>
      </c>
      <c r="Q478" t="s">
        <v>110</v>
      </c>
      <c r="R478" t="s">
        <v>25</v>
      </c>
      <c r="S478" t="s">
        <v>594</v>
      </c>
      <c r="T478">
        <v>5</v>
      </c>
    </row>
    <row r="479" spans="1:20">
      <c r="A479" t="s">
        <v>827</v>
      </c>
      <c r="B479">
        <v>6.7</v>
      </c>
      <c r="C479" t="s">
        <v>828</v>
      </c>
      <c r="D479">
        <v>0</v>
      </c>
      <c r="E479">
        <v>5</v>
      </c>
      <c r="F479" t="s">
        <v>21</v>
      </c>
      <c r="G479">
        <v>0</v>
      </c>
      <c r="H479">
        <v>691</v>
      </c>
      <c r="I479" t="s">
        <v>22</v>
      </c>
      <c r="J479">
        <v>0</v>
      </c>
      <c r="K479">
        <v>0.748</v>
      </c>
      <c r="L479">
        <v>43</v>
      </c>
      <c r="M479" t="s">
        <v>829</v>
      </c>
      <c r="N479">
        <v>26.59</v>
      </c>
      <c r="O479">
        <v>-29.941400000000002</v>
      </c>
      <c r="P479">
        <v>-177.607</v>
      </c>
      <c r="Q479" t="s">
        <v>110</v>
      </c>
      <c r="R479" t="s">
        <v>25</v>
      </c>
      <c r="S479" t="s">
        <v>594</v>
      </c>
      <c r="T479">
        <v>5</v>
      </c>
    </row>
    <row r="480" spans="1:20">
      <c r="A480" t="s">
        <v>109</v>
      </c>
      <c r="B480">
        <v>6.6</v>
      </c>
      <c r="C480" s="1">
        <v>44595.536111111112</v>
      </c>
      <c r="D480">
        <v>2</v>
      </c>
      <c r="E480">
        <v>7</v>
      </c>
      <c r="F480" t="s">
        <v>21</v>
      </c>
      <c r="G480">
        <v>1</v>
      </c>
      <c r="H480">
        <v>670</v>
      </c>
      <c r="I480" t="s">
        <v>22</v>
      </c>
      <c r="J480">
        <v>0</v>
      </c>
      <c r="K480">
        <v>0.82699999999999996</v>
      </c>
      <c r="L480">
        <v>46</v>
      </c>
      <c r="M480" t="s">
        <v>23</v>
      </c>
      <c r="N480">
        <v>24</v>
      </c>
      <c r="O480">
        <v>-30.052800000000001</v>
      </c>
      <c r="P480">
        <v>-177.74</v>
      </c>
      <c r="Q480" t="s">
        <v>110</v>
      </c>
      <c r="R480" t="s">
        <v>25</v>
      </c>
      <c r="S480" t="s">
        <v>594</v>
      </c>
      <c r="T480">
        <v>5</v>
      </c>
    </row>
    <row r="481" spans="1:20">
      <c r="A481" t="s">
        <v>187</v>
      </c>
      <c r="B481">
        <v>6.5</v>
      </c>
      <c r="C481" t="s">
        <v>188</v>
      </c>
      <c r="D481">
        <v>0</v>
      </c>
      <c r="E481">
        <v>4</v>
      </c>
      <c r="F481" t="s">
        <v>21</v>
      </c>
      <c r="G481">
        <v>1</v>
      </c>
      <c r="H481">
        <v>650</v>
      </c>
      <c r="I481" t="s">
        <v>22</v>
      </c>
      <c r="J481">
        <v>0</v>
      </c>
      <c r="K481">
        <v>7.9939999999999998</v>
      </c>
      <c r="L481">
        <v>24</v>
      </c>
      <c r="M481" t="s">
        <v>23</v>
      </c>
      <c r="N481">
        <v>25</v>
      </c>
      <c r="O481">
        <v>-30.214400000000001</v>
      </c>
      <c r="P481">
        <v>-177.773</v>
      </c>
      <c r="Q481" t="s">
        <v>110</v>
      </c>
      <c r="R481" t="s">
        <v>25</v>
      </c>
      <c r="S481" t="s">
        <v>594</v>
      </c>
      <c r="T481">
        <v>5</v>
      </c>
    </row>
    <row r="482" spans="1:20">
      <c r="A482" t="s">
        <v>187</v>
      </c>
      <c r="B482">
        <v>6.5</v>
      </c>
      <c r="C482" t="s">
        <v>830</v>
      </c>
      <c r="D482">
        <v>0</v>
      </c>
      <c r="E482">
        <v>5</v>
      </c>
      <c r="F482" t="s">
        <v>21</v>
      </c>
      <c r="G482">
        <v>0</v>
      </c>
      <c r="H482">
        <v>650</v>
      </c>
      <c r="I482" t="s">
        <v>22</v>
      </c>
      <c r="J482">
        <v>0</v>
      </c>
      <c r="K482">
        <v>0.77800000000000002</v>
      </c>
      <c r="L482">
        <v>30</v>
      </c>
      <c r="M482" t="s">
        <v>829</v>
      </c>
      <c r="N482">
        <v>10</v>
      </c>
      <c r="O482">
        <v>-29.937899999999999</v>
      </c>
      <c r="P482">
        <v>-177.51599999999999</v>
      </c>
      <c r="Q482" t="s">
        <v>110</v>
      </c>
      <c r="R482" t="s">
        <v>25</v>
      </c>
      <c r="S482" t="s">
        <v>594</v>
      </c>
      <c r="T482">
        <v>5</v>
      </c>
    </row>
    <row r="483" spans="1:20">
      <c r="A483" t="s">
        <v>187</v>
      </c>
      <c r="B483">
        <v>6.5</v>
      </c>
      <c r="C483" t="s">
        <v>903</v>
      </c>
      <c r="D483">
        <v>0</v>
      </c>
      <c r="E483">
        <v>4</v>
      </c>
      <c r="F483" t="s">
        <v>21</v>
      </c>
      <c r="G483">
        <v>1</v>
      </c>
      <c r="H483">
        <v>650</v>
      </c>
      <c r="I483" t="s">
        <v>22</v>
      </c>
      <c r="J483">
        <v>0</v>
      </c>
      <c r="K483">
        <v>1.7090000000000001</v>
      </c>
      <c r="L483">
        <v>21</v>
      </c>
      <c r="M483" t="s">
        <v>23</v>
      </c>
      <c r="N483">
        <v>41.54</v>
      </c>
      <c r="O483">
        <v>-30.9255</v>
      </c>
      <c r="P483">
        <v>-178.32300000000001</v>
      </c>
      <c r="Q483" t="s">
        <v>110</v>
      </c>
      <c r="R483" t="s">
        <v>25</v>
      </c>
      <c r="S483" t="s">
        <v>594</v>
      </c>
      <c r="T483">
        <v>5</v>
      </c>
    </row>
    <row r="484" spans="1:20">
      <c r="A484" t="s">
        <v>350</v>
      </c>
      <c r="B484">
        <v>7.3</v>
      </c>
      <c r="C484" t="s">
        <v>351</v>
      </c>
      <c r="D484">
        <v>8</v>
      </c>
      <c r="E484">
        <v>6</v>
      </c>
      <c r="F484" t="s">
        <v>21</v>
      </c>
      <c r="G484">
        <v>1</v>
      </c>
      <c r="H484">
        <v>830</v>
      </c>
      <c r="I484" t="s">
        <v>22</v>
      </c>
      <c r="J484">
        <v>0</v>
      </c>
      <c r="K484">
        <v>1.4019999999999999</v>
      </c>
      <c r="L484">
        <v>11</v>
      </c>
      <c r="M484" t="s">
        <v>23</v>
      </c>
      <c r="N484">
        <v>46</v>
      </c>
      <c r="O484">
        <v>-30.644100000000002</v>
      </c>
      <c r="P484">
        <v>-178.1</v>
      </c>
      <c r="Q484" t="s">
        <v>352</v>
      </c>
      <c r="R484" t="s">
        <v>25</v>
      </c>
      <c r="S484" t="s">
        <v>594</v>
      </c>
      <c r="T484">
        <v>5</v>
      </c>
    </row>
    <row r="485" spans="1:20">
      <c r="A485" t="s">
        <v>1141</v>
      </c>
      <c r="B485">
        <v>7</v>
      </c>
      <c r="C485" s="1">
        <v>40246.690972222219</v>
      </c>
      <c r="D485">
        <v>8</v>
      </c>
      <c r="E485">
        <v>8</v>
      </c>
      <c r="G485">
        <v>0</v>
      </c>
      <c r="H485">
        <v>1245</v>
      </c>
      <c r="I485" t="s">
        <v>22</v>
      </c>
      <c r="J485">
        <v>365</v>
      </c>
      <c r="K485">
        <v>0</v>
      </c>
      <c r="L485">
        <v>15.8</v>
      </c>
      <c r="M485" t="s">
        <v>829</v>
      </c>
      <c r="N485">
        <v>12</v>
      </c>
      <c r="O485">
        <v>-43.521999999999998</v>
      </c>
      <c r="P485">
        <v>171.83</v>
      </c>
      <c r="Q485" t="s">
        <v>1142</v>
      </c>
      <c r="R485" t="s">
        <v>25</v>
      </c>
      <c r="S485" t="s">
        <v>594</v>
      </c>
      <c r="T485">
        <v>5</v>
      </c>
    </row>
    <row r="486" spans="1:20">
      <c r="A486" t="s">
        <v>1239</v>
      </c>
      <c r="B486">
        <v>7.8</v>
      </c>
      <c r="C486" t="s">
        <v>1240</v>
      </c>
      <c r="D486">
        <v>6</v>
      </c>
      <c r="E486">
        <v>8</v>
      </c>
      <c r="G486">
        <v>0</v>
      </c>
      <c r="H486">
        <v>1165</v>
      </c>
      <c r="I486" t="s">
        <v>22</v>
      </c>
      <c r="J486">
        <v>434</v>
      </c>
      <c r="K486">
        <v>0</v>
      </c>
      <c r="L486">
        <v>16.8</v>
      </c>
      <c r="M486" t="s">
        <v>829</v>
      </c>
      <c r="N486">
        <v>12</v>
      </c>
      <c r="O486">
        <v>-45.762</v>
      </c>
      <c r="P486">
        <v>166.56200000000001</v>
      </c>
      <c r="Q486" t="s">
        <v>1241</v>
      </c>
      <c r="R486" t="s">
        <v>25</v>
      </c>
      <c r="S486" t="s">
        <v>594</v>
      </c>
      <c r="T486">
        <v>5</v>
      </c>
    </row>
    <row r="487" spans="1:20">
      <c r="A487" t="s">
        <v>1596</v>
      </c>
      <c r="B487">
        <v>7.2</v>
      </c>
      <c r="C487" t="s">
        <v>1597</v>
      </c>
      <c r="D487">
        <v>0</v>
      </c>
      <c r="E487">
        <v>7</v>
      </c>
      <c r="G487">
        <v>0</v>
      </c>
      <c r="H487">
        <v>798</v>
      </c>
      <c r="I487" t="s">
        <v>22</v>
      </c>
      <c r="J487">
        <v>428</v>
      </c>
      <c r="K487">
        <v>0</v>
      </c>
      <c r="L487">
        <v>17.5</v>
      </c>
      <c r="M487" t="s">
        <v>829</v>
      </c>
      <c r="N487">
        <v>28</v>
      </c>
      <c r="O487">
        <v>-45.103999999999999</v>
      </c>
      <c r="P487">
        <v>167.14400000000001</v>
      </c>
      <c r="Q487" t="s">
        <v>1241</v>
      </c>
      <c r="R487" t="s">
        <v>25</v>
      </c>
      <c r="S487" t="s">
        <v>594</v>
      </c>
      <c r="T487">
        <v>5</v>
      </c>
    </row>
    <row r="488" spans="1:20">
      <c r="A488" t="s">
        <v>1336</v>
      </c>
      <c r="B488">
        <v>6.8</v>
      </c>
      <c r="C488" t="s">
        <v>1337</v>
      </c>
      <c r="D488">
        <v>4</v>
      </c>
      <c r="E488">
        <v>7</v>
      </c>
      <c r="G488">
        <v>0</v>
      </c>
      <c r="H488">
        <v>744</v>
      </c>
      <c r="I488" t="s">
        <v>22</v>
      </c>
      <c r="J488">
        <v>338</v>
      </c>
      <c r="K488">
        <v>0</v>
      </c>
      <c r="L488">
        <v>19</v>
      </c>
      <c r="M488" t="s">
        <v>829</v>
      </c>
      <c r="N488">
        <v>18</v>
      </c>
      <c r="O488">
        <v>-44.795999999999999</v>
      </c>
      <c r="P488">
        <v>167.553</v>
      </c>
      <c r="Q488" t="s">
        <v>1241</v>
      </c>
      <c r="R488" t="s">
        <v>25</v>
      </c>
      <c r="S488" t="s">
        <v>594</v>
      </c>
      <c r="T488">
        <v>5</v>
      </c>
    </row>
    <row r="489" spans="1:20">
      <c r="A489" t="s">
        <v>1520</v>
      </c>
      <c r="B489">
        <v>7.1</v>
      </c>
      <c r="C489" t="s">
        <v>1521</v>
      </c>
      <c r="D489">
        <v>5</v>
      </c>
      <c r="E489">
        <v>5</v>
      </c>
      <c r="G489">
        <v>0</v>
      </c>
      <c r="H489">
        <v>782</v>
      </c>
      <c r="I489" t="s">
        <v>22</v>
      </c>
      <c r="J489">
        <v>585</v>
      </c>
      <c r="K489">
        <v>0</v>
      </c>
      <c r="L489">
        <v>14.7</v>
      </c>
      <c r="M489" t="s">
        <v>829</v>
      </c>
      <c r="N489">
        <v>10</v>
      </c>
      <c r="O489">
        <v>-46.676000000000002</v>
      </c>
      <c r="P489">
        <v>164.721</v>
      </c>
      <c r="Q489" t="s">
        <v>1522</v>
      </c>
      <c r="R489" t="s">
        <v>25</v>
      </c>
      <c r="S489" t="s">
        <v>594</v>
      </c>
      <c r="T489">
        <v>5</v>
      </c>
    </row>
    <row r="490" spans="1:20">
      <c r="A490" t="s">
        <v>842</v>
      </c>
      <c r="B490">
        <v>7.5</v>
      </c>
      <c r="C490" t="s">
        <v>843</v>
      </c>
      <c r="D490">
        <v>0</v>
      </c>
      <c r="E490">
        <v>6</v>
      </c>
      <c r="F490" t="s">
        <v>21</v>
      </c>
      <c r="G490">
        <v>1</v>
      </c>
      <c r="H490">
        <v>865</v>
      </c>
      <c r="I490" t="s">
        <v>22</v>
      </c>
      <c r="J490">
        <v>0</v>
      </c>
      <c r="K490">
        <v>3.82</v>
      </c>
      <c r="L490">
        <v>16</v>
      </c>
      <c r="M490" t="s">
        <v>23</v>
      </c>
      <c r="N490">
        <v>43.37</v>
      </c>
      <c r="O490">
        <v>-6.7546999999999997</v>
      </c>
      <c r="P490">
        <v>155.024</v>
      </c>
      <c r="Q490" t="s">
        <v>562</v>
      </c>
      <c r="R490" t="s">
        <v>25</v>
      </c>
      <c r="S490" t="s">
        <v>1739</v>
      </c>
      <c r="T490">
        <v>5</v>
      </c>
    </row>
    <row r="491" spans="1:20">
      <c r="A491" t="s">
        <v>1637</v>
      </c>
      <c r="B491">
        <v>7.6</v>
      </c>
      <c r="C491" s="1">
        <v>37477.780555555553</v>
      </c>
      <c r="D491">
        <v>0</v>
      </c>
      <c r="E491">
        <v>7</v>
      </c>
      <c r="G491">
        <v>0</v>
      </c>
      <c r="H491">
        <v>889</v>
      </c>
      <c r="I491" t="s">
        <v>22</v>
      </c>
      <c r="J491">
        <v>428</v>
      </c>
      <c r="K491">
        <v>0</v>
      </c>
      <c r="L491">
        <v>0</v>
      </c>
      <c r="M491" t="s">
        <v>829</v>
      </c>
      <c r="N491">
        <v>13</v>
      </c>
      <c r="O491">
        <v>-3.302</v>
      </c>
      <c r="P491">
        <v>142.94499999999999</v>
      </c>
      <c r="Q491" t="s">
        <v>956</v>
      </c>
      <c r="R491" t="s">
        <v>25</v>
      </c>
      <c r="S491" t="s">
        <v>64</v>
      </c>
      <c r="T491">
        <v>5</v>
      </c>
    </row>
    <row r="492" spans="1:20">
      <c r="A492" t="s">
        <v>1670</v>
      </c>
      <c r="B492">
        <v>6.7</v>
      </c>
      <c r="C492" s="1">
        <v>37530.468055555553</v>
      </c>
      <c r="D492">
        <v>0</v>
      </c>
      <c r="E492">
        <v>8</v>
      </c>
      <c r="G492">
        <v>0</v>
      </c>
      <c r="H492">
        <v>691</v>
      </c>
      <c r="I492" t="s">
        <v>22</v>
      </c>
      <c r="J492">
        <v>333</v>
      </c>
      <c r="K492">
        <v>0</v>
      </c>
      <c r="L492">
        <v>0</v>
      </c>
      <c r="M492" t="s">
        <v>829</v>
      </c>
      <c r="N492">
        <v>11</v>
      </c>
      <c r="O492">
        <v>-3.2120000000000002</v>
      </c>
      <c r="P492">
        <v>142.42699999999999</v>
      </c>
      <c r="Q492" t="s">
        <v>956</v>
      </c>
      <c r="R492" t="s">
        <v>25</v>
      </c>
      <c r="S492" t="s">
        <v>64</v>
      </c>
      <c r="T492">
        <v>5</v>
      </c>
    </row>
    <row r="493" spans="1:20">
      <c r="A493" t="s">
        <v>954</v>
      </c>
      <c r="B493">
        <v>6.6</v>
      </c>
      <c r="C493" t="s">
        <v>955</v>
      </c>
      <c r="D493">
        <v>7</v>
      </c>
      <c r="E493">
        <v>7</v>
      </c>
      <c r="F493" t="s">
        <v>21</v>
      </c>
      <c r="G493">
        <v>1</v>
      </c>
      <c r="H493">
        <v>672</v>
      </c>
      <c r="I493" t="s">
        <v>22</v>
      </c>
      <c r="J493">
        <v>445</v>
      </c>
      <c r="K493">
        <v>0</v>
      </c>
      <c r="L493">
        <v>11</v>
      </c>
      <c r="M493" t="s">
        <v>23</v>
      </c>
      <c r="N493">
        <v>13</v>
      </c>
      <c r="O493">
        <v>-3.214</v>
      </c>
      <c r="P493">
        <v>142.542</v>
      </c>
      <c r="Q493" t="s">
        <v>956</v>
      </c>
      <c r="R493" t="s">
        <v>25</v>
      </c>
      <c r="S493" t="s">
        <v>64</v>
      </c>
      <c r="T493">
        <v>5</v>
      </c>
    </row>
    <row r="494" spans="1:20">
      <c r="A494" t="s">
        <v>1086</v>
      </c>
      <c r="B494">
        <v>6.6</v>
      </c>
      <c r="C494" t="s">
        <v>1087</v>
      </c>
      <c r="D494">
        <v>3</v>
      </c>
      <c r="E494">
        <v>6</v>
      </c>
      <c r="G494">
        <v>0</v>
      </c>
      <c r="H494">
        <v>674</v>
      </c>
      <c r="I494" t="s">
        <v>22</v>
      </c>
      <c r="J494">
        <v>229</v>
      </c>
      <c r="K494">
        <v>0</v>
      </c>
      <c r="L494">
        <v>16.600000000000001</v>
      </c>
      <c r="M494" t="s">
        <v>23</v>
      </c>
      <c r="N494">
        <v>10</v>
      </c>
      <c r="O494">
        <v>-3.5179999999999998</v>
      </c>
      <c r="P494">
        <v>144.828</v>
      </c>
      <c r="Q494" t="s">
        <v>500</v>
      </c>
      <c r="R494" t="s">
        <v>25</v>
      </c>
      <c r="S494" t="s">
        <v>64</v>
      </c>
      <c r="T494">
        <v>5</v>
      </c>
    </row>
    <row r="495" spans="1:20">
      <c r="A495" t="s">
        <v>499</v>
      </c>
      <c r="B495">
        <v>6.5</v>
      </c>
      <c r="C495" s="1">
        <v>42927.893055555556</v>
      </c>
      <c r="D495">
        <v>6</v>
      </c>
      <c r="E495">
        <v>5</v>
      </c>
      <c r="F495" t="s">
        <v>21</v>
      </c>
      <c r="G495">
        <v>1</v>
      </c>
      <c r="H495">
        <v>661</v>
      </c>
      <c r="I495" t="s">
        <v>22</v>
      </c>
      <c r="J495">
        <v>0</v>
      </c>
      <c r="K495">
        <v>4.4489999999999998</v>
      </c>
      <c r="L495">
        <v>10</v>
      </c>
      <c r="M495" t="s">
        <v>23</v>
      </c>
      <c r="N495">
        <v>110.57</v>
      </c>
      <c r="O495">
        <v>-4.2432999999999996</v>
      </c>
      <c r="P495">
        <v>143.48500000000001</v>
      </c>
      <c r="Q495" t="s">
        <v>500</v>
      </c>
      <c r="R495" t="s">
        <v>25</v>
      </c>
      <c r="S495" t="s">
        <v>64</v>
      </c>
      <c r="T495">
        <v>5</v>
      </c>
    </row>
    <row r="496" spans="1:20">
      <c r="A496" t="s">
        <v>362</v>
      </c>
      <c r="B496">
        <v>7.1</v>
      </c>
      <c r="C496" s="1">
        <v>43621.888194444444</v>
      </c>
      <c r="D496">
        <v>7</v>
      </c>
      <c r="E496">
        <v>6</v>
      </c>
      <c r="F496" t="s">
        <v>45</v>
      </c>
      <c r="G496">
        <v>1</v>
      </c>
      <c r="H496">
        <v>826</v>
      </c>
      <c r="I496" t="s">
        <v>22</v>
      </c>
      <c r="J496">
        <v>0</v>
      </c>
      <c r="K496">
        <v>2.5139999999999998</v>
      </c>
      <c r="L496">
        <v>16</v>
      </c>
      <c r="M496" t="s">
        <v>23</v>
      </c>
      <c r="N496">
        <v>146</v>
      </c>
      <c r="O496">
        <v>-6.9745999999999997</v>
      </c>
      <c r="P496">
        <v>146.44900000000001</v>
      </c>
      <c r="Q496" t="s">
        <v>363</v>
      </c>
      <c r="R496" t="s">
        <v>25</v>
      </c>
      <c r="S496" t="s">
        <v>64</v>
      </c>
      <c r="T496">
        <v>5</v>
      </c>
    </row>
    <row r="497" spans="1:20">
      <c r="A497" t="s">
        <v>802</v>
      </c>
      <c r="B497">
        <v>6.6</v>
      </c>
      <c r="C497" s="1">
        <v>41831.147916666669</v>
      </c>
      <c r="D497">
        <v>2</v>
      </c>
      <c r="E497">
        <v>6</v>
      </c>
      <c r="F497" t="s">
        <v>21</v>
      </c>
      <c r="G497">
        <v>1</v>
      </c>
      <c r="H497">
        <v>671</v>
      </c>
      <c r="I497" t="s">
        <v>22</v>
      </c>
      <c r="J497">
        <v>0</v>
      </c>
      <c r="K497">
        <v>3.5569999999999999</v>
      </c>
      <c r="L497">
        <v>13</v>
      </c>
      <c r="M497" t="s">
        <v>23</v>
      </c>
      <c r="N497">
        <v>53.19</v>
      </c>
      <c r="O497">
        <v>-5.9873000000000003</v>
      </c>
      <c r="P497">
        <v>148.232</v>
      </c>
      <c r="Q497" t="s">
        <v>803</v>
      </c>
      <c r="R497" t="s">
        <v>25</v>
      </c>
      <c r="S497" t="s">
        <v>64</v>
      </c>
      <c r="T497">
        <v>5</v>
      </c>
    </row>
    <row r="498" spans="1:20">
      <c r="A498" t="s">
        <v>963</v>
      </c>
      <c r="B498">
        <v>6.5</v>
      </c>
      <c r="C498" s="1">
        <v>41550.95208333333</v>
      </c>
      <c r="D498">
        <v>0</v>
      </c>
      <c r="E498">
        <v>6</v>
      </c>
      <c r="F498" t="s">
        <v>21</v>
      </c>
      <c r="G498">
        <v>1</v>
      </c>
      <c r="H498">
        <v>650</v>
      </c>
      <c r="I498" t="s">
        <v>22</v>
      </c>
      <c r="J498">
        <v>317</v>
      </c>
      <c r="K498">
        <v>0</v>
      </c>
      <c r="L498">
        <v>14.2</v>
      </c>
      <c r="M498" t="s">
        <v>23</v>
      </c>
      <c r="N498">
        <v>28</v>
      </c>
      <c r="O498">
        <v>-6.5979999999999999</v>
      </c>
      <c r="P498">
        <v>148.17400000000001</v>
      </c>
      <c r="Q498" t="s">
        <v>803</v>
      </c>
      <c r="R498" t="s">
        <v>25</v>
      </c>
      <c r="S498" t="s">
        <v>64</v>
      </c>
      <c r="T498">
        <v>5</v>
      </c>
    </row>
    <row r="499" spans="1:20">
      <c r="A499" t="s">
        <v>1067</v>
      </c>
      <c r="B499">
        <v>6.5</v>
      </c>
      <c r="C499" t="s">
        <v>1068</v>
      </c>
      <c r="D499">
        <v>3</v>
      </c>
      <c r="E499">
        <v>6</v>
      </c>
      <c r="G499">
        <v>0</v>
      </c>
      <c r="H499">
        <v>655</v>
      </c>
      <c r="I499" t="s">
        <v>22</v>
      </c>
      <c r="J499">
        <v>423</v>
      </c>
      <c r="K499">
        <v>0</v>
      </c>
      <c r="L499">
        <v>12.6</v>
      </c>
      <c r="M499" t="s">
        <v>23</v>
      </c>
      <c r="N499">
        <v>37</v>
      </c>
      <c r="O499">
        <v>-6.57</v>
      </c>
      <c r="P499">
        <v>147.881</v>
      </c>
      <c r="Q499" t="s">
        <v>803</v>
      </c>
      <c r="R499" t="s">
        <v>25</v>
      </c>
      <c r="S499" t="s">
        <v>64</v>
      </c>
      <c r="T499">
        <v>5</v>
      </c>
    </row>
    <row r="500" spans="1:20">
      <c r="A500" t="s">
        <v>62</v>
      </c>
      <c r="B500">
        <v>7.6</v>
      </c>
      <c r="C500" s="1">
        <v>44843.990972222222</v>
      </c>
      <c r="D500">
        <v>8</v>
      </c>
      <c r="E500">
        <v>8</v>
      </c>
      <c r="F500" t="s">
        <v>45</v>
      </c>
      <c r="G500">
        <v>1</v>
      </c>
      <c r="H500">
        <v>965</v>
      </c>
      <c r="I500" t="s">
        <v>22</v>
      </c>
      <c r="J500">
        <v>272</v>
      </c>
      <c r="K500">
        <v>3.1579999999999999</v>
      </c>
      <c r="L500">
        <v>12</v>
      </c>
      <c r="M500" t="s">
        <v>23</v>
      </c>
      <c r="N500">
        <v>116</v>
      </c>
      <c r="O500">
        <v>-6.2237</v>
      </c>
      <c r="P500">
        <v>146.471</v>
      </c>
      <c r="Q500" t="s">
        <v>63</v>
      </c>
      <c r="R500" t="s">
        <v>25</v>
      </c>
      <c r="S500" t="s">
        <v>64</v>
      </c>
      <c r="T500">
        <v>5</v>
      </c>
    </row>
    <row r="501" spans="1:20">
      <c r="A501" t="s">
        <v>1042</v>
      </c>
      <c r="B501">
        <v>6.6</v>
      </c>
      <c r="C501" t="s">
        <v>1043</v>
      </c>
      <c r="D501">
        <v>6</v>
      </c>
      <c r="E501">
        <v>6</v>
      </c>
      <c r="G501">
        <v>0</v>
      </c>
      <c r="H501">
        <v>709</v>
      </c>
      <c r="I501" t="s">
        <v>22</v>
      </c>
      <c r="J501">
        <v>640</v>
      </c>
      <c r="K501">
        <v>0</v>
      </c>
      <c r="L501">
        <v>10.1</v>
      </c>
      <c r="M501" t="s">
        <v>23</v>
      </c>
      <c r="N501">
        <v>118</v>
      </c>
      <c r="O501">
        <v>-6.242</v>
      </c>
      <c r="P501">
        <v>145.95500000000001</v>
      </c>
      <c r="Q501" t="s">
        <v>63</v>
      </c>
      <c r="R501" t="s">
        <v>25</v>
      </c>
      <c r="S501" t="s">
        <v>64</v>
      </c>
      <c r="T501">
        <v>5</v>
      </c>
    </row>
    <row r="502" spans="1:20">
      <c r="A502" t="s">
        <v>607</v>
      </c>
      <c r="B502">
        <v>6.8</v>
      </c>
      <c r="C502" t="s">
        <v>608</v>
      </c>
      <c r="D502">
        <v>3</v>
      </c>
      <c r="E502">
        <v>6</v>
      </c>
      <c r="F502" t="s">
        <v>21</v>
      </c>
      <c r="G502">
        <v>1</v>
      </c>
      <c r="H502">
        <v>716</v>
      </c>
      <c r="I502" t="s">
        <v>22</v>
      </c>
      <c r="J502">
        <v>0</v>
      </c>
      <c r="K502">
        <v>3.7269999999999999</v>
      </c>
      <c r="L502">
        <v>11</v>
      </c>
      <c r="M502" t="s">
        <v>23</v>
      </c>
      <c r="N502">
        <v>42</v>
      </c>
      <c r="O502">
        <v>-6.0033000000000003</v>
      </c>
      <c r="P502">
        <v>148.887</v>
      </c>
      <c r="Q502" t="s">
        <v>609</v>
      </c>
      <c r="R502" t="s">
        <v>25</v>
      </c>
      <c r="S502" t="s">
        <v>64</v>
      </c>
      <c r="T502">
        <v>5</v>
      </c>
    </row>
    <row r="503" spans="1:20">
      <c r="A503" t="s">
        <v>929</v>
      </c>
      <c r="B503">
        <v>6.6</v>
      </c>
      <c r="C503" s="1">
        <v>41462.854166666664</v>
      </c>
      <c r="D503">
        <v>4</v>
      </c>
      <c r="E503">
        <v>6</v>
      </c>
      <c r="F503" t="s">
        <v>21</v>
      </c>
      <c r="G503">
        <v>0</v>
      </c>
      <c r="H503">
        <v>674</v>
      </c>
      <c r="I503" t="s">
        <v>22</v>
      </c>
      <c r="J503">
        <v>139</v>
      </c>
      <c r="K503">
        <v>0</v>
      </c>
      <c r="L503">
        <v>14</v>
      </c>
      <c r="M503" t="s">
        <v>23</v>
      </c>
      <c r="N503">
        <v>56</v>
      </c>
      <c r="O503">
        <v>-6.0289999999999999</v>
      </c>
      <c r="P503">
        <v>149.70599999999999</v>
      </c>
      <c r="Q503" t="s">
        <v>609</v>
      </c>
      <c r="R503" t="s">
        <v>25</v>
      </c>
      <c r="S503" t="s">
        <v>64</v>
      </c>
      <c r="T503">
        <v>5</v>
      </c>
    </row>
    <row r="504" spans="1:20">
      <c r="A504" t="s">
        <v>1132</v>
      </c>
      <c r="B504">
        <v>6.6</v>
      </c>
      <c r="C504" s="1">
        <v>40221.133333333331</v>
      </c>
      <c r="D504">
        <v>0</v>
      </c>
      <c r="E504">
        <v>6</v>
      </c>
      <c r="G504">
        <v>0</v>
      </c>
      <c r="H504">
        <v>670</v>
      </c>
      <c r="I504" t="s">
        <v>22</v>
      </c>
      <c r="J504">
        <v>306</v>
      </c>
      <c r="K504">
        <v>0</v>
      </c>
      <c r="L504">
        <v>18.5</v>
      </c>
      <c r="M504" t="s">
        <v>36</v>
      </c>
      <c r="N504">
        <v>33</v>
      </c>
      <c r="O504">
        <v>-6.0010000000000003</v>
      </c>
      <c r="P504">
        <v>149.977</v>
      </c>
      <c r="Q504" t="s">
        <v>609</v>
      </c>
      <c r="R504" t="s">
        <v>25</v>
      </c>
      <c r="S504" t="s">
        <v>64</v>
      </c>
      <c r="T504">
        <v>5</v>
      </c>
    </row>
    <row r="505" spans="1:20">
      <c r="A505" t="s">
        <v>417</v>
      </c>
      <c r="B505">
        <v>7</v>
      </c>
      <c r="C505" s="1">
        <v>43383.866666666669</v>
      </c>
      <c r="D505">
        <v>6</v>
      </c>
      <c r="E505">
        <v>6</v>
      </c>
      <c r="F505" t="s">
        <v>21</v>
      </c>
      <c r="G505">
        <v>1</v>
      </c>
      <c r="H505">
        <v>758</v>
      </c>
      <c r="I505" t="s">
        <v>22</v>
      </c>
      <c r="J505">
        <v>0</v>
      </c>
      <c r="K505">
        <v>1.778</v>
      </c>
      <c r="L505">
        <v>18</v>
      </c>
      <c r="M505" t="s">
        <v>23</v>
      </c>
      <c r="N505">
        <v>39</v>
      </c>
      <c r="O505">
        <v>-5.7012</v>
      </c>
      <c r="P505">
        <v>151.20500000000001</v>
      </c>
      <c r="Q505" t="s">
        <v>418</v>
      </c>
      <c r="R505" t="s">
        <v>25</v>
      </c>
      <c r="S505" t="s">
        <v>64</v>
      </c>
      <c r="T505">
        <v>5</v>
      </c>
    </row>
    <row r="506" spans="1:20">
      <c r="A506" t="s">
        <v>1145</v>
      </c>
      <c r="B506">
        <v>7</v>
      </c>
      <c r="C506" s="1">
        <v>40276.917361111111</v>
      </c>
      <c r="D506">
        <v>4</v>
      </c>
      <c r="E506">
        <v>6</v>
      </c>
      <c r="G506">
        <v>0</v>
      </c>
      <c r="H506">
        <v>757</v>
      </c>
      <c r="I506" t="s">
        <v>22</v>
      </c>
      <c r="J506">
        <v>396</v>
      </c>
      <c r="K506">
        <v>0</v>
      </c>
      <c r="L506">
        <v>12.7</v>
      </c>
      <c r="M506" t="s">
        <v>23</v>
      </c>
      <c r="N506">
        <v>44</v>
      </c>
      <c r="O506">
        <v>-5.7460000000000004</v>
      </c>
      <c r="P506">
        <v>150.76499999999999</v>
      </c>
      <c r="Q506" t="s">
        <v>418</v>
      </c>
      <c r="R506" t="s">
        <v>25</v>
      </c>
      <c r="S506" t="s">
        <v>64</v>
      </c>
      <c r="T506">
        <v>5</v>
      </c>
    </row>
    <row r="507" spans="1:20">
      <c r="A507" t="s">
        <v>1681</v>
      </c>
      <c r="B507">
        <v>7</v>
      </c>
      <c r="C507" t="s">
        <v>1682</v>
      </c>
      <c r="D507">
        <v>0</v>
      </c>
      <c r="E507">
        <v>7</v>
      </c>
      <c r="G507">
        <v>0</v>
      </c>
      <c r="H507">
        <v>754</v>
      </c>
      <c r="I507" t="s">
        <v>22</v>
      </c>
      <c r="J507">
        <v>254</v>
      </c>
      <c r="K507">
        <v>0</v>
      </c>
      <c r="L507">
        <v>0</v>
      </c>
      <c r="M507" t="s">
        <v>829</v>
      </c>
      <c r="N507">
        <v>33</v>
      </c>
      <c r="O507">
        <v>-5.9119999999999999</v>
      </c>
      <c r="P507">
        <v>150.196</v>
      </c>
      <c r="Q507" t="s">
        <v>418</v>
      </c>
      <c r="R507" t="s">
        <v>25</v>
      </c>
      <c r="S507" t="s">
        <v>64</v>
      </c>
      <c r="T507">
        <v>5</v>
      </c>
    </row>
    <row r="508" spans="1:20">
      <c r="A508" t="s">
        <v>461</v>
      </c>
      <c r="B508">
        <v>6.9</v>
      </c>
      <c r="C508" t="s">
        <v>462</v>
      </c>
      <c r="D508">
        <v>9</v>
      </c>
      <c r="E508">
        <v>6</v>
      </c>
      <c r="F508" t="s">
        <v>21</v>
      </c>
      <c r="G508">
        <v>1</v>
      </c>
      <c r="H508">
        <v>741</v>
      </c>
      <c r="I508" t="s">
        <v>22</v>
      </c>
      <c r="J508">
        <v>0</v>
      </c>
      <c r="K508">
        <v>1.4870000000000001</v>
      </c>
      <c r="L508">
        <v>18</v>
      </c>
      <c r="M508" t="s">
        <v>23</v>
      </c>
      <c r="N508">
        <v>35</v>
      </c>
      <c r="O508">
        <v>-5.5320999999999998</v>
      </c>
      <c r="P508">
        <v>151.5</v>
      </c>
      <c r="Q508" t="s">
        <v>418</v>
      </c>
      <c r="R508" t="s">
        <v>25</v>
      </c>
      <c r="S508" t="s">
        <v>64</v>
      </c>
      <c r="T508">
        <v>5</v>
      </c>
    </row>
    <row r="509" spans="1:20">
      <c r="A509" t="s">
        <v>1154</v>
      </c>
      <c r="B509">
        <v>6.9</v>
      </c>
      <c r="C509" t="s">
        <v>1155</v>
      </c>
      <c r="D509">
        <v>4</v>
      </c>
      <c r="E509">
        <v>7</v>
      </c>
      <c r="G509">
        <v>0</v>
      </c>
      <c r="H509">
        <v>737</v>
      </c>
      <c r="I509" t="s">
        <v>22</v>
      </c>
      <c r="J509">
        <v>456</v>
      </c>
      <c r="K509">
        <v>0</v>
      </c>
      <c r="L509">
        <v>15.7</v>
      </c>
      <c r="M509" t="s">
        <v>829</v>
      </c>
      <c r="N509">
        <v>28</v>
      </c>
      <c r="O509">
        <v>-5.9660000000000002</v>
      </c>
      <c r="P509">
        <v>150.428</v>
      </c>
      <c r="Q509" t="s">
        <v>418</v>
      </c>
      <c r="R509" t="s">
        <v>25</v>
      </c>
      <c r="S509" t="s">
        <v>64</v>
      </c>
      <c r="T509">
        <v>5</v>
      </c>
    </row>
    <row r="510" spans="1:20">
      <c r="A510" t="s">
        <v>463</v>
      </c>
      <c r="B510">
        <v>6.7</v>
      </c>
      <c r="C510" t="s">
        <v>464</v>
      </c>
      <c r="D510">
        <v>5</v>
      </c>
      <c r="E510">
        <v>6</v>
      </c>
      <c r="F510" t="s">
        <v>21</v>
      </c>
      <c r="G510">
        <v>1</v>
      </c>
      <c r="H510">
        <v>696</v>
      </c>
      <c r="I510" t="s">
        <v>22</v>
      </c>
      <c r="J510">
        <v>0</v>
      </c>
      <c r="K510">
        <v>1.5069999999999999</v>
      </c>
      <c r="L510">
        <v>15</v>
      </c>
      <c r="M510" t="s">
        <v>23</v>
      </c>
      <c r="N510">
        <v>40</v>
      </c>
      <c r="O510">
        <v>-5.5023999999999997</v>
      </c>
      <c r="P510">
        <v>151.40199999999999</v>
      </c>
      <c r="Q510" t="s">
        <v>418</v>
      </c>
      <c r="R510" t="s">
        <v>25</v>
      </c>
      <c r="S510" t="s">
        <v>64</v>
      </c>
      <c r="T510">
        <v>5</v>
      </c>
    </row>
    <row r="511" spans="1:20">
      <c r="A511" t="s">
        <v>1400</v>
      </c>
      <c r="B511">
        <v>6.7</v>
      </c>
      <c r="C511" t="s">
        <v>1401</v>
      </c>
      <c r="D511">
        <v>5</v>
      </c>
      <c r="E511">
        <v>6</v>
      </c>
      <c r="G511">
        <v>0</v>
      </c>
      <c r="H511">
        <v>692</v>
      </c>
      <c r="I511" t="s">
        <v>22</v>
      </c>
      <c r="J511">
        <v>533</v>
      </c>
      <c r="K511">
        <v>0</v>
      </c>
      <c r="L511">
        <v>15.6</v>
      </c>
      <c r="M511" t="s">
        <v>829</v>
      </c>
      <c r="N511">
        <v>32</v>
      </c>
      <c r="O511">
        <v>-5.8810000000000002</v>
      </c>
      <c r="P511">
        <v>150.982</v>
      </c>
      <c r="Q511" t="s">
        <v>418</v>
      </c>
      <c r="R511" t="s">
        <v>25</v>
      </c>
      <c r="S511" t="s">
        <v>64</v>
      </c>
      <c r="T511">
        <v>5</v>
      </c>
    </row>
    <row r="512" spans="1:20">
      <c r="A512" t="s">
        <v>1573</v>
      </c>
      <c r="B512">
        <v>6.6</v>
      </c>
      <c r="C512" t="s">
        <v>1574</v>
      </c>
      <c r="D512">
        <v>0</v>
      </c>
      <c r="E512">
        <v>6</v>
      </c>
      <c r="G512">
        <v>0</v>
      </c>
      <c r="H512">
        <v>670</v>
      </c>
      <c r="I512" t="s">
        <v>22</v>
      </c>
      <c r="J512">
        <v>384</v>
      </c>
      <c r="K512">
        <v>0</v>
      </c>
      <c r="L512">
        <v>25.1</v>
      </c>
      <c r="M512" t="s">
        <v>36</v>
      </c>
      <c r="N512">
        <v>35</v>
      </c>
      <c r="O512">
        <v>-5.5810000000000004</v>
      </c>
      <c r="P512">
        <v>150.88</v>
      </c>
      <c r="Q512" t="s">
        <v>418</v>
      </c>
      <c r="R512" t="s">
        <v>25</v>
      </c>
      <c r="S512" t="s">
        <v>64</v>
      </c>
      <c r="T512">
        <v>5</v>
      </c>
    </row>
    <row r="513" spans="1:20">
      <c r="A513" t="s">
        <v>1667</v>
      </c>
      <c r="B513">
        <v>6.6</v>
      </c>
      <c r="C513" s="1">
        <v>37378.560416666667</v>
      </c>
      <c r="D513">
        <v>0</v>
      </c>
      <c r="E513">
        <v>6</v>
      </c>
      <c r="G513">
        <v>0</v>
      </c>
      <c r="H513">
        <v>670</v>
      </c>
      <c r="I513" t="s">
        <v>22</v>
      </c>
      <c r="J513">
        <v>444</v>
      </c>
      <c r="K513">
        <v>0</v>
      </c>
      <c r="L513">
        <v>0</v>
      </c>
      <c r="M513" t="s">
        <v>829</v>
      </c>
      <c r="N513">
        <v>39</v>
      </c>
      <c r="O513">
        <v>-5.3449999999999998</v>
      </c>
      <c r="P513">
        <v>151.24799999999999</v>
      </c>
      <c r="Q513" t="s">
        <v>418</v>
      </c>
      <c r="R513" t="s">
        <v>25</v>
      </c>
      <c r="S513" t="s">
        <v>64</v>
      </c>
      <c r="T513">
        <v>5</v>
      </c>
    </row>
    <row r="514" spans="1:20">
      <c r="A514" t="s">
        <v>1415</v>
      </c>
      <c r="B514">
        <v>6.5</v>
      </c>
      <c r="C514" t="s">
        <v>1416</v>
      </c>
      <c r="D514">
        <v>0</v>
      </c>
      <c r="E514">
        <v>6</v>
      </c>
      <c r="G514">
        <v>0</v>
      </c>
      <c r="H514">
        <v>650</v>
      </c>
      <c r="I514" t="s">
        <v>22</v>
      </c>
      <c r="J514">
        <v>477</v>
      </c>
      <c r="K514">
        <v>0</v>
      </c>
      <c r="L514">
        <v>20.3</v>
      </c>
      <c r="M514" t="s">
        <v>829</v>
      </c>
      <c r="N514">
        <v>34</v>
      </c>
      <c r="O514">
        <v>-5.7240000000000002</v>
      </c>
      <c r="P514">
        <v>151.13300000000001</v>
      </c>
      <c r="Q514" t="s">
        <v>418</v>
      </c>
      <c r="R514" t="s">
        <v>25</v>
      </c>
      <c r="S514" t="s">
        <v>64</v>
      </c>
      <c r="T514">
        <v>5</v>
      </c>
    </row>
    <row r="515" spans="1:20">
      <c r="A515" t="s">
        <v>1397</v>
      </c>
      <c r="B515">
        <v>6.6</v>
      </c>
      <c r="C515" s="1">
        <v>38909.734722222223</v>
      </c>
      <c r="D515">
        <v>0</v>
      </c>
      <c r="E515">
        <v>6</v>
      </c>
      <c r="G515">
        <v>0</v>
      </c>
      <c r="H515">
        <v>670</v>
      </c>
      <c r="I515" t="s">
        <v>22</v>
      </c>
      <c r="J515">
        <v>352</v>
      </c>
      <c r="K515">
        <v>0</v>
      </c>
      <c r="L515">
        <v>18.600000000000001</v>
      </c>
      <c r="M515" t="s">
        <v>829</v>
      </c>
      <c r="N515">
        <v>11</v>
      </c>
      <c r="O515">
        <v>-6.4820000000000002</v>
      </c>
      <c r="P515">
        <v>151.19499999999999</v>
      </c>
      <c r="Q515" t="s">
        <v>418</v>
      </c>
      <c r="R515" t="s">
        <v>25</v>
      </c>
      <c r="S515" t="s">
        <v>64</v>
      </c>
      <c r="T515">
        <v>5</v>
      </c>
    </row>
    <row r="516" spans="1:20">
      <c r="A516" t="s">
        <v>574</v>
      </c>
      <c r="B516">
        <v>7.9</v>
      </c>
      <c r="C516" t="s">
        <v>575</v>
      </c>
      <c r="D516">
        <v>9</v>
      </c>
      <c r="E516">
        <v>7</v>
      </c>
      <c r="F516" t="s">
        <v>45</v>
      </c>
      <c r="G516">
        <v>1</v>
      </c>
      <c r="H516">
        <v>972</v>
      </c>
      <c r="I516" t="s">
        <v>22</v>
      </c>
      <c r="J516">
        <v>0</v>
      </c>
      <c r="K516">
        <v>1.389</v>
      </c>
      <c r="L516">
        <v>13</v>
      </c>
      <c r="M516" t="s">
        <v>23</v>
      </c>
      <c r="N516">
        <v>94.54</v>
      </c>
      <c r="O516">
        <v>-4.5049000000000001</v>
      </c>
      <c r="P516">
        <v>153.52199999999999</v>
      </c>
      <c r="Q516" t="s">
        <v>466</v>
      </c>
      <c r="R516" t="s">
        <v>25</v>
      </c>
      <c r="S516" t="s">
        <v>64</v>
      </c>
      <c r="T516">
        <v>5</v>
      </c>
    </row>
    <row r="517" spans="1:20">
      <c r="A517" t="s">
        <v>1462</v>
      </c>
      <c r="B517">
        <v>7.6</v>
      </c>
      <c r="C517" s="1">
        <v>38604.30972222222</v>
      </c>
      <c r="D517">
        <v>5</v>
      </c>
      <c r="E517">
        <v>7</v>
      </c>
      <c r="G517">
        <v>0</v>
      </c>
      <c r="H517">
        <v>891</v>
      </c>
      <c r="I517" t="s">
        <v>22</v>
      </c>
      <c r="J517">
        <v>502</v>
      </c>
      <c r="K517">
        <v>0</v>
      </c>
      <c r="L517">
        <v>20</v>
      </c>
      <c r="M517" t="s">
        <v>829</v>
      </c>
      <c r="N517">
        <v>90</v>
      </c>
      <c r="O517">
        <v>-4.5389999999999997</v>
      </c>
      <c r="P517">
        <v>153.47399999999999</v>
      </c>
      <c r="Q517" t="s">
        <v>466</v>
      </c>
      <c r="R517" t="s">
        <v>25</v>
      </c>
      <c r="S517" t="s">
        <v>64</v>
      </c>
      <c r="T517">
        <v>5</v>
      </c>
    </row>
    <row r="518" spans="1:20">
      <c r="A518" t="s">
        <v>758</v>
      </c>
      <c r="B518">
        <v>7.5</v>
      </c>
      <c r="C518" s="1">
        <v>42129.072222222225</v>
      </c>
      <c r="D518">
        <v>7</v>
      </c>
      <c r="E518">
        <v>8</v>
      </c>
      <c r="F518" t="s">
        <v>21</v>
      </c>
      <c r="G518">
        <v>1</v>
      </c>
      <c r="H518">
        <v>869</v>
      </c>
      <c r="I518" t="s">
        <v>22</v>
      </c>
      <c r="J518">
        <v>0</v>
      </c>
      <c r="K518">
        <v>1.2949999999999999</v>
      </c>
      <c r="L518">
        <v>22</v>
      </c>
      <c r="M518" t="s">
        <v>23</v>
      </c>
      <c r="N518">
        <v>55</v>
      </c>
      <c r="O518">
        <v>-5.4623999999999997</v>
      </c>
      <c r="P518">
        <v>151.875</v>
      </c>
      <c r="Q518" t="s">
        <v>466</v>
      </c>
      <c r="R518" t="s">
        <v>25</v>
      </c>
      <c r="S518" t="s">
        <v>64</v>
      </c>
      <c r="T518">
        <v>5</v>
      </c>
    </row>
    <row r="519" spans="1:20">
      <c r="A519" t="s">
        <v>774</v>
      </c>
      <c r="B519">
        <v>7.5</v>
      </c>
      <c r="C519" t="s">
        <v>775</v>
      </c>
      <c r="D519">
        <v>6</v>
      </c>
      <c r="E519">
        <v>7</v>
      </c>
      <c r="F519" t="s">
        <v>21</v>
      </c>
      <c r="G519">
        <v>1</v>
      </c>
      <c r="H519">
        <v>872</v>
      </c>
      <c r="I519" t="s">
        <v>22</v>
      </c>
      <c r="J519">
        <v>0</v>
      </c>
      <c r="K519">
        <v>0.66600000000000004</v>
      </c>
      <c r="L519">
        <v>19</v>
      </c>
      <c r="M519" t="s">
        <v>23</v>
      </c>
      <c r="N519">
        <v>41</v>
      </c>
      <c r="O519">
        <v>-4.7294</v>
      </c>
      <c r="P519">
        <v>152.56200000000001</v>
      </c>
      <c r="Q519" t="s">
        <v>466</v>
      </c>
      <c r="R519" t="s">
        <v>25</v>
      </c>
      <c r="S519" t="s">
        <v>64</v>
      </c>
      <c r="T519">
        <v>5</v>
      </c>
    </row>
    <row r="520" spans="1:20">
      <c r="A520" t="s">
        <v>930</v>
      </c>
      <c r="B520">
        <v>7.3</v>
      </c>
      <c r="C520" s="1">
        <v>41462.774305555555</v>
      </c>
      <c r="D520">
        <v>0</v>
      </c>
      <c r="E520">
        <v>4</v>
      </c>
      <c r="F520" t="s">
        <v>21</v>
      </c>
      <c r="G520">
        <v>1</v>
      </c>
      <c r="H520">
        <v>820</v>
      </c>
      <c r="I520" t="s">
        <v>22</v>
      </c>
      <c r="J520">
        <v>117</v>
      </c>
      <c r="K520">
        <v>0</v>
      </c>
      <c r="L520">
        <v>24</v>
      </c>
      <c r="M520" t="s">
        <v>23</v>
      </c>
      <c r="N520">
        <v>385.5</v>
      </c>
      <c r="O520">
        <v>-3.9169999999999998</v>
      </c>
      <c r="P520">
        <v>153.92699999999999</v>
      </c>
      <c r="Q520" t="s">
        <v>466</v>
      </c>
      <c r="R520" t="s">
        <v>25</v>
      </c>
      <c r="S520" t="s">
        <v>64</v>
      </c>
      <c r="T520">
        <v>5</v>
      </c>
    </row>
    <row r="521" spans="1:20">
      <c r="A521" t="s">
        <v>465</v>
      </c>
      <c r="B521">
        <v>6.8</v>
      </c>
      <c r="C521" s="1">
        <v>43315.73541666667</v>
      </c>
      <c r="D521">
        <v>6</v>
      </c>
      <c r="E521">
        <v>6</v>
      </c>
      <c r="F521" t="s">
        <v>21</v>
      </c>
      <c r="G521">
        <v>1</v>
      </c>
      <c r="H521">
        <v>719</v>
      </c>
      <c r="I521" t="s">
        <v>22</v>
      </c>
      <c r="J521">
        <v>0</v>
      </c>
      <c r="K521">
        <v>1.0489999999999999</v>
      </c>
      <c r="L521">
        <v>16</v>
      </c>
      <c r="M521" t="s">
        <v>23</v>
      </c>
      <c r="N521">
        <v>22.86</v>
      </c>
      <c r="O521">
        <v>-4.3761999999999999</v>
      </c>
      <c r="P521">
        <v>153.19999999999999</v>
      </c>
      <c r="Q521" t="s">
        <v>466</v>
      </c>
      <c r="R521" t="s">
        <v>25</v>
      </c>
      <c r="S521" t="s">
        <v>64</v>
      </c>
      <c r="T521">
        <v>5</v>
      </c>
    </row>
    <row r="522" spans="1:20">
      <c r="A522" t="s">
        <v>759</v>
      </c>
      <c r="B522">
        <v>6.8</v>
      </c>
      <c r="C522" s="1">
        <v>42009.337500000001</v>
      </c>
      <c r="D522">
        <v>5</v>
      </c>
      <c r="E522">
        <v>6</v>
      </c>
      <c r="F522" t="s">
        <v>21</v>
      </c>
      <c r="G522">
        <v>1</v>
      </c>
      <c r="H522">
        <v>714</v>
      </c>
      <c r="I522" t="s">
        <v>22</v>
      </c>
      <c r="J522">
        <v>0</v>
      </c>
      <c r="K522">
        <v>1.0740000000000001</v>
      </c>
      <c r="L522">
        <v>23</v>
      </c>
      <c r="M522" t="s">
        <v>23</v>
      </c>
      <c r="N522">
        <v>44</v>
      </c>
      <c r="O522">
        <v>-5.2004999999999999</v>
      </c>
      <c r="P522">
        <v>151.77699999999999</v>
      </c>
      <c r="Q522" t="s">
        <v>466</v>
      </c>
      <c r="R522" t="s">
        <v>25</v>
      </c>
      <c r="S522" t="s">
        <v>64</v>
      </c>
      <c r="T522">
        <v>5</v>
      </c>
    </row>
    <row r="523" spans="1:20">
      <c r="A523" t="s">
        <v>1338</v>
      </c>
      <c r="B523">
        <v>6.8</v>
      </c>
      <c r="C523" t="s">
        <v>1339</v>
      </c>
      <c r="D523">
        <v>4</v>
      </c>
      <c r="E523">
        <v>5</v>
      </c>
      <c r="G523">
        <v>0</v>
      </c>
      <c r="H523">
        <v>713</v>
      </c>
      <c r="I523" t="s">
        <v>22</v>
      </c>
      <c r="J523">
        <v>348</v>
      </c>
      <c r="K523">
        <v>0</v>
      </c>
      <c r="L523">
        <v>15.5</v>
      </c>
      <c r="M523" t="s">
        <v>829</v>
      </c>
      <c r="N523">
        <v>40</v>
      </c>
      <c r="O523">
        <v>-4.99</v>
      </c>
      <c r="P523">
        <v>153.5</v>
      </c>
      <c r="Q523" t="s">
        <v>466</v>
      </c>
      <c r="R523" t="s">
        <v>25</v>
      </c>
      <c r="S523" t="s">
        <v>64</v>
      </c>
      <c r="T523">
        <v>5</v>
      </c>
    </row>
    <row r="524" spans="1:20">
      <c r="A524" t="s">
        <v>1617</v>
      </c>
      <c r="B524">
        <v>6.8</v>
      </c>
      <c r="C524" s="1">
        <v>37928.310416666667</v>
      </c>
      <c r="D524">
        <v>0</v>
      </c>
      <c r="E524">
        <v>7</v>
      </c>
      <c r="G524">
        <v>0</v>
      </c>
      <c r="H524">
        <v>711</v>
      </c>
      <c r="I524" t="s">
        <v>22</v>
      </c>
      <c r="J524">
        <v>431</v>
      </c>
      <c r="K524">
        <v>0</v>
      </c>
      <c r="L524">
        <v>38.4</v>
      </c>
      <c r="M524" t="s">
        <v>829</v>
      </c>
      <c r="N524">
        <v>40.200000000000003</v>
      </c>
      <c r="O524">
        <v>-4.694</v>
      </c>
      <c r="P524">
        <v>153.238</v>
      </c>
      <c r="Q524" t="s">
        <v>466</v>
      </c>
      <c r="R524" t="s">
        <v>25</v>
      </c>
      <c r="S524" t="s">
        <v>64</v>
      </c>
      <c r="T524">
        <v>5</v>
      </c>
    </row>
    <row r="525" spans="1:20">
      <c r="A525" t="s">
        <v>760</v>
      </c>
      <c r="B525">
        <v>6.7</v>
      </c>
      <c r="C525" t="s">
        <v>761</v>
      </c>
      <c r="D525">
        <v>5</v>
      </c>
      <c r="E525">
        <v>6</v>
      </c>
      <c r="F525" t="s">
        <v>21</v>
      </c>
      <c r="G525">
        <v>1</v>
      </c>
      <c r="H525">
        <v>692</v>
      </c>
      <c r="I525" t="s">
        <v>22</v>
      </c>
      <c r="J525">
        <v>0</v>
      </c>
      <c r="K525">
        <v>1.2390000000000001</v>
      </c>
      <c r="L525">
        <v>12</v>
      </c>
      <c r="M525" t="s">
        <v>23</v>
      </c>
      <c r="N525">
        <v>31</v>
      </c>
      <c r="O525">
        <v>-5.375</v>
      </c>
      <c r="P525">
        <v>151.77099999999999</v>
      </c>
      <c r="Q525" t="s">
        <v>466</v>
      </c>
      <c r="R525" t="s">
        <v>25</v>
      </c>
      <c r="S525" t="s">
        <v>64</v>
      </c>
      <c r="T525">
        <v>5</v>
      </c>
    </row>
    <row r="526" spans="1:20">
      <c r="A526" t="s">
        <v>1242</v>
      </c>
      <c r="B526">
        <v>6.7</v>
      </c>
      <c r="C526" t="s">
        <v>1243</v>
      </c>
      <c r="D526">
        <v>5</v>
      </c>
      <c r="E526">
        <v>5</v>
      </c>
      <c r="G526">
        <v>0</v>
      </c>
      <c r="H526">
        <v>693</v>
      </c>
      <c r="I526" t="s">
        <v>22</v>
      </c>
      <c r="J526">
        <v>269</v>
      </c>
      <c r="K526">
        <v>0</v>
      </c>
      <c r="L526">
        <v>13.8</v>
      </c>
      <c r="M526" t="s">
        <v>829</v>
      </c>
      <c r="N526">
        <v>64</v>
      </c>
      <c r="O526">
        <v>-5.157</v>
      </c>
      <c r="P526">
        <v>153.78200000000001</v>
      </c>
      <c r="Q526" t="s">
        <v>466</v>
      </c>
      <c r="R526" t="s">
        <v>25</v>
      </c>
      <c r="S526" t="s">
        <v>64</v>
      </c>
      <c r="T526">
        <v>5</v>
      </c>
    </row>
    <row r="527" spans="1:20">
      <c r="A527" t="s">
        <v>1457</v>
      </c>
      <c r="B527">
        <v>6.6</v>
      </c>
      <c r="C527" t="s">
        <v>1458</v>
      </c>
      <c r="D527">
        <v>0</v>
      </c>
      <c r="E527">
        <v>6</v>
      </c>
      <c r="G527">
        <v>0</v>
      </c>
      <c r="H527">
        <v>670</v>
      </c>
      <c r="I527" t="s">
        <v>22</v>
      </c>
      <c r="J527">
        <v>402</v>
      </c>
      <c r="K527">
        <v>0</v>
      </c>
      <c r="L527">
        <v>17.7</v>
      </c>
      <c r="M527" t="s">
        <v>829</v>
      </c>
      <c r="N527">
        <v>25</v>
      </c>
      <c r="O527">
        <v>-5.4370000000000003</v>
      </c>
      <c r="P527">
        <v>151.84</v>
      </c>
      <c r="Q527" t="s">
        <v>466</v>
      </c>
      <c r="R527" t="s">
        <v>25</v>
      </c>
      <c r="S527" t="s">
        <v>64</v>
      </c>
      <c r="T527">
        <v>5</v>
      </c>
    </row>
    <row r="528" spans="1:20">
      <c r="A528" t="s">
        <v>1605</v>
      </c>
      <c r="B528">
        <v>6.6</v>
      </c>
      <c r="C528" s="1">
        <v>37808.022222222222</v>
      </c>
      <c r="D528">
        <v>0</v>
      </c>
      <c r="E528">
        <v>6</v>
      </c>
      <c r="G528">
        <v>0</v>
      </c>
      <c r="H528">
        <v>670</v>
      </c>
      <c r="I528" t="s">
        <v>22</v>
      </c>
      <c r="J528">
        <v>419</v>
      </c>
      <c r="K528">
        <v>0</v>
      </c>
      <c r="L528">
        <v>27.8</v>
      </c>
      <c r="M528" t="s">
        <v>829</v>
      </c>
      <c r="N528">
        <v>33</v>
      </c>
      <c r="O528">
        <v>-5.0949999999999998</v>
      </c>
      <c r="P528">
        <v>152.50200000000001</v>
      </c>
      <c r="Q528" t="s">
        <v>466</v>
      </c>
      <c r="R528" t="s">
        <v>25</v>
      </c>
      <c r="S528" t="s">
        <v>64</v>
      </c>
      <c r="T528">
        <v>5</v>
      </c>
    </row>
    <row r="529" spans="1:20">
      <c r="A529" t="s">
        <v>1018</v>
      </c>
      <c r="B529">
        <v>6.5</v>
      </c>
      <c r="C529" t="s">
        <v>1019</v>
      </c>
      <c r="D529">
        <v>5</v>
      </c>
      <c r="E529">
        <v>6</v>
      </c>
      <c r="G529">
        <v>0</v>
      </c>
      <c r="H529">
        <v>653</v>
      </c>
      <c r="I529" t="s">
        <v>22</v>
      </c>
      <c r="J529">
        <v>576</v>
      </c>
      <c r="K529">
        <v>0</v>
      </c>
      <c r="L529">
        <v>11.7</v>
      </c>
      <c r="M529" t="s">
        <v>23</v>
      </c>
      <c r="N529">
        <v>41</v>
      </c>
      <c r="O529">
        <v>-4.6509999999999998</v>
      </c>
      <c r="P529">
        <v>153.173</v>
      </c>
      <c r="Q529" t="s">
        <v>466</v>
      </c>
      <c r="R529" t="s">
        <v>25</v>
      </c>
      <c r="S529" t="s">
        <v>64</v>
      </c>
      <c r="T529">
        <v>5</v>
      </c>
    </row>
    <row r="530" spans="1:20">
      <c r="A530" t="s">
        <v>1625</v>
      </c>
      <c r="B530">
        <v>6.7</v>
      </c>
      <c r="C530" s="1">
        <v>37895.549305555556</v>
      </c>
      <c r="D530">
        <v>0</v>
      </c>
      <c r="E530">
        <v>5</v>
      </c>
      <c r="G530">
        <v>0</v>
      </c>
      <c r="H530">
        <v>691</v>
      </c>
      <c r="I530" t="s">
        <v>22</v>
      </c>
      <c r="J530">
        <v>323</v>
      </c>
      <c r="K530">
        <v>0</v>
      </c>
      <c r="L530">
        <v>0</v>
      </c>
      <c r="M530" t="s">
        <v>36</v>
      </c>
      <c r="N530">
        <v>71.900000000000006</v>
      </c>
      <c r="O530">
        <v>-5.3109999999999999</v>
      </c>
      <c r="P530">
        <v>153.70099999999999</v>
      </c>
      <c r="Q530" t="s">
        <v>466</v>
      </c>
      <c r="R530" t="s">
        <v>25</v>
      </c>
      <c r="S530" t="s">
        <v>64</v>
      </c>
      <c r="T530">
        <v>5</v>
      </c>
    </row>
    <row r="531" spans="1:20">
      <c r="A531" t="s">
        <v>819</v>
      </c>
      <c r="B531">
        <v>6.5</v>
      </c>
      <c r="C531" s="1">
        <v>41736.625</v>
      </c>
      <c r="D531">
        <v>0</v>
      </c>
      <c r="E531">
        <v>4</v>
      </c>
      <c r="F531" t="s">
        <v>21</v>
      </c>
      <c r="G531">
        <v>1</v>
      </c>
      <c r="H531">
        <v>650</v>
      </c>
      <c r="I531" t="s">
        <v>22</v>
      </c>
      <c r="J531">
        <v>0</v>
      </c>
      <c r="K531">
        <v>2.1240000000000001</v>
      </c>
      <c r="L531">
        <v>15</v>
      </c>
      <c r="M531" t="s">
        <v>23</v>
      </c>
      <c r="N531">
        <v>20</v>
      </c>
      <c r="O531">
        <v>-6.2304000000000004</v>
      </c>
      <c r="P531">
        <v>152.80699999999999</v>
      </c>
      <c r="Q531" t="s">
        <v>466</v>
      </c>
      <c r="R531" t="s">
        <v>25</v>
      </c>
      <c r="S531" t="s">
        <v>64</v>
      </c>
      <c r="T531">
        <v>5</v>
      </c>
    </row>
    <row r="532" spans="1:20">
      <c r="A532" t="s">
        <v>1026</v>
      </c>
      <c r="B532">
        <v>6.8</v>
      </c>
      <c r="C532" t="s">
        <v>1027</v>
      </c>
      <c r="D532">
        <v>6</v>
      </c>
      <c r="E532">
        <v>5</v>
      </c>
      <c r="G532">
        <v>0</v>
      </c>
      <c r="H532">
        <v>732</v>
      </c>
      <c r="I532" t="s">
        <v>22</v>
      </c>
      <c r="J532">
        <v>597</v>
      </c>
      <c r="K532">
        <v>0</v>
      </c>
      <c r="L532">
        <v>12.6</v>
      </c>
      <c r="M532" t="s">
        <v>23</v>
      </c>
      <c r="N532">
        <v>198</v>
      </c>
      <c r="O532">
        <v>-5.4619999999999997</v>
      </c>
      <c r="P532">
        <v>147.11699999999999</v>
      </c>
      <c r="Q532" t="s">
        <v>1028</v>
      </c>
      <c r="R532" t="s">
        <v>25</v>
      </c>
      <c r="S532" t="s">
        <v>64</v>
      </c>
      <c r="T532">
        <v>5</v>
      </c>
    </row>
    <row r="533" spans="1:20">
      <c r="A533" t="s">
        <v>1324</v>
      </c>
      <c r="B533">
        <v>6.8</v>
      </c>
      <c r="C533" t="s">
        <v>1325</v>
      </c>
      <c r="D533">
        <v>6</v>
      </c>
      <c r="E533">
        <v>6</v>
      </c>
      <c r="G533">
        <v>0</v>
      </c>
      <c r="H533">
        <v>722</v>
      </c>
      <c r="I533" t="s">
        <v>22</v>
      </c>
      <c r="J533">
        <v>341</v>
      </c>
      <c r="K533">
        <v>0</v>
      </c>
      <c r="L533">
        <v>15.9</v>
      </c>
      <c r="M533" t="s">
        <v>829</v>
      </c>
      <c r="N533">
        <v>53</v>
      </c>
      <c r="O533">
        <v>-5.7569999999999997</v>
      </c>
      <c r="P533">
        <v>147.09800000000001</v>
      </c>
      <c r="Q533" t="s">
        <v>1028</v>
      </c>
      <c r="R533" t="s">
        <v>25</v>
      </c>
      <c r="S533" t="s">
        <v>64</v>
      </c>
      <c r="T533">
        <v>5</v>
      </c>
    </row>
    <row r="534" spans="1:20">
      <c r="A534" t="s">
        <v>1146</v>
      </c>
      <c r="B534">
        <v>6.5</v>
      </c>
      <c r="C534" s="1">
        <v>40276.302083333336</v>
      </c>
      <c r="D534">
        <v>5</v>
      </c>
      <c r="E534">
        <v>4</v>
      </c>
      <c r="G534">
        <v>0</v>
      </c>
      <c r="H534">
        <v>659</v>
      </c>
      <c r="I534" t="s">
        <v>22</v>
      </c>
      <c r="J534">
        <v>403</v>
      </c>
      <c r="K534">
        <v>0</v>
      </c>
      <c r="L534">
        <v>11.1</v>
      </c>
      <c r="M534" t="s">
        <v>829</v>
      </c>
      <c r="N534">
        <v>220</v>
      </c>
      <c r="O534">
        <v>-5.4859999999999998</v>
      </c>
      <c r="P534">
        <v>146.822</v>
      </c>
      <c r="Q534" t="s">
        <v>1147</v>
      </c>
      <c r="R534" t="s">
        <v>25</v>
      </c>
      <c r="S534" t="s">
        <v>64</v>
      </c>
      <c r="T534">
        <v>5</v>
      </c>
    </row>
    <row r="535" spans="1:20">
      <c r="A535" t="s">
        <v>359</v>
      </c>
      <c r="B535">
        <v>7.6</v>
      </c>
      <c r="C535" t="s">
        <v>360</v>
      </c>
      <c r="D535">
        <v>7</v>
      </c>
      <c r="E535">
        <v>7</v>
      </c>
      <c r="F535" t="s">
        <v>21</v>
      </c>
      <c r="G535">
        <v>1</v>
      </c>
      <c r="H535">
        <v>929</v>
      </c>
      <c r="I535" t="s">
        <v>22</v>
      </c>
      <c r="J535">
        <v>0</v>
      </c>
      <c r="K535">
        <v>0.45300000000000001</v>
      </c>
      <c r="L535">
        <v>16</v>
      </c>
      <c r="M535" t="s">
        <v>23</v>
      </c>
      <c r="N535">
        <v>10</v>
      </c>
      <c r="O535">
        <v>-4.0510000000000002</v>
      </c>
      <c r="P535">
        <v>152.59700000000001</v>
      </c>
      <c r="Q535" t="s">
        <v>361</v>
      </c>
      <c r="R535" t="s">
        <v>25</v>
      </c>
      <c r="S535" t="s">
        <v>64</v>
      </c>
      <c r="T535">
        <v>5</v>
      </c>
    </row>
    <row r="536" spans="1:20">
      <c r="A536" t="s">
        <v>1151</v>
      </c>
      <c r="B536">
        <v>7.3</v>
      </c>
      <c r="C536" t="s">
        <v>1152</v>
      </c>
      <c r="D536">
        <v>8</v>
      </c>
      <c r="E536">
        <v>7</v>
      </c>
      <c r="G536">
        <v>0</v>
      </c>
      <c r="H536">
        <v>831</v>
      </c>
      <c r="I536" t="s">
        <v>22</v>
      </c>
      <c r="J536">
        <v>397</v>
      </c>
      <c r="K536">
        <v>0</v>
      </c>
      <c r="L536">
        <v>18.2</v>
      </c>
      <c r="M536" t="s">
        <v>829</v>
      </c>
      <c r="N536">
        <v>35</v>
      </c>
      <c r="O536">
        <v>-5.931</v>
      </c>
      <c r="P536">
        <v>150.59</v>
      </c>
      <c r="Q536" t="s">
        <v>1153</v>
      </c>
      <c r="R536" t="s">
        <v>25</v>
      </c>
      <c r="S536" t="s">
        <v>64</v>
      </c>
      <c r="T536">
        <v>5</v>
      </c>
    </row>
    <row r="537" spans="1:20">
      <c r="A537" t="s">
        <v>1626</v>
      </c>
      <c r="B537">
        <v>6.7</v>
      </c>
      <c r="C537" s="1">
        <v>37602.354166666664</v>
      </c>
      <c r="D537">
        <v>0</v>
      </c>
      <c r="E537">
        <v>6</v>
      </c>
      <c r="G537">
        <v>0</v>
      </c>
      <c r="H537">
        <v>691</v>
      </c>
      <c r="I537" t="s">
        <v>22</v>
      </c>
      <c r="J537">
        <v>453</v>
      </c>
      <c r="K537">
        <v>0</v>
      </c>
      <c r="L537">
        <v>0</v>
      </c>
      <c r="M537" t="s">
        <v>36</v>
      </c>
      <c r="N537">
        <v>34</v>
      </c>
      <c r="O537">
        <v>-4.7859999999999996</v>
      </c>
      <c r="P537">
        <v>153.27500000000001</v>
      </c>
      <c r="Q537" t="s">
        <v>1627</v>
      </c>
      <c r="R537" t="s">
        <v>25</v>
      </c>
      <c r="S537" t="s">
        <v>64</v>
      </c>
      <c r="T537">
        <v>5</v>
      </c>
    </row>
    <row r="538" spans="1:20">
      <c r="A538" t="s">
        <v>560</v>
      </c>
      <c r="B538">
        <v>7.9</v>
      </c>
      <c r="C538" t="s">
        <v>561</v>
      </c>
      <c r="D538">
        <v>9</v>
      </c>
      <c r="E538">
        <v>7</v>
      </c>
      <c r="F538" t="s">
        <v>45</v>
      </c>
      <c r="G538">
        <v>1</v>
      </c>
      <c r="H538">
        <v>987</v>
      </c>
      <c r="I538" t="s">
        <v>22</v>
      </c>
      <c r="J538">
        <v>0</v>
      </c>
      <c r="K538">
        <v>3.625</v>
      </c>
      <c r="L538">
        <v>9</v>
      </c>
      <c r="M538" t="s">
        <v>23</v>
      </c>
      <c r="N538">
        <v>135</v>
      </c>
      <c r="O538">
        <v>-6.2464000000000004</v>
      </c>
      <c r="P538">
        <v>155.172</v>
      </c>
      <c r="Q538" t="s">
        <v>562</v>
      </c>
      <c r="R538" t="s">
        <v>25</v>
      </c>
      <c r="S538" t="s">
        <v>64</v>
      </c>
      <c r="T538">
        <v>5</v>
      </c>
    </row>
    <row r="539" spans="1:20">
      <c r="A539" t="s">
        <v>858</v>
      </c>
      <c r="B539">
        <v>7.1</v>
      </c>
      <c r="C539" s="1">
        <v>41947.296527777777</v>
      </c>
      <c r="D539">
        <v>0</v>
      </c>
      <c r="E539">
        <v>7</v>
      </c>
      <c r="F539" t="s">
        <v>21</v>
      </c>
      <c r="G539">
        <v>1</v>
      </c>
      <c r="H539">
        <v>776</v>
      </c>
      <c r="I539" t="s">
        <v>22</v>
      </c>
      <c r="J539">
        <v>0</v>
      </c>
      <c r="K539">
        <v>3.7290000000000001</v>
      </c>
      <c r="L539">
        <v>21</v>
      </c>
      <c r="M539" t="s">
        <v>23</v>
      </c>
      <c r="N539">
        <v>60.53</v>
      </c>
      <c r="O539">
        <v>-6.5857999999999999</v>
      </c>
      <c r="P539">
        <v>155.048</v>
      </c>
      <c r="Q539" t="s">
        <v>562</v>
      </c>
      <c r="R539" t="s">
        <v>25</v>
      </c>
      <c r="S539" t="s">
        <v>64</v>
      </c>
      <c r="T539">
        <v>5</v>
      </c>
    </row>
    <row r="540" spans="1:20">
      <c r="A540" t="s">
        <v>894</v>
      </c>
      <c r="B540">
        <v>6.8</v>
      </c>
      <c r="C540" t="s">
        <v>895</v>
      </c>
      <c r="D540">
        <v>0</v>
      </c>
      <c r="E540">
        <v>6</v>
      </c>
      <c r="F540" t="s">
        <v>21</v>
      </c>
      <c r="G540">
        <v>1</v>
      </c>
      <c r="H540">
        <v>711</v>
      </c>
      <c r="I540" t="s">
        <v>22</v>
      </c>
      <c r="J540">
        <v>0</v>
      </c>
      <c r="K540">
        <v>5.79</v>
      </c>
      <c r="L540">
        <v>9</v>
      </c>
      <c r="M540" t="s">
        <v>23</v>
      </c>
      <c r="N540">
        <v>35</v>
      </c>
      <c r="O540">
        <v>-6.4455999999999998</v>
      </c>
      <c r="P540">
        <v>154.93100000000001</v>
      </c>
      <c r="Q540" t="s">
        <v>562</v>
      </c>
      <c r="R540" t="s">
        <v>25</v>
      </c>
      <c r="S540" t="s">
        <v>64</v>
      </c>
      <c r="T540">
        <v>5</v>
      </c>
    </row>
    <row r="541" spans="1:20">
      <c r="A541" t="s">
        <v>1408</v>
      </c>
      <c r="B541">
        <v>6.8</v>
      </c>
      <c r="C541" s="1">
        <v>38726.429166666669</v>
      </c>
      <c r="D541">
        <v>0</v>
      </c>
      <c r="E541">
        <v>6</v>
      </c>
      <c r="G541">
        <v>0</v>
      </c>
      <c r="H541">
        <v>711</v>
      </c>
      <c r="I541" t="s">
        <v>22</v>
      </c>
      <c r="J541">
        <v>459</v>
      </c>
      <c r="K541">
        <v>0</v>
      </c>
      <c r="L541">
        <v>28.4</v>
      </c>
      <c r="M541" t="s">
        <v>36</v>
      </c>
      <c r="N541">
        <v>38</v>
      </c>
      <c r="O541">
        <v>-6.7590000000000003</v>
      </c>
      <c r="P541">
        <v>155.512</v>
      </c>
      <c r="Q541" t="s">
        <v>562</v>
      </c>
      <c r="R541" t="s">
        <v>25</v>
      </c>
      <c r="S541" t="s">
        <v>64</v>
      </c>
      <c r="T541">
        <v>5</v>
      </c>
    </row>
    <row r="542" spans="1:20">
      <c r="A542" t="s">
        <v>844</v>
      </c>
      <c r="B542">
        <v>6.6</v>
      </c>
      <c r="C542" t="s">
        <v>845</v>
      </c>
      <c r="D542">
        <v>0</v>
      </c>
      <c r="E542">
        <v>6</v>
      </c>
      <c r="F542" t="s">
        <v>21</v>
      </c>
      <c r="G542">
        <v>1</v>
      </c>
      <c r="H542">
        <v>670</v>
      </c>
      <c r="I542" t="s">
        <v>22</v>
      </c>
      <c r="J542">
        <v>0</v>
      </c>
      <c r="K542">
        <v>3.8029999999999999</v>
      </c>
      <c r="L542">
        <v>11</v>
      </c>
      <c r="M542" t="s">
        <v>23</v>
      </c>
      <c r="N542">
        <v>29</v>
      </c>
      <c r="O542">
        <v>-6.6558000000000002</v>
      </c>
      <c r="P542">
        <v>155.08699999999999</v>
      </c>
      <c r="Q542" t="s">
        <v>562</v>
      </c>
      <c r="R542" t="s">
        <v>25</v>
      </c>
      <c r="S542" t="s">
        <v>64</v>
      </c>
      <c r="T542">
        <v>5</v>
      </c>
    </row>
    <row r="543" spans="1:20">
      <c r="A543" t="s">
        <v>1373</v>
      </c>
      <c r="B543">
        <v>6.9</v>
      </c>
      <c r="C543" s="1">
        <v>39086.882638888892</v>
      </c>
      <c r="D543">
        <v>0</v>
      </c>
      <c r="E543">
        <v>7</v>
      </c>
      <c r="G543">
        <v>0</v>
      </c>
      <c r="H543">
        <v>732</v>
      </c>
      <c r="I543" t="s">
        <v>22</v>
      </c>
      <c r="J543">
        <v>305</v>
      </c>
      <c r="K543">
        <v>0</v>
      </c>
      <c r="L543">
        <v>15.3</v>
      </c>
      <c r="M543" t="s">
        <v>829</v>
      </c>
      <c r="N543">
        <v>10</v>
      </c>
      <c r="O543">
        <v>-7.306</v>
      </c>
      <c r="P543">
        <v>155.74100000000001</v>
      </c>
      <c r="Q543" t="s">
        <v>562</v>
      </c>
      <c r="R543" t="s">
        <v>25</v>
      </c>
      <c r="S543" t="s">
        <v>64</v>
      </c>
      <c r="T543">
        <v>5</v>
      </c>
    </row>
    <row r="544" spans="1:20">
      <c r="A544" t="s">
        <v>1705</v>
      </c>
      <c r="B544">
        <v>6.7</v>
      </c>
      <c r="C544" t="s">
        <v>1706</v>
      </c>
      <c r="D544">
        <v>0</v>
      </c>
      <c r="E544">
        <v>6</v>
      </c>
      <c r="G544">
        <v>0</v>
      </c>
      <c r="H544">
        <v>691</v>
      </c>
      <c r="I544" t="s">
        <v>22</v>
      </c>
      <c r="J544">
        <v>282</v>
      </c>
      <c r="K544">
        <v>0</v>
      </c>
      <c r="L544">
        <v>0</v>
      </c>
      <c r="M544" t="s">
        <v>829</v>
      </c>
      <c r="N544">
        <v>17</v>
      </c>
      <c r="O544">
        <v>-7.41</v>
      </c>
      <c r="P544">
        <v>155.86500000000001</v>
      </c>
      <c r="Q544" t="s">
        <v>562</v>
      </c>
      <c r="R544" t="s">
        <v>25</v>
      </c>
      <c r="S544" t="s">
        <v>64</v>
      </c>
      <c r="T544">
        <v>5</v>
      </c>
    </row>
    <row r="545" spans="1:20">
      <c r="A545" t="s">
        <v>1374</v>
      </c>
      <c r="B545">
        <v>6.6</v>
      </c>
      <c r="C545" s="1">
        <v>39086.865972222222</v>
      </c>
      <c r="D545">
        <v>0</v>
      </c>
      <c r="E545">
        <v>7</v>
      </c>
      <c r="G545">
        <v>0</v>
      </c>
      <c r="H545">
        <v>670</v>
      </c>
      <c r="I545" t="s">
        <v>22</v>
      </c>
      <c r="J545">
        <v>251</v>
      </c>
      <c r="K545">
        <v>0</v>
      </c>
      <c r="L545">
        <v>16</v>
      </c>
      <c r="M545" t="s">
        <v>1107</v>
      </c>
      <c r="N545">
        <v>10</v>
      </c>
      <c r="O545">
        <v>-7.1689999999999996</v>
      </c>
      <c r="P545">
        <v>155.77699999999999</v>
      </c>
      <c r="Q545" t="s">
        <v>562</v>
      </c>
      <c r="R545" t="s">
        <v>25</v>
      </c>
      <c r="S545" t="s">
        <v>64</v>
      </c>
      <c r="T545">
        <v>5</v>
      </c>
    </row>
    <row r="546" spans="1:20">
      <c r="A546" t="s">
        <v>757</v>
      </c>
      <c r="B546">
        <v>7.1</v>
      </c>
      <c r="C546" s="1">
        <v>42190.298611111109</v>
      </c>
      <c r="D546">
        <v>1</v>
      </c>
      <c r="E546">
        <v>6</v>
      </c>
      <c r="F546" t="s">
        <v>21</v>
      </c>
      <c r="G546">
        <v>1</v>
      </c>
      <c r="H546">
        <v>776</v>
      </c>
      <c r="I546" t="s">
        <v>22</v>
      </c>
      <c r="J546">
        <v>0</v>
      </c>
      <c r="K546">
        <v>3.835</v>
      </c>
      <c r="L546">
        <v>11</v>
      </c>
      <c r="M546" t="s">
        <v>23</v>
      </c>
      <c r="N546">
        <v>10</v>
      </c>
      <c r="O546">
        <v>-7.2175000000000002</v>
      </c>
      <c r="P546">
        <v>154.55699999999999</v>
      </c>
      <c r="Q546" t="s">
        <v>562</v>
      </c>
      <c r="R546" t="s">
        <v>25</v>
      </c>
      <c r="S546" t="s">
        <v>64</v>
      </c>
      <c r="T546">
        <v>5</v>
      </c>
    </row>
    <row r="547" spans="1:20">
      <c r="A547" t="s">
        <v>789</v>
      </c>
      <c r="B547">
        <v>6.6</v>
      </c>
      <c r="C547" s="1">
        <v>41832.056944444441</v>
      </c>
      <c r="D547">
        <v>1</v>
      </c>
      <c r="E547">
        <v>5</v>
      </c>
      <c r="F547" t="s">
        <v>21</v>
      </c>
      <c r="G547">
        <v>1</v>
      </c>
      <c r="H547">
        <v>670</v>
      </c>
      <c r="I547" t="s">
        <v>22</v>
      </c>
      <c r="J547">
        <v>0</v>
      </c>
      <c r="K547">
        <v>3.246</v>
      </c>
      <c r="L547">
        <v>12</v>
      </c>
      <c r="M547" t="s">
        <v>23</v>
      </c>
      <c r="N547">
        <v>23</v>
      </c>
      <c r="O547">
        <v>-6.5107999999999997</v>
      </c>
      <c r="P547">
        <v>154.46</v>
      </c>
      <c r="Q547" t="s">
        <v>562</v>
      </c>
      <c r="R547" t="s">
        <v>25</v>
      </c>
      <c r="S547" t="s">
        <v>64</v>
      </c>
      <c r="T547">
        <v>5</v>
      </c>
    </row>
    <row r="548" spans="1:20">
      <c r="A548" t="s">
        <v>960</v>
      </c>
      <c r="B548">
        <v>6.6</v>
      </c>
      <c r="C548" t="s">
        <v>961</v>
      </c>
      <c r="D548">
        <v>0</v>
      </c>
      <c r="E548">
        <v>5</v>
      </c>
      <c r="F548" t="s">
        <v>21</v>
      </c>
      <c r="G548">
        <v>1</v>
      </c>
      <c r="H548">
        <v>670</v>
      </c>
      <c r="I548" t="s">
        <v>22</v>
      </c>
      <c r="J548">
        <v>491</v>
      </c>
      <c r="K548">
        <v>0</v>
      </c>
      <c r="L548">
        <v>11.5</v>
      </c>
      <c r="M548" t="s">
        <v>23</v>
      </c>
      <c r="N548">
        <v>31</v>
      </c>
      <c r="O548">
        <v>-6.4749999999999996</v>
      </c>
      <c r="P548">
        <v>154.607</v>
      </c>
      <c r="Q548" t="s">
        <v>562</v>
      </c>
      <c r="R548" t="s">
        <v>25</v>
      </c>
      <c r="S548" t="s">
        <v>64</v>
      </c>
      <c r="T548">
        <v>5</v>
      </c>
    </row>
    <row r="549" spans="1:20">
      <c r="A549" t="s">
        <v>857</v>
      </c>
      <c r="B549">
        <v>6.5</v>
      </c>
      <c r="C549" s="1">
        <v>41947.344444444447</v>
      </c>
      <c r="D549">
        <v>0</v>
      </c>
      <c r="E549">
        <v>6</v>
      </c>
      <c r="F549" t="s">
        <v>21</v>
      </c>
      <c r="G549">
        <v>1</v>
      </c>
      <c r="H549">
        <v>650</v>
      </c>
      <c r="I549" t="s">
        <v>22</v>
      </c>
      <c r="J549">
        <v>0</v>
      </c>
      <c r="K549">
        <v>3.7869999999999999</v>
      </c>
      <c r="L549">
        <v>16</v>
      </c>
      <c r="M549" t="s">
        <v>23</v>
      </c>
      <c r="N549">
        <v>20</v>
      </c>
      <c r="O549">
        <v>-6.7877999999999998</v>
      </c>
      <c r="P549">
        <v>154.94999999999999</v>
      </c>
      <c r="Q549" t="s">
        <v>562</v>
      </c>
      <c r="R549" t="s">
        <v>25</v>
      </c>
      <c r="S549" t="s">
        <v>64</v>
      </c>
      <c r="T549">
        <v>5</v>
      </c>
    </row>
    <row r="550" spans="1:20">
      <c r="A550" t="s">
        <v>260</v>
      </c>
      <c r="B550">
        <v>7</v>
      </c>
      <c r="C550" t="s">
        <v>261</v>
      </c>
      <c r="D550">
        <v>6</v>
      </c>
      <c r="E550">
        <v>7</v>
      </c>
      <c r="F550" t="s">
        <v>21</v>
      </c>
      <c r="G550">
        <v>1</v>
      </c>
      <c r="H550">
        <v>820</v>
      </c>
      <c r="I550" t="s">
        <v>22</v>
      </c>
      <c r="J550">
        <v>0</v>
      </c>
      <c r="K550">
        <v>1.671</v>
      </c>
      <c r="L550">
        <v>18</v>
      </c>
      <c r="M550" t="s">
        <v>23</v>
      </c>
      <c r="N550">
        <v>73</v>
      </c>
      <c r="O550">
        <v>-7.8470000000000004</v>
      </c>
      <c r="P550">
        <v>147.755</v>
      </c>
      <c r="Q550" t="s">
        <v>262</v>
      </c>
      <c r="R550" t="s">
        <v>25</v>
      </c>
      <c r="S550" t="s">
        <v>64</v>
      </c>
      <c r="T550">
        <v>5</v>
      </c>
    </row>
    <row r="551" spans="1:20">
      <c r="A551" t="s">
        <v>614</v>
      </c>
      <c r="B551">
        <v>6.8</v>
      </c>
      <c r="C551" t="s">
        <v>615</v>
      </c>
      <c r="D551">
        <v>4</v>
      </c>
      <c r="E551">
        <v>3</v>
      </c>
      <c r="F551" t="s">
        <v>21</v>
      </c>
      <c r="G551">
        <v>1</v>
      </c>
      <c r="H551">
        <v>713</v>
      </c>
      <c r="I551" t="s">
        <v>22</v>
      </c>
      <c r="J551">
        <v>0</v>
      </c>
      <c r="K551">
        <v>0.80300000000000005</v>
      </c>
      <c r="L551">
        <v>12</v>
      </c>
      <c r="M551" t="s">
        <v>23</v>
      </c>
      <c r="N551">
        <v>476</v>
      </c>
      <c r="O551">
        <v>-3.6848999999999998</v>
      </c>
      <c r="P551">
        <v>152.792</v>
      </c>
      <c r="Q551" t="s">
        <v>616</v>
      </c>
      <c r="R551" t="s">
        <v>25</v>
      </c>
      <c r="S551" t="s">
        <v>64</v>
      </c>
      <c r="T551">
        <v>5</v>
      </c>
    </row>
    <row r="552" spans="1:20">
      <c r="A552" t="s">
        <v>947</v>
      </c>
      <c r="B552">
        <v>6.5</v>
      </c>
      <c r="C552" t="s">
        <v>948</v>
      </c>
      <c r="D552">
        <v>0</v>
      </c>
      <c r="E552">
        <v>6</v>
      </c>
      <c r="F552" t="s">
        <v>21</v>
      </c>
      <c r="G552">
        <v>1</v>
      </c>
      <c r="H552">
        <v>650</v>
      </c>
      <c r="I552" t="s">
        <v>22</v>
      </c>
      <c r="J552">
        <v>264</v>
      </c>
      <c r="K552">
        <v>0</v>
      </c>
      <c r="L552">
        <v>16.600000000000001</v>
      </c>
      <c r="M552" t="s">
        <v>23</v>
      </c>
      <c r="N552">
        <v>10</v>
      </c>
      <c r="O552">
        <v>-3.8980000000000001</v>
      </c>
      <c r="P552">
        <v>152.12700000000001</v>
      </c>
      <c r="Q552" t="s">
        <v>616</v>
      </c>
      <c r="R552" t="s">
        <v>25</v>
      </c>
      <c r="S552" t="s">
        <v>64</v>
      </c>
      <c r="T552">
        <v>5</v>
      </c>
    </row>
    <row r="553" spans="1:20">
      <c r="A553" t="s">
        <v>1599</v>
      </c>
      <c r="B553">
        <v>6.5</v>
      </c>
      <c r="C553" t="s">
        <v>1600</v>
      </c>
      <c r="D553">
        <v>0</v>
      </c>
      <c r="E553">
        <v>6</v>
      </c>
      <c r="G553">
        <v>0</v>
      </c>
      <c r="H553">
        <v>650</v>
      </c>
      <c r="I553" t="s">
        <v>22</v>
      </c>
      <c r="J553">
        <v>156</v>
      </c>
      <c r="K553">
        <v>0</v>
      </c>
      <c r="L553">
        <v>31.4</v>
      </c>
      <c r="M553" t="s">
        <v>36</v>
      </c>
      <c r="N553">
        <v>33</v>
      </c>
      <c r="O553">
        <v>-3.8279999999999998</v>
      </c>
      <c r="P553">
        <v>152.17400000000001</v>
      </c>
      <c r="Q553" t="s">
        <v>616</v>
      </c>
      <c r="R553" t="s">
        <v>25</v>
      </c>
      <c r="S553" t="s">
        <v>64</v>
      </c>
      <c r="T553">
        <v>5</v>
      </c>
    </row>
    <row r="554" spans="1:20">
      <c r="A554" t="s">
        <v>469</v>
      </c>
      <c r="B554">
        <v>7.5</v>
      </c>
      <c r="C554" t="s">
        <v>470</v>
      </c>
      <c r="D554">
        <v>9</v>
      </c>
      <c r="E554">
        <v>8</v>
      </c>
      <c r="F554" t="s">
        <v>45</v>
      </c>
      <c r="G554">
        <v>1</v>
      </c>
      <c r="H554">
        <v>943</v>
      </c>
      <c r="I554" t="s">
        <v>22</v>
      </c>
      <c r="J554">
        <v>0</v>
      </c>
      <c r="K554">
        <v>5.48</v>
      </c>
      <c r="L554">
        <v>17</v>
      </c>
      <c r="M554" t="s">
        <v>23</v>
      </c>
      <c r="N554">
        <v>25.21</v>
      </c>
      <c r="O554">
        <v>-6.0698999999999996</v>
      </c>
      <c r="P554">
        <v>142.75399999999999</v>
      </c>
      <c r="Q554" t="s">
        <v>468</v>
      </c>
      <c r="R554" t="s">
        <v>25</v>
      </c>
      <c r="S554" t="s">
        <v>64</v>
      </c>
      <c r="T554">
        <v>5</v>
      </c>
    </row>
    <row r="555" spans="1:20">
      <c r="A555" t="s">
        <v>467</v>
      </c>
      <c r="B555">
        <v>6.7</v>
      </c>
      <c r="C555" s="1">
        <v>43254.592361111114</v>
      </c>
      <c r="D555">
        <v>8</v>
      </c>
      <c r="E555">
        <v>7</v>
      </c>
      <c r="F555" t="s">
        <v>21</v>
      </c>
      <c r="G555">
        <v>1</v>
      </c>
      <c r="H555">
        <v>697</v>
      </c>
      <c r="I555" t="s">
        <v>22</v>
      </c>
      <c r="J555">
        <v>0</v>
      </c>
      <c r="K555">
        <v>5.4569999999999999</v>
      </c>
      <c r="L555">
        <v>19</v>
      </c>
      <c r="M555" t="s">
        <v>23</v>
      </c>
      <c r="N555">
        <v>20.49</v>
      </c>
      <c r="O555">
        <v>-6.3042999999999996</v>
      </c>
      <c r="P555">
        <v>142.61199999999999</v>
      </c>
      <c r="Q555" t="s">
        <v>468</v>
      </c>
      <c r="R555" t="s">
        <v>25</v>
      </c>
      <c r="S555" t="s">
        <v>64</v>
      </c>
      <c r="T555">
        <v>5</v>
      </c>
    </row>
    <row r="556" spans="1:20">
      <c r="A556" t="s">
        <v>1056</v>
      </c>
      <c r="B556">
        <v>7.1</v>
      </c>
      <c r="C556" t="s">
        <v>1057</v>
      </c>
      <c r="D556">
        <v>6</v>
      </c>
      <c r="E556">
        <v>6</v>
      </c>
      <c r="G556">
        <v>0</v>
      </c>
      <c r="H556">
        <v>834</v>
      </c>
      <c r="I556" t="s">
        <v>22</v>
      </c>
      <c r="J556">
        <v>485</v>
      </c>
      <c r="K556">
        <v>0</v>
      </c>
      <c r="L556">
        <v>10.6</v>
      </c>
      <c r="M556" t="s">
        <v>23</v>
      </c>
      <c r="N556">
        <v>135</v>
      </c>
      <c r="O556">
        <v>-7.5510000000000002</v>
      </c>
      <c r="P556">
        <v>146.809</v>
      </c>
      <c r="Q556" t="s">
        <v>1058</v>
      </c>
      <c r="R556" t="s">
        <v>25</v>
      </c>
      <c r="S556" t="s">
        <v>64</v>
      </c>
      <c r="T556">
        <v>5</v>
      </c>
    </row>
    <row r="557" spans="1:20">
      <c r="A557" t="s">
        <v>685</v>
      </c>
      <c r="B557">
        <v>6.8</v>
      </c>
      <c r="C557" t="s">
        <v>686</v>
      </c>
      <c r="D557">
        <v>5</v>
      </c>
      <c r="E557">
        <v>6</v>
      </c>
      <c r="F557" t="s">
        <v>21</v>
      </c>
      <c r="G557">
        <v>1</v>
      </c>
      <c r="H557">
        <v>715</v>
      </c>
      <c r="I557" t="s">
        <v>22</v>
      </c>
      <c r="J557">
        <v>0</v>
      </c>
      <c r="K557">
        <v>1.599</v>
      </c>
      <c r="L557">
        <v>19</v>
      </c>
      <c r="M557" t="s">
        <v>23</v>
      </c>
      <c r="N557">
        <v>12.59</v>
      </c>
      <c r="O557">
        <v>-8.8994</v>
      </c>
      <c r="P557">
        <v>158.422</v>
      </c>
      <c r="Q557" t="s">
        <v>687</v>
      </c>
      <c r="R557" t="s">
        <v>25</v>
      </c>
      <c r="S557" t="s">
        <v>26</v>
      </c>
      <c r="T557">
        <v>5</v>
      </c>
    </row>
    <row r="558" spans="1:20">
      <c r="A558" t="s">
        <v>1375</v>
      </c>
      <c r="B558">
        <v>8.1</v>
      </c>
      <c r="C558" s="1">
        <v>39086.86041666667</v>
      </c>
      <c r="D558">
        <v>9</v>
      </c>
      <c r="E558">
        <v>8</v>
      </c>
      <c r="G558">
        <v>0</v>
      </c>
      <c r="H558">
        <v>1025</v>
      </c>
      <c r="I558" t="s">
        <v>22</v>
      </c>
      <c r="J558">
        <v>439</v>
      </c>
      <c r="K558">
        <v>0</v>
      </c>
      <c r="L558">
        <v>14.7</v>
      </c>
      <c r="M558" t="s">
        <v>829</v>
      </c>
      <c r="N558">
        <v>24</v>
      </c>
      <c r="O558">
        <v>-8.4659999999999993</v>
      </c>
      <c r="P558">
        <v>157.04300000000001</v>
      </c>
      <c r="Q558" t="s">
        <v>725</v>
      </c>
      <c r="R558" t="s">
        <v>25</v>
      </c>
      <c r="S558" t="s">
        <v>26</v>
      </c>
      <c r="T558">
        <v>5</v>
      </c>
    </row>
    <row r="559" spans="1:20">
      <c r="A559" t="s">
        <v>1205</v>
      </c>
      <c r="B559">
        <v>7.1</v>
      </c>
      <c r="C559" s="1">
        <v>40238.941666666666</v>
      </c>
      <c r="D559">
        <v>5</v>
      </c>
      <c r="E559">
        <v>7</v>
      </c>
      <c r="G559">
        <v>0</v>
      </c>
      <c r="H559">
        <v>780</v>
      </c>
      <c r="I559" t="s">
        <v>22</v>
      </c>
      <c r="J559">
        <v>377</v>
      </c>
      <c r="K559">
        <v>0</v>
      </c>
      <c r="L559">
        <v>15</v>
      </c>
      <c r="M559" t="s">
        <v>829</v>
      </c>
      <c r="N559">
        <v>10</v>
      </c>
      <c r="O559">
        <v>-8.7829999999999995</v>
      </c>
      <c r="P559">
        <v>157.35400000000001</v>
      </c>
      <c r="Q559" t="s">
        <v>725</v>
      </c>
      <c r="R559" t="s">
        <v>25</v>
      </c>
      <c r="S559" t="s">
        <v>26</v>
      </c>
      <c r="T559">
        <v>5</v>
      </c>
    </row>
    <row r="560" spans="1:20">
      <c r="A560" t="s">
        <v>1206</v>
      </c>
      <c r="B560">
        <v>6.6</v>
      </c>
      <c r="C560" s="1">
        <v>40238.908333333333</v>
      </c>
      <c r="D560">
        <v>5</v>
      </c>
      <c r="E560">
        <v>7</v>
      </c>
      <c r="G560">
        <v>0</v>
      </c>
      <c r="H560">
        <v>672</v>
      </c>
      <c r="I560" t="s">
        <v>22</v>
      </c>
      <c r="J560">
        <v>282</v>
      </c>
      <c r="K560">
        <v>0</v>
      </c>
      <c r="L560">
        <v>16.600000000000001</v>
      </c>
      <c r="M560" t="s">
        <v>829</v>
      </c>
      <c r="N560">
        <v>10</v>
      </c>
      <c r="O560">
        <v>-8.7260000000000009</v>
      </c>
      <c r="P560">
        <v>157.48699999999999</v>
      </c>
      <c r="Q560" t="s">
        <v>725</v>
      </c>
      <c r="R560" t="s">
        <v>25</v>
      </c>
      <c r="S560" t="s">
        <v>26</v>
      </c>
      <c r="T560">
        <v>5</v>
      </c>
    </row>
    <row r="561" spans="1:20">
      <c r="A561" t="s">
        <v>1204</v>
      </c>
      <c r="B561">
        <v>6.8</v>
      </c>
      <c r="C561" s="1">
        <v>40299.510416666664</v>
      </c>
      <c r="D561">
        <v>3</v>
      </c>
      <c r="E561">
        <v>6</v>
      </c>
      <c r="G561">
        <v>0</v>
      </c>
      <c r="H561">
        <v>713</v>
      </c>
      <c r="I561" t="s">
        <v>22</v>
      </c>
      <c r="J561">
        <v>338</v>
      </c>
      <c r="K561">
        <v>0</v>
      </c>
      <c r="L561">
        <v>15</v>
      </c>
      <c r="M561" t="s">
        <v>829</v>
      </c>
      <c r="N561">
        <v>15.4</v>
      </c>
      <c r="O561">
        <v>-9.0190000000000001</v>
      </c>
      <c r="P561">
        <v>157.55099999999999</v>
      </c>
      <c r="Q561" t="s">
        <v>725</v>
      </c>
      <c r="R561" t="s">
        <v>25</v>
      </c>
      <c r="S561" t="s">
        <v>26</v>
      </c>
      <c r="T561">
        <v>5</v>
      </c>
    </row>
    <row r="562" spans="1:20">
      <c r="A562" t="s">
        <v>724</v>
      </c>
      <c r="B562">
        <v>6.5</v>
      </c>
      <c r="C562" s="1">
        <v>42346.78402777778</v>
      </c>
      <c r="D562">
        <v>0</v>
      </c>
      <c r="E562">
        <v>5</v>
      </c>
      <c r="F562" t="s">
        <v>21</v>
      </c>
      <c r="G562">
        <v>1</v>
      </c>
      <c r="H562">
        <v>650</v>
      </c>
      <c r="I562" t="s">
        <v>22</v>
      </c>
      <c r="J562">
        <v>0</v>
      </c>
      <c r="K562">
        <v>2.0449999999999999</v>
      </c>
      <c r="L562">
        <v>16</v>
      </c>
      <c r="M562" t="s">
        <v>23</v>
      </c>
      <c r="N562">
        <v>6.43</v>
      </c>
      <c r="O562">
        <v>-9.3292999999999999</v>
      </c>
      <c r="P562">
        <v>157.87700000000001</v>
      </c>
      <c r="Q562" t="s">
        <v>725</v>
      </c>
      <c r="R562" t="s">
        <v>25</v>
      </c>
      <c r="S562" t="s">
        <v>26</v>
      </c>
      <c r="T562">
        <v>5</v>
      </c>
    </row>
    <row r="563" spans="1:20">
      <c r="A563" t="s">
        <v>578</v>
      </c>
      <c r="B563">
        <v>7.8</v>
      </c>
      <c r="C563" s="1">
        <v>42594.734722222223</v>
      </c>
      <c r="D563">
        <v>9</v>
      </c>
      <c r="E563">
        <v>8</v>
      </c>
      <c r="F563" t="s">
        <v>21</v>
      </c>
      <c r="G563">
        <v>1</v>
      </c>
      <c r="H563">
        <v>961</v>
      </c>
      <c r="I563" t="s">
        <v>22</v>
      </c>
      <c r="J563">
        <v>0</v>
      </c>
      <c r="K563">
        <v>1.8360000000000001</v>
      </c>
      <c r="L563">
        <v>13</v>
      </c>
      <c r="M563" t="s">
        <v>23</v>
      </c>
      <c r="N563">
        <v>40</v>
      </c>
      <c r="O563">
        <v>-10.6812</v>
      </c>
      <c r="P563">
        <v>161.327</v>
      </c>
      <c r="Q563" t="s">
        <v>428</v>
      </c>
      <c r="R563" t="s">
        <v>25</v>
      </c>
      <c r="S563" t="s">
        <v>26</v>
      </c>
      <c r="T563">
        <v>5</v>
      </c>
    </row>
    <row r="564" spans="1:20">
      <c r="A564" t="s">
        <v>1093</v>
      </c>
      <c r="B564">
        <v>6.8</v>
      </c>
      <c r="C564" t="s">
        <v>1094</v>
      </c>
      <c r="D564">
        <v>5</v>
      </c>
      <c r="E564">
        <v>6</v>
      </c>
      <c r="G564">
        <v>0</v>
      </c>
      <c r="H564">
        <v>719</v>
      </c>
      <c r="I564" t="s">
        <v>22</v>
      </c>
      <c r="J564">
        <v>445</v>
      </c>
      <c r="K564">
        <v>0</v>
      </c>
      <c r="L564">
        <v>13</v>
      </c>
      <c r="M564" t="s">
        <v>23</v>
      </c>
      <c r="N564">
        <v>79</v>
      </c>
      <c r="O564">
        <v>-10.375</v>
      </c>
      <c r="P564">
        <v>161.19999999999999</v>
      </c>
      <c r="Q564" t="s">
        <v>428</v>
      </c>
      <c r="R564" t="s">
        <v>25</v>
      </c>
      <c r="S564" t="s">
        <v>26</v>
      </c>
      <c r="T564">
        <v>5</v>
      </c>
    </row>
    <row r="565" spans="1:20">
      <c r="A565" t="s">
        <v>1538</v>
      </c>
      <c r="B565">
        <v>6.8</v>
      </c>
      <c r="C565" s="1">
        <v>38209.352083333331</v>
      </c>
      <c r="D565">
        <v>0</v>
      </c>
      <c r="E565">
        <v>6</v>
      </c>
      <c r="G565">
        <v>0</v>
      </c>
      <c r="H565">
        <v>711</v>
      </c>
      <c r="I565" t="s">
        <v>22</v>
      </c>
      <c r="J565">
        <v>545</v>
      </c>
      <c r="K565">
        <v>0</v>
      </c>
      <c r="L565">
        <v>15.7</v>
      </c>
      <c r="M565" t="s">
        <v>36</v>
      </c>
      <c r="N565">
        <v>36</v>
      </c>
      <c r="O565">
        <v>-10.951000000000001</v>
      </c>
      <c r="P565">
        <v>162.161</v>
      </c>
      <c r="Q565" t="s">
        <v>428</v>
      </c>
      <c r="R565" t="s">
        <v>25</v>
      </c>
      <c r="S565" t="s">
        <v>26</v>
      </c>
      <c r="T565">
        <v>5</v>
      </c>
    </row>
    <row r="566" spans="1:20">
      <c r="A566" t="s">
        <v>1159</v>
      </c>
      <c r="B566">
        <v>6.7</v>
      </c>
      <c r="C566" t="s">
        <v>1160</v>
      </c>
      <c r="D566">
        <v>5</v>
      </c>
      <c r="E566">
        <v>6</v>
      </c>
      <c r="G566">
        <v>0</v>
      </c>
      <c r="H566">
        <v>696</v>
      </c>
      <c r="I566" t="s">
        <v>22</v>
      </c>
      <c r="J566">
        <v>392</v>
      </c>
      <c r="K566">
        <v>0</v>
      </c>
      <c r="L566">
        <v>18.7</v>
      </c>
      <c r="M566" t="s">
        <v>829</v>
      </c>
      <c r="N566">
        <v>35</v>
      </c>
      <c r="O566">
        <v>-10.627000000000001</v>
      </c>
      <c r="P566">
        <v>161.447</v>
      </c>
      <c r="Q566" t="s">
        <v>428</v>
      </c>
      <c r="R566" t="s">
        <v>25</v>
      </c>
      <c r="S566" t="s">
        <v>26</v>
      </c>
      <c r="T566">
        <v>5</v>
      </c>
    </row>
    <row r="567" spans="1:20">
      <c r="A567" t="s">
        <v>1317</v>
      </c>
      <c r="B567">
        <v>6.6</v>
      </c>
      <c r="C567" t="s">
        <v>1318</v>
      </c>
      <c r="D567">
        <v>3</v>
      </c>
      <c r="E567">
        <v>6</v>
      </c>
      <c r="G567">
        <v>0</v>
      </c>
      <c r="H567">
        <v>672</v>
      </c>
      <c r="I567" t="s">
        <v>22</v>
      </c>
      <c r="J567">
        <v>280</v>
      </c>
      <c r="K567">
        <v>0</v>
      </c>
      <c r="L567">
        <v>26.9</v>
      </c>
      <c r="M567" t="s">
        <v>829</v>
      </c>
      <c r="N567">
        <v>16</v>
      </c>
      <c r="O567">
        <v>-10.95</v>
      </c>
      <c r="P567">
        <v>162.149</v>
      </c>
      <c r="Q567" t="s">
        <v>428</v>
      </c>
      <c r="R567" t="s">
        <v>25</v>
      </c>
      <c r="S567" t="s">
        <v>26</v>
      </c>
      <c r="T567">
        <v>5</v>
      </c>
    </row>
    <row r="568" spans="1:20">
      <c r="A568" t="s">
        <v>427</v>
      </c>
      <c r="B568">
        <v>6.5</v>
      </c>
      <c r="C568" s="1">
        <v>43352.813194444447</v>
      </c>
      <c r="D568">
        <v>3</v>
      </c>
      <c r="E568">
        <v>6</v>
      </c>
      <c r="F568" t="s">
        <v>21</v>
      </c>
      <c r="G568">
        <v>1</v>
      </c>
      <c r="H568">
        <v>651</v>
      </c>
      <c r="I568" t="s">
        <v>22</v>
      </c>
      <c r="J568">
        <v>0</v>
      </c>
      <c r="K568">
        <v>1.6379999999999999</v>
      </c>
      <c r="L568">
        <v>25</v>
      </c>
      <c r="M568" t="s">
        <v>23</v>
      </c>
      <c r="N568">
        <v>68</v>
      </c>
      <c r="O568">
        <v>-10.0207</v>
      </c>
      <c r="P568">
        <v>161.50299999999999</v>
      </c>
      <c r="Q568" t="s">
        <v>428</v>
      </c>
      <c r="R568" t="s">
        <v>25</v>
      </c>
      <c r="S568" t="s">
        <v>26</v>
      </c>
      <c r="T568">
        <v>5</v>
      </c>
    </row>
    <row r="569" spans="1:20">
      <c r="A569" t="s">
        <v>563</v>
      </c>
      <c r="B569">
        <v>6.5</v>
      </c>
      <c r="C569" t="s">
        <v>564</v>
      </c>
      <c r="D569">
        <v>6</v>
      </c>
      <c r="E569">
        <v>6</v>
      </c>
      <c r="F569" t="s">
        <v>21</v>
      </c>
      <c r="G569">
        <v>1</v>
      </c>
      <c r="H569">
        <v>654</v>
      </c>
      <c r="I569" t="s">
        <v>22</v>
      </c>
      <c r="J569">
        <v>0</v>
      </c>
      <c r="K569">
        <v>1.64</v>
      </c>
      <c r="L569">
        <v>21</v>
      </c>
      <c r="M569" t="s">
        <v>23</v>
      </c>
      <c r="N569">
        <v>36</v>
      </c>
      <c r="O569">
        <v>-10.3506</v>
      </c>
      <c r="P569">
        <v>161.33500000000001</v>
      </c>
      <c r="Q569" t="s">
        <v>428</v>
      </c>
      <c r="R569" t="s">
        <v>25</v>
      </c>
      <c r="S569" t="s">
        <v>26</v>
      </c>
      <c r="T569">
        <v>5</v>
      </c>
    </row>
    <row r="570" spans="1:20">
      <c r="A570" t="s">
        <v>853</v>
      </c>
      <c r="B570">
        <v>7.6</v>
      </c>
      <c r="C570" s="1">
        <v>41977.843055555553</v>
      </c>
      <c r="D570">
        <v>0</v>
      </c>
      <c r="E570">
        <v>7</v>
      </c>
      <c r="F570" t="s">
        <v>21</v>
      </c>
      <c r="G570">
        <v>1</v>
      </c>
      <c r="H570">
        <v>889</v>
      </c>
      <c r="I570" t="s">
        <v>22</v>
      </c>
      <c r="J570">
        <v>0</v>
      </c>
      <c r="K570">
        <v>2.8279999999999998</v>
      </c>
      <c r="L570">
        <v>13</v>
      </c>
      <c r="M570" t="s">
        <v>23</v>
      </c>
      <c r="N570">
        <v>22.56</v>
      </c>
      <c r="O570">
        <v>-11.270099999999999</v>
      </c>
      <c r="P570">
        <v>162.148</v>
      </c>
      <c r="Q570" t="s">
        <v>428</v>
      </c>
      <c r="R570" t="s">
        <v>25</v>
      </c>
      <c r="S570" t="s">
        <v>26</v>
      </c>
      <c r="T570">
        <v>5</v>
      </c>
    </row>
    <row r="571" spans="1:20">
      <c r="A571" t="s">
        <v>851</v>
      </c>
      <c r="B571">
        <v>7.4</v>
      </c>
      <c r="C571" t="s">
        <v>852</v>
      </c>
      <c r="D571">
        <v>0</v>
      </c>
      <c r="E571">
        <v>6</v>
      </c>
      <c r="F571" t="s">
        <v>21</v>
      </c>
      <c r="G571">
        <v>1</v>
      </c>
      <c r="H571">
        <v>842</v>
      </c>
      <c r="I571" t="s">
        <v>22</v>
      </c>
      <c r="J571">
        <v>0</v>
      </c>
      <c r="K571">
        <v>2.8849999999999998</v>
      </c>
      <c r="L571">
        <v>17</v>
      </c>
      <c r="M571" t="s">
        <v>23</v>
      </c>
      <c r="N571">
        <v>39</v>
      </c>
      <c r="O571">
        <v>-11.4633</v>
      </c>
      <c r="P571">
        <v>162.05099999999999</v>
      </c>
      <c r="Q571" t="s">
        <v>428</v>
      </c>
      <c r="R571" t="s">
        <v>25</v>
      </c>
      <c r="S571" t="s">
        <v>26</v>
      </c>
      <c r="T571">
        <v>5</v>
      </c>
    </row>
    <row r="572" spans="1:20">
      <c r="A572" t="s">
        <v>1623</v>
      </c>
      <c r="B572">
        <v>7.3</v>
      </c>
      <c r="C572" t="s">
        <v>1624</v>
      </c>
      <c r="D572">
        <v>0</v>
      </c>
      <c r="E572">
        <v>6</v>
      </c>
      <c r="G572">
        <v>0</v>
      </c>
      <c r="H572">
        <v>820</v>
      </c>
      <c r="I572" t="s">
        <v>22</v>
      </c>
      <c r="J572">
        <v>457</v>
      </c>
      <c r="K572">
        <v>0</v>
      </c>
      <c r="L572">
        <v>0</v>
      </c>
      <c r="M572" t="s">
        <v>829</v>
      </c>
      <c r="N572">
        <v>33</v>
      </c>
      <c r="O572">
        <v>-10.491</v>
      </c>
      <c r="P572">
        <v>160.77000000000001</v>
      </c>
      <c r="Q572" t="s">
        <v>428</v>
      </c>
      <c r="R572" t="s">
        <v>25</v>
      </c>
      <c r="S572" t="s">
        <v>26</v>
      </c>
      <c r="T572">
        <v>5</v>
      </c>
    </row>
    <row r="573" spans="1:20">
      <c r="A573" t="s">
        <v>576</v>
      </c>
      <c r="B573">
        <v>6.9</v>
      </c>
      <c r="C573" s="1">
        <v>42625.798611111109</v>
      </c>
      <c r="D573">
        <v>8</v>
      </c>
      <c r="E573">
        <v>6</v>
      </c>
      <c r="F573" t="s">
        <v>21</v>
      </c>
      <c r="G573">
        <v>1</v>
      </c>
      <c r="H573">
        <v>737</v>
      </c>
      <c r="I573" t="s">
        <v>22</v>
      </c>
      <c r="J573">
        <v>0</v>
      </c>
      <c r="K573">
        <v>1.7470000000000001</v>
      </c>
      <c r="L573">
        <v>26</v>
      </c>
      <c r="M573" t="s">
        <v>23</v>
      </c>
      <c r="N573">
        <v>19.73</v>
      </c>
      <c r="O573">
        <v>-10.749000000000001</v>
      </c>
      <c r="P573">
        <v>161.13200000000001</v>
      </c>
      <c r="Q573" t="s">
        <v>428</v>
      </c>
      <c r="R573" t="s">
        <v>25</v>
      </c>
      <c r="S573" t="s">
        <v>26</v>
      </c>
      <c r="T573">
        <v>5</v>
      </c>
    </row>
    <row r="574" spans="1:20">
      <c r="A574" t="s">
        <v>749</v>
      </c>
      <c r="B574">
        <v>6.9</v>
      </c>
      <c r="C574" t="s">
        <v>750</v>
      </c>
      <c r="D574">
        <v>1</v>
      </c>
      <c r="E574">
        <v>4</v>
      </c>
      <c r="F574" t="s">
        <v>21</v>
      </c>
      <c r="G574">
        <v>1</v>
      </c>
      <c r="H574">
        <v>732</v>
      </c>
      <c r="I574" t="s">
        <v>22</v>
      </c>
      <c r="J574">
        <v>0</v>
      </c>
      <c r="K574">
        <v>4.024</v>
      </c>
      <c r="L574">
        <v>22</v>
      </c>
      <c r="M574" t="s">
        <v>23</v>
      </c>
      <c r="N574">
        <v>11.19</v>
      </c>
      <c r="O574">
        <v>-11.055899999999999</v>
      </c>
      <c r="P574">
        <v>163.696</v>
      </c>
      <c r="Q574" t="s">
        <v>428</v>
      </c>
      <c r="R574" t="s">
        <v>25</v>
      </c>
      <c r="S574" t="s">
        <v>26</v>
      </c>
      <c r="T574">
        <v>5</v>
      </c>
    </row>
    <row r="575" spans="1:20">
      <c r="A575" t="s">
        <v>1174</v>
      </c>
      <c r="B575">
        <v>6.9</v>
      </c>
      <c r="C575" s="1">
        <v>40486.402777777781</v>
      </c>
      <c r="D575">
        <v>4</v>
      </c>
      <c r="E575">
        <v>5</v>
      </c>
      <c r="G575">
        <v>0</v>
      </c>
      <c r="H575">
        <v>740</v>
      </c>
      <c r="I575" t="s">
        <v>22</v>
      </c>
      <c r="J575">
        <v>399</v>
      </c>
      <c r="K575">
        <v>0</v>
      </c>
      <c r="L575">
        <v>12.1</v>
      </c>
      <c r="M575" t="s">
        <v>829</v>
      </c>
      <c r="N575">
        <v>21</v>
      </c>
      <c r="O575">
        <v>-10.878</v>
      </c>
      <c r="P575">
        <v>161.11600000000001</v>
      </c>
      <c r="Q575" t="s">
        <v>428</v>
      </c>
      <c r="R575" t="s">
        <v>25</v>
      </c>
      <c r="S575" t="s">
        <v>26</v>
      </c>
      <c r="T575">
        <v>5</v>
      </c>
    </row>
    <row r="576" spans="1:20">
      <c r="A576" t="s">
        <v>747</v>
      </c>
      <c r="B576">
        <v>6.8</v>
      </c>
      <c r="C576" t="s">
        <v>748</v>
      </c>
      <c r="D576">
        <v>1</v>
      </c>
      <c r="E576">
        <v>5</v>
      </c>
      <c r="F576" t="s">
        <v>21</v>
      </c>
      <c r="G576">
        <v>1</v>
      </c>
      <c r="H576">
        <v>711</v>
      </c>
      <c r="I576" t="s">
        <v>22</v>
      </c>
      <c r="J576">
        <v>0</v>
      </c>
      <c r="K576">
        <v>3.6190000000000002</v>
      </c>
      <c r="L576">
        <v>18</v>
      </c>
      <c r="M576" t="s">
        <v>23</v>
      </c>
      <c r="N576">
        <v>10</v>
      </c>
      <c r="O576">
        <v>-11.109299999999999</v>
      </c>
      <c r="P576">
        <v>163.215</v>
      </c>
      <c r="Q576" t="s">
        <v>428</v>
      </c>
      <c r="R576" t="s">
        <v>25</v>
      </c>
      <c r="S576" t="s">
        <v>26</v>
      </c>
      <c r="T576">
        <v>5</v>
      </c>
    </row>
    <row r="577" spans="1:20">
      <c r="A577" t="s">
        <v>1527</v>
      </c>
      <c r="B577">
        <v>6.7</v>
      </c>
      <c r="C577" s="1">
        <v>38302.731944444444</v>
      </c>
      <c r="D577">
        <v>0</v>
      </c>
      <c r="E577">
        <v>6</v>
      </c>
      <c r="G577">
        <v>0</v>
      </c>
      <c r="H577">
        <v>691</v>
      </c>
      <c r="I577" t="s">
        <v>22</v>
      </c>
      <c r="J577">
        <v>233</v>
      </c>
      <c r="K577">
        <v>0</v>
      </c>
      <c r="L577">
        <v>21.5</v>
      </c>
      <c r="M577" t="s">
        <v>36</v>
      </c>
      <c r="N577">
        <v>10</v>
      </c>
      <c r="O577">
        <v>-11.128</v>
      </c>
      <c r="P577">
        <v>162.208</v>
      </c>
      <c r="Q577" t="s">
        <v>428</v>
      </c>
      <c r="R577" t="s">
        <v>25</v>
      </c>
      <c r="S577" t="s">
        <v>26</v>
      </c>
      <c r="T577">
        <v>5</v>
      </c>
    </row>
    <row r="578" spans="1:20">
      <c r="A578" t="s">
        <v>849</v>
      </c>
      <c r="B578">
        <v>6.6</v>
      </c>
      <c r="C578" t="s">
        <v>850</v>
      </c>
      <c r="D578">
        <v>0</v>
      </c>
      <c r="E578">
        <v>6</v>
      </c>
      <c r="F578" t="s">
        <v>21</v>
      </c>
      <c r="G578">
        <v>0</v>
      </c>
      <c r="H578">
        <v>670</v>
      </c>
      <c r="I578" t="s">
        <v>22</v>
      </c>
      <c r="J578">
        <v>0</v>
      </c>
      <c r="K578">
        <v>2.6659999999999999</v>
      </c>
      <c r="L578">
        <v>22</v>
      </c>
      <c r="M578" t="s">
        <v>23</v>
      </c>
      <c r="N578">
        <v>10</v>
      </c>
      <c r="O578">
        <v>-11.128399999999999</v>
      </c>
      <c r="P578">
        <v>162.05199999999999</v>
      </c>
      <c r="Q578" t="s">
        <v>428</v>
      </c>
      <c r="R578" t="s">
        <v>25</v>
      </c>
      <c r="S578" t="s">
        <v>26</v>
      </c>
      <c r="T578">
        <v>5</v>
      </c>
    </row>
    <row r="579" spans="1:20">
      <c r="A579" t="s">
        <v>577</v>
      </c>
      <c r="B579">
        <v>6.5</v>
      </c>
      <c r="C579" s="1">
        <v>42594.913888888892</v>
      </c>
      <c r="D579">
        <v>0</v>
      </c>
      <c r="E579">
        <v>5</v>
      </c>
      <c r="F579" t="s">
        <v>21</v>
      </c>
      <c r="G579">
        <v>0</v>
      </c>
      <c r="H579">
        <v>650</v>
      </c>
      <c r="I579" t="s">
        <v>22</v>
      </c>
      <c r="J579">
        <v>0</v>
      </c>
      <c r="K579">
        <v>1.9370000000000001</v>
      </c>
      <c r="L579">
        <v>18</v>
      </c>
      <c r="M579" t="s">
        <v>23</v>
      </c>
      <c r="N579">
        <v>12.26</v>
      </c>
      <c r="O579">
        <v>-10.8416</v>
      </c>
      <c r="P579">
        <v>161.31399999999999</v>
      </c>
      <c r="Q579" t="s">
        <v>428</v>
      </c>
      <c r="R579" t="s">
        <v>25</v>
      </c>
      <c r="S579" t="s">
        <v>26</v>
      </c>
      <c r="T579">
        <v>5</v>
      </c>
    </row>
    <row r="580" spans="1:20">
      <c r="A580" t="s">
        <v>974</v>
      </c>
      <c r="B580">
        <v>7.1</v>
      </c>
      <c r="C580" s="1">
        <v>41488.643055555556</v>
      </c>
      <c r="D580">
        <v>9</v>
      </c>
      <c r="E580">
        <v>6</v>
      </c>
      <c r="F580" t="s">
        <v>21</v>
      </c>
      <c r="G580">
        <v>1</v>
      </c>
      <c r="H580">
        <v>780</v>
      </c>
      <c r="I580" t="s">
        <v>22</v>
      </c>
      <c r="J580">
        <v>334</v>
      </c>
      <c r="K580">
        <v>0</v>
      </c>
      <c r="L580">
        <v>16.5</v>
      </c>
      <c r="M580" t="s">
        <v>23</v>
      </c>
      <c r="N580">
        <v>21</v>
      </c>
      <c r="O580">
        <v>-10.928000000000001</v>
      </c>
      <c r="P580">
        <v>166.018</v>
      </c>
      <c r="Q580" t="s">
        <v>281</v>
      </c>
      <c r="R580" t="s">
        <v>25</v>
      </c>
      <c r="S580" t="s">
        <v>26</v>
      </c>
      <c r="T580">
        <v>5</v>
      </c>
    </row>
    <row r="581" spans="1:20">
      <c r="A581" t="s">
        <v>977</v>
      </c>
      <c r="B581">
        <v>7</v>
      </c>
      <c r="C581" s="1">
        <v>41427.07916666667</v>
      </c>
      <c r="D581">
        <v>0</v>
      </c>
      <c r="E581">
        <v>6</v>
      </c>
      <c r="F581" t="s">
        <v>21</v>
      </c>
      <c r="G581">
        <v>0</v>
      </c>
      <c r="H581">
        <v>754</v>
      </c>
      <c r="I581" t="s">
        <v>22</v>
      </c>
      <c r="J581">
        <v>445</v>
      </c>
      <c r="K581">
        <v>0</v>
      </c>
      <c r="L581">
        <v>17.5</v>
      </c>
      <c r="M581" t="s">
        <v>23</v>
      </c>
      <c r="N581">
        <v>8.8000000000000007</v>
      </c>
      <c r="O581">
        <v>-10.499000000000001</v>
      </c>
      <c r="P581">
        <v>165.58799999999999</v>
      </c>
      <c r="Q581" t="s">
        <v>281</v>
      </c>
      <c r="R581" t="s">
        <v>25</v>
      </c>
      <c r="S581" t="s">
        <v>26</v>
      </c>
      <c r="T581">
        <v>5</v>
      </c>
    </row>
    <row r="582" spans="1:20">
      <c r="A582" t="s">
        <v>975</v>
      </c>
      <c r="B582">
        <v>6.8</v>
      </c>
      <c r="C582" s="1">
        <v>41488.466666666667</v>
      </c>
      <c r="D582">
        <v>0</v>
      </c>
      <c r="E582">
        <v>7</v>
      </c>
      <c r="F582" t="s">
        <v>21</v>
      </c>
      <c r="G582">
        <v>1</v>
      </c>
      <c r="H582">
        <v>711</v>
      </c>
      <c r="I582" t="s">
        <v>22</v>
      </c>
      <c r="J582">
        <v>400</v>
      </c>
      <c r="K582">
        <v>0</v>
      </c>
      <c r="L582">
        <v>17.5</v>
      </c>
      <c r="M582" t="s">
        <v>23</v>
      </c>
      <c r="N582">
        <v>12</v>
      </c>
      <c r="O582">
        <v>-10.837999999999999</v>
      </c>
      <c r="P582">
        <v>165.96899999999999</v>
      </c>
      <c r="Q582" t="s">
        <v>281</v>
      </c>
      <c r="R582" t="s">
        <v>25</v>
      </c>
      <c r="S582" t="s">
        <v>26</v>
      </c>
      <c r="T582">
        <v>5</v>
      </c>
    </row>
    <row r="583" spans="1:20">
      <c r="A583" t="s">
        <v>976</v>
      </c>
      <c r="B583">
        <v>6.7</v>
      </c>
      <c r="C583" s="1">
        <v>41457.790972222225</v>
      </c>
      <c r="D583">
        <v>0</v>
      </c>
      <c r="E583">
        <v>6</v>
      </c>
      <c r="F583" t="s">
        <v>21</v>
      </c>
      <c r="G583">
        <v>1</v>
      </c>
      <c r="H583">
        <v>691</v>
      </c>
      <c r="I583" t="s">
        <v>22</v>
      </c>
      <c r="J583">
        <v>387</v>
      </c>
      <c r="K583">
        <v>0</v>
      </c>
      <c r="L583">
        <v>26.5</v>
      </c>
      <c r="M583" t="s">
        <v>23</v>
      </c>
      <c r="N583">
        <v>11</v>
      </c>
      <c r="O583">
        <v>-10.997</v>
      </c>
      <c r="P583">
        <v>165.655</v>
      </c>
      <c r="Q583" t="s">
        <v>281</v>
      </c>
      <c r="R583" t="s">
        <v>25</v>
      </c>
      <c r="S583" t="s">
        <v>26</v>
      </c>
      <c r="T583">
        <v>5</v>
      </c>
    </row>
    <row r="584" spans="1:20">
      <c r="A584" t="s">
        <v>970</v>
      </c>
      <c r="B584">
        <v>6.6</v>
      </c>
      <c r="C584" s="1">
        <v>41519.876388888886</v>
      </c>
      <c r="D584">
        <v>0</v>
      </c>
      <c r="E584">
        <v>6</v>
      </c>
      <c r="F584" t="s">
        <v>21</v>
      </c>
      <c r="G584">
        <v>1</v>
      </c>
      <c r="H584">
        <v>670</v>
      </c>
      <c r="I584" t="s">
        <v>22</v>
      </c>
      <c r="J584">
        <v>421</v>
      </c>
      <c r="K584">
        <v>0</v>
      </c>
      <c r="L584">
        <v>16.600000000000001</v>
      </c>
      <c r="M584" t="s">
        <v>23</v>
      </c>
      <c r="N584">
        <v>18</v>
      </c>
      <c r="O584">
        <v>-10.994</v>
      </c>
      <c r="P584">
        <v>165.74100000000001</v>
      </c>
      <c r="Q584" t="s">
        <v>281</v>
      </c>
      <c r="R584" t="s">
        <v>25</v>
      </c>
      <c r="S584" t="s">
        <v>26</v>
      </c>
      <c r="T584">
        <v>5</v>
      </c>
    </row>
    <row r="585" spans="1:20">
      <c r="A585" t="s">
        <v>979</v>
      </c>
      <c r="B585">
        <v>8</v>
      </c>
      <c r="C585" s="1">
        <v>41427.050000000003</v>
      </c>
      <c r="D585">
        <v>8</v>
      </c>
      <c r="E585">
        <v>7</v>
      </c>
      <c r="F585" t="s">
        <v>21</v>
      </c>
      <c r="G585">
        <v>1</v>
      </c>
      <c r="H585">
        <v>993</v>
      </c>
      <c r="I585" t="s">
        <v>22</v>
      </c>
      <c r="J585">
        <v>460</v>
      </c>
      <c r="K585">
        <v>0</v>
      </c>
      <c r="L585">
        <v>20.9</v>
      </c>
      <c r="M585" t="s">
        <v>23</v>
      </c>
      <c r="N585">
        <v>24</v>
      </c>
      <c r="O585">
        <v>-10.798999999999999</v>
      </c>
      <c r="P585">
        <v>165.114</v>
      </c>
      <c r="Q585" t="s">
        <v>281</v>
      </c>
      <c r="R585" t="s">
        <v>25</v>
      </c>
      <c r="S585" t="s">
        <v>26</v>
      </c>
      <c r="T585">
        <v>5</v>
      </c>
    </row>
    <row r="586" spans="1:20">
      <c r="A586" t="s">
        <v>1352</v>
      </c>
      <c r="B586">
        <v>7.2</v>
      </c>
      <c r="C586" s="1">
        <v>39122.045138888891</v>
      </c>
      <c r="D586">
        <v>0</v>
      </c>
      <c r="E586">
        <v>5</v>
      </c>
      <c r="G586">
        <v>0</v>
      </c>
      <c r="H586">
        <v>798</v>
      </c>
      <c r="I586" t="s">
        <v>22</v>
      </c>
      <c r="J586">
        <v>312</v>
      </c>
      <c r="K586">
        <v>0</v>
      </c>
      <c r="L586">
        <v>21.3</v>
      </c>
      <c r="M586" t="s">
        <v>829</v>
      </c>
      <c r="N586">
        <v>35</v>
      </c>
      <c r="O586">
        <v>-11.61</v>
      </c>
      <c r="P586">
        <v>165.762</v>
      </c>
      <c r="Q586" t="s">
        <v>281</v>
      </c>
      <c r="R586" t="s">
        <v>25</v>
      </c>
      <c r="S586" t="s">
        <v>26</v>
      </c>
      <c r="T586">
        <v>5</v>
      </c>
    </row>
    <row r="587" spans="1:20">
      <c r="A587" t="s">
        <v>978</v>
      </c>
      <c r="B587">
        <v>7.1</v>
      </c>
      <c r="C587" s="1">
        <v>41427.057638888888</v>
      </c>
      <c r="D587">
        <v>0</v>
      </c>
      <c r="E587">
        <v>5</v>
      </c>
      <c r="F587" t="s">
        <v>21</v>
      </c>
      <c r="G587">
        <v>0</v>
      </c>
      <c r="H587">
        <v>776</v>
      </c>
      <c r="I587" t="s">
        <v>22</v>
      </c>
      <c r="J587">
        <v>550</v>
      </c>
      <c r="K587">
        <v>0</v>
      </c>
      <c r="L587">
        <v>18.399999999999999</v>
      </c>
      <c r="M587" t="s">
        <v>23</v>
      </c>
      <c r="N587">
        <v>10</v>
      </c>
      <c r="O587">
        <v>-11.183</v>
      </c>
      <c r="P587">
        <v>164.88200000000001</v>
      </c>
      <c r="Q587" t="s">
        <v>281</v>
      </c>
      <c r="R587" t="s">
        <v>25</v>
      </c>
      <c r="S587" t="s">
        <v>26</v>
      </c>
      <c r="T587">
        <v>5</v>
      </c>
    </row>
    <row r="588" spans="1:20">
      <c r="A588" t="s">
        <v>733</v>
      </c>
      <c r="B588">
        <v>7</v>
      </c>
      <c r="C588" t="s">
        <v>734</v>
      </c>
      <c r="D588">
        <v>8</v>
      </c>
      <c r="E588">
        <v>6</v>
      </c>
      <c r="F588" t="s">
        <v>21</v>
      </c>
      <c r="G588">
        <v>1</v>
      </c>
      <c r="H588">
        <v>759</v>
      </c>
      <c r="I588" t="s">
        <v>22</v>
      </c>
      <c r="J588">
        <v>0</v>
      </c>
      <c r="K588">
        <v>5.2050000000000001</v>
      </c>
      <c r="L588">
        <v>22</v>
      </c>
      <c r="M588" t="s">
        <v>23</v>
      </c>
      <c r="N588">
        <v>11</v>
      </c>
      <c r="O588">
        <v>-10.401199999999999</v>
      </c>
      <c r="P588">
        <v>165.14099999999999</v>
      </c>
      <c r="Q588" t="s">
        <v>281</v>
      </c>
      <c r="R588" t="s">
        <v>25</v>
      </c>
      <c r="S588" t="s">
        <v>26</v>
      </c>
      <c r="T588">
        <v>5</v>
      </c>
    </row>
    <row r="589" spans="1:20">
      <c r="A589" t="s">
        <v>751</v>
      </c>
      <c r="B589">
        <v>6.8</v>
      </c>
      <c r="C589" t="s">
        <v>752</v>
      </c>
      <c r="D589">
        <v>1</v>
      </c>
      <c r="E589">
        <v>4</v>
      </c>
      <c r="F589" t="s">
        <v>21</v>
      </c>
      <c r="G589">
        <v>1</v>
      </c>
      <c r="H589">
        <v>711</v>
      </c>
      <c r="I589" t="s">
        <v>22</v>
      </c>
      <c r="J589">
        <v>0</v>
      </c>
      <c r="K589">
        <v>4.3949999999999996</v>
      </c>
      <c r="L589">
        <v>15</v>
      </c>
      <c r="M589" t="s">
        <v>23</v>
      </c>
      <c r="N589">
        <v>11</v>
      </c>
      <c r="O589">
        <v>-10.8759</v>
      </c>
      <c r="P589">
        <v>164.16900000000001</v>
      </c>
      <c r="Q589" t="s">
        <v>281</v>
      </c>
      <c r="R589" t="s">
        <v>25</v>
      </c>
      <c r="S589" t="s">
        <v>26</v>
      </c>
      <c r="T589">
        <v>5</v>
      </c>
    </row>
    <row r="590" spans="1:20">
      <c r="A590" t="s">
        <v>280</v>
      </c>
      <c r="B590">
        <v>6.6</v>
      </c>
      <c r="C590" s="1">
        <v>44170.945138888892</v>
      </c>
      <c r="D590">
        <v>4</v>
      </c>
      <c r="E590">
        <v>6</v>
      </c>
      <c r="F590" t="s">
        <v>21</v>
      </c>
      <c r="G590">
        <v>1</v>
      </c>
      <c r="H590">
        <v>671</v>
      </c>
      <c r="I590" t="s">
        <v>22</v>
      </c>
      <c r="J590">
        <v>0</v>
      </c>
      <c r="K590">
        <v>3.403</v>
      </c>
      <c r="L590">
        <v>12</v>
      </c>
      <c r="M590" t="s">
        <v>23</v>
      </c>
      <c r="N590">
        <v>107</v>
      </c>
      <c r="O590">
        <v>-12.0662</v>
      </c>
      <c r="P590">
        <v>166.648</v>
      </c>
      <c r="Q590" t="s">
        <v>281</v>
      </c>
      <c r="R590" t="s">
        <v>25</v>
      </c>
      <c r="S590" t="s">
        <v>26</v>
      </c>
      <c r="T590">
        <v>5</v>
      </c>
    </row>
    <row r="591" spans="1:20">
      <c r="A591" t="s">
        <v>19</v>
      </c>
      <c r="B591">
        <v>7</v>
      </c>
      <c r="C591" t="s">
        <v>20</v>
      </c>
      <c r="D591">
        <v>8</v>
      </c>
      <c r="E591">
        <v>7</v>
      </c>
      <c r="F591" t="s">
        <v>21</v>
      </c>
      <c r="G591">
        <v>1</v>
      </c>
      <c r="H591">
        <v>768</v>
      </c>
      <c r="I591" t="s">
        <v>22</v>
      </c>
      <c r="J591">
        <v>117</v>
      </c>
      <c r="K591">
        <v>0.50900000000000001</v>
      </c>
      <c r="L591">
        <v>17</v>
      </c>
      <c r="M591" t="s">
        <v>23</v>
      </c>
      <c r="N591">
        <v>14</v>
      </c>
      <c r="O591">
        <v>-9.7963000000000005</v>
      </c>
      <c r="P591">
        <v>159.596</v>
      </c>
      <c r="Q591" t="s">
        <v>24</v>
      </c>
      <c r="R591" t="s">
        <v>25</v>
      </c>
      <c r="S591" t="s">
        <v>26</v>
      </c>
      <c r="T591">
        <v>5</v>
      </c>
    </row>
    <row r="592" spans="1:20">
      <c r="A592" t="s">
        <v>1673</v>
      </c>
      <c r="B592">
        <v>6.8</v>
      </c>
      <c r="C592" t="s">
        <v>1674</v>
      </c>
      <c r="D592">
        <v>0</v>
      </c>
      <c r="E592">
        <v>7</v>
      </c>
      <c r="G592">
        <v>0</v>
      </c>
      <c r="H592">
        <v>711</v>
      </c>
      <c r="I592" t="s">
        <v>22</v>
      </c>
      <c r="J592">
        <v>385</v>
      </c>
      <c r="K592">
        <v>0</v>
      </c>
      <c r="L592">
        <v>0</v>
      </c>
      <c r="M592" t="s">
        <v>829</v>
      </c>
      <c r="N592">
        <v>16</v>
      </c>
      <c r="O592">
        <v>-9.6129999999999995</v>
      </c>
      <c r="P592">
        <v>159.53</v>
      </c>
      <c r="Q592" t="s">
        <v>24</v>
      </c>
      <c r="R592" t="s">
        <v>25</v>
      </c>
      <c r="S592" t="s">
        <v>26</v>
      </c>
      <c r="T592">
        <v>5</v>
      </c>
    </row>
    <row r="593" spans="1:20">
      <c r="A593" t="s">
        <v>738</v>
      </c>
      <c r="B593">
        <v>6.7</v>
      </c>
      <c r="C593" s="1">
        <v>42284.175000000003</v>
      </c>
      <c r="D593">
        <v>4</v>
      </c>
      <c r="E593">
        <v>5</v>
      </c>
      <c r="F593" t="s">
        <v>21</v>
      </c>
      <c r="G593">
        <v>1</v>
      </c>
      <c r="H593">
        <v>691</v>
      </c>
      <c r="I593" t="s">
        <v>22</v>
      </c>
      <c r="J593">
        <v>0</v>
      </c>
      <c r="K593">
        <v>1.5289999999999999</v>
      </c>
      <c r="L593">
        <v>11</v>
      </c>
      <c r="M593" t="s">
        <v>23</v>
      </c>
      <c r="N593">
        <v>12</v>
      </c>
      <c r="O593">
        <v>-9.3070000000000004</v>
      </c>
      <c r="P593">
        <v>158.40299999999999</v>
      </c>
      <c r="Q593" t="s">
        <v>24</v>
      </c>
      <c r="R593" t="s">
        <v>25</v>
      </c>
      <c r="S593" t="s">
        <v>26</v>
      </c>
      <c r="T593">
        <v>5</v>
      </c>
    </row>
    <row r="594" spans="1:20">
      <c r="A594" t="s">
        <v>726</v>
      </c>
      <c r="B594">
        <v>6.6</v>
      </c>
      <c r="C594" s="1">
        <v>42285.175000000003</v>
      </c>
      <c r="D594">
        <v>3</v>
      </c>
      <c r="E594">
        <v>5</v>
      </c>
      <c r="F594" t="s">
        <v>21</v>
      </c>
      <c r="G594">
        <v>1</v>
      </c>
      <c r="H594">
        <v>671</v>
      </c>
      <c r="I594" t="s">
        <v>22</v>
      </c>
      <c r="J594">
        <v>0</v>
      </c>
      <c r="K594">
        <v>1.8720000000000001</v>
      </c>
      <c r="L594">
        <v>20</v>
      </c>
      <c r="M594" t="s">
        <v>23</v>
      </c>
      <c r="N594">
        <v>22</v>
      </c>
      <c r="O594">
        <v>-9.3437999999999999</v>
      </c>
      <c r="P594">
        <v>158.053</v>
      </c>
      <c r="Q594" t="s">
        <v>24</v>
      </c>
      <c r="R594" t="s">
        <v>25</v>
      </c>
      <c r="S594" t="s">
        <v>26</v>
      </c>
      <c r="T594">
        <v>5</v>
      </c>
    </row>
    <row r="595" spans="1:20">
      <c r="A595" t="s">
        <v>1353</v>
      </c>
      <c r="B595">
        <v>6.5</v>
      </c>
      <c r="C595" t="s">
        <v>1354</v>
      </c>
      <c r="D595">
        <v>5</v>
      </c>
      <c r="E595">
        <v>6</v>
      </c>
      <c r="G595">
        <v>0</v>
      </c>
      <c r="H595">
        <v>675</v>
      </c>
      <c r="I595" t="s">
        <v>22</v>
      </c>
      <c r="J595">
        <v>382</v>
      </c>
      <c r="K595">
        <v>0</v>
      </c>
      <c r="L595">
        <v>12.8</v>
      </c>
      <c r="M595" t="s">
        <v>829</v>
      </c>
      <c r="N595">
        <v>15</v>
      </c>
      <c r="O595">
        <v>-9.8339999999999996</v>
      </c>
      <c r="P595">
        <v>159.465</v>
      </c>
      <c r="Q595" t="s">
        <v>24</v>
      </c>
      <c r="R595" t="s">
        <v>25</v>
      </c>
      <c r="S595" t="s">
        <v>26</v>
      </c>
      <c r="T595">
        <v>5</v>
      </c>
    </row>
    <row r="596" spans="1:20">
      <c r="A596" t="s">
        <v>1247</v>
      </c>
      <c r="B596">
        <v>7.6</v>
      </c>
      <c r="C596" t="s">
        <v>1248</v>
      </c>
      <c r="D596">
        <v>7</v>
      </c>
      <c r="E596">
        <v>5</v>
      </c>
      <c r="G596">
        <v>0</v>
      </c>
      <c r="H596">
        <v>916</v>
      </c>
      <c r="I596" t="s">
        <v>22</v>
      </c>
      <c r="J596">
        <v>504</v>
      </c>
      <c r="K596">
        <v>0</v>
      </c>
      <c r="L596">
        <v>14</v>
      </c>
      <c r="M596" t="s">
        <v>829</v>
      </c>
      <c r="N596">
        <v>31</v>
      </c>
      <c r="O596">
        <v>-23.042999999999999</v>
      </c>
      <c r="P596">
        <v>-174.66</v>
      </c>
      <c r="Q596" t="s">
        <v>1249</v>
      </c>
      <c r="R596" t="s">
        <v>25</v>
      </c>
      <c r="S596" t="s">
        <v>1022</v>
      </c>
      <c r="T596">
        <v>5</v>
      </c>
    </row>
    <row r="597" spans="1:20">
      <c r="A597" t="s">
        <v>201</v>
      </c>
      <c r="B597">
        <v>6.5</v>
      </c>
      <c r="C597" t="s">
        <v>202</v>
      </c>
      <c r="D597">
        <v>4</v>
      </c>
      <c r="E597">
        <v>4</v>
      </c>
      <c r="F597" t="s">
        <v>21</v>
      </c>
      <c r="G597">
        <v>0</v>
      </c>
      <c r="H597">
        <v>651</v>
      </c>
      <c r="I597" t="s">
        <v>22</v>
      </c>
      <c r="J597">
        <v>0</v>
      </c>
      <c r="K597">
        <v>5.931</v>
      </c>
      <c r="L597">
        <v>20</v>
      </c>
      <c r="M597" t="s">
        <v>23</v>
      </c>
      <c r="N597">
        <v>246</v>
      </c>
      <c r="O597">
        <v>-21.685700000000001</v>
      </c>
      <c r="P597">
        <v>-177.06399999999999</v>
      </c>
      <c r="Q597" t="s">
        <v>203</v>
      </c>
      <c r="R597" t="s">
        <v>25</v>
      </c>
      <c r="S597" t="s">
        <v>1022</v>
      </c>
      <c r="T597">
        <v>5</v>
      </c>
    </row>
    <row r="598" spans="1:20">
      <c r="A598" t="s">
        <v>1406</v>
      </c>
      <c r="B598">
        <v>6.9</v>
      </c>
      <c r="C598" t="s">
        <v>1407</v>
      </c>
      <c r="D598">
        <v>3</v>
      </c>
      <c r="E598">
        <v>3</v>
      </c>
      <c r="G598">
        <v>0</v>
      </c>
      <c r="H598">
        <v>737</v>
      </c>
      <c r="I598" t="s">
        <v>22</v>
      </c>
      <c r="J598">
        <v>702</v>
      </c>
      <c r="K598">
        <v>0</v>
      </c>
      <c r="L598">
        <v>20.9</v>
      </c>
      <c r="M598" t="s">
        <v>829</v>
      </c>
      <c r="N598">
        <v>28</v>
      </c>
      <c r="O598">
        <v>-16.591999999999999</v>
      </c>
      <c r="P598">
        <v>-172.03299999999999</v>
      </c>
      <c r="Q598" t="s">
        <v>502</v>
      </c>
      <c r="R598" t="s">
        <v>25</v>
      </c>
      <c r="S598" t="s">
        <v>1022</v>
      </c>
      <c r="T598">
        <v>5</v>
      </c>
    </row>
    <row r="599" spans="1:20">
      <c r="A599" t="s">
        <v>501</v>
      </c>
      <c r="B599">
        <v>6.8</v>
      </c>
      <c r="C599" s="1">
        <v>42836.375</v>
      </c>
      <c r="D599">
        <v>5</v>
      </c>
      <c r="E599">
        <v>5</v>
      </c>
      <c r="F599" t="s">
        <v>21</v>
      </c>
      <c r="G599">
        <v>1</v>
      </c>
      <c r="H599">
        <v>727</v>
      </c>
      <c r="I599" t="s">
        <v>22</v>
      </c>
      <c r="J599">
        <v>0</v>
      </c>
      <c r="K599">
        <v>4.8520000000000003</v>
      </c>
      <c r="L599">
        <v>21</v>
      </c>
      <c r="M599" t="s">
        <v>23</v>
      </c>
      <c r="N599">
        <v>10</v>
      </c>
      <c r="O599">
        <v>-15.319699999999999</v>
      </c>
      <c r="P599">
        <v>-173.16800000000001</v>
      </c>
      <c r="Q599" t="s">
        <v>502</v>
      </c>
      <c r="R599" t="s">
        <v>25</v>
      </c>
      <c r="S599" t="s">
        <v>1022</v>
      </c>
      <c r="T599">
        <v>5</v>
      </c>
    </row>
    <row r="600" spans="1:20">
      <c r="A600" t="s">
        <v>772</v>
      </c>
      <c r="B600">
        <v>6.5</v>
      </c>
      <c r="C600" t="s">
        <v>773</v>
      </c>
      <c r="D600">
        <v>2</v>
      </c>
      <c r="E600">
        <v>5</v>
      </c>
      <c r="F600" t="s">
        <v>21</v>
      </c>
      <c r="G600">
        <v>1</v>
      </c>
      <c r="H600">
        <v>650</v>
      </c>
      <c r="I600" t="s">
        <v>22</v>
      </c>
      <c r="J600">
        <v>0</v>
      </c>
      <c r="K600">
        <v>4.6289999999999996</v>
      </c>
      <c r="L600">
        <v>36</v>
      </c>
      <c r="M600" t="s">
        <v>23</v>
      </c>
      <c r="N600">
        <v>11</v>
      </c>
      <c r="O600">
        <v>-15.4994</v>
      </c>
      <c r="P600">
        <v>-173.029</v>
      </c>
      <c r="Q600" t="s">
        <v>502</v>
      </c>
      <c r="R600" t="s">
        <v>25</v>
      </c>
      <c r="S600" t="s">
        <v>1022</v>
      </c>
      <c r="T600">
        <v>5</v>
      </c>
    </row>
    <row r="601" spans="1:20">
      <c r="A601" t="s">
        <v>1020</v>
      </c>
      <c r="B601">
        <v>6.6</v>
      </c>
      <c r="C601" t="s">
        <v>1021</v>
      </c>
      <c r="D601">
        <v>4</v>
      </c>
      <c r="E601">
        <v>5</v>
      </c>
      <c r="G601">
        <v>0</v>
      </c>
      <c r="H601">
        <v>675</v>
      </c>
      <c r="I601" t="s">
        <v>22</v>
      </c>
      <c r="J601">
        <v>529</v>
      </c>
      <c r="K601">
        <v>0</v>
      </c>
      <c r="L601">
        <v>15.7</v>
      </c>
      <c r="M601" t="s">
        <v>23</v>
      </c>
      <c r="N601">
        <v>134.69999999999999</v>
      </c>
      <c r="O601">
        <v>-18.684999999999999</v>
      </c>
      <c r="P601">
        <v>-174.70500000000001</v>
      </c>
      <c r="Q601" t="s">
        <v>33</v>
      </c>
      <c r="R601" t="s">
        <v>25</v>
      </c>
      <c r="S601" t="s">
        <v>1022</v>
      </c>
      <c r="T601">
        <v>5</v>
      </c>
    </row>
    <row r="602" spans="1:20">
      <c r="A602" t="s">
        <v>32</v>
      </c>
      <c r="B602">
        <v>7.3</v>
      </c>
      <c r="C602" s="1">
        <v>44876.45</v>
      </c>
      <c r="D602">
        <v>5</v>
      </c>
      <c r="E602">
        <v>5</v>
      </c>
      <c r="F602" t="s">
        <v>21</v>
      </c>
      <c r="G602">
        <v>1</v>
      </c>
      <c r="H602">
        <v>833</v>
      </c>
      <c r="I602" t="s">
        <v>22</v>
      </c>
      <c r="J602">
        <v>149</v>
      </c>
      <c r="K602">
        <v>1.865</v>
      </c>
      <c r="L602">
        <v>21</v>
      </c>
      <c r="M602" t="s">
        <v>23</v>
      </c>
      <c r="N602">
        <v>37</v>
      </c>
      <c r="O602">
        <v>-19.291799999999999</v>
      </c>
      <c r="P602">
        <v>-172.12899999999999</v>
      </c>
      <c r="Q602" t="s">
        <v>33</v>
      </c>
      <c r="R602" t="s">
        <v>25</v>
      </c>
      <c r="S602" t="s">
        <v>1022</v>
      </c>
      <c r="T602">
        <v>5</v>
      </c>
    </row>
    <row r="603" spans="1:20">
      <c r="A603" t="s">
        <v>311</v>
      </c>
      <c r="B603">
        <v>6.6</v>
      </c>
      <c r="C603" s="1">
        <v>43566.946527777778</v>
      </c>
      <c r="D603">
        <v>4</v>
      </c>
      <c r="E603">
        <v>4</v>
      </c>
      <c r="F603" t="s">
        <v>21</v>
      </c>
      <c r="G603">
        <v>1</v>
      </c>
      <c r="H603">
        <v>673</v>
      </c>
      <c r="I603" t="s">
        <v>22</v>
      </c>
      <c r="J603">
        <v>0</v>
      </c>
      <c r="K603">
        <v>5.0860000000000003</v>
      </c>
      <c r="L603">
        <v>48</v>
      </c>
      <c r="M603" t="s">
        <v>23</v>
      </c>
      <c r="N603">
        <v>10</v>
      </c>
      <c r="O603">
        <v>-18.5747</v>
      </c>
      <c r="P603">
        <v>-175.27199999999999</v>
      </c>
      <c r="Q603" t="s">
        <v>33</v>
      </c>
      <c r="R603" t="s">
        <v>25</v>
      </c>
      <c r="S603" t="s">
        <v>1022</v>
      </c>
      <c r="T603">
        <v>5</v>
      </c>
    </row>
    <row r="604" spans="1:20">
      <c r="A604" t="s">
        <v>1423</v>
      </c>
      <c r="B604">
        <v>8</v>
      </c>
      <c r="C604" s="1">
        <v>38781.643055555556</v>
      </c>
      <c r="D604">
        <v>7</v>
      </c>
      <c r="E604">
        <v>7</v>
      </c>
      <c r="G604">
        <v>0</v>
      </c>
      <c r="H604">
        <v>1013</v>
      </c>
      <c r="I604" t="s">
        <v>22</v>
      </c>
      <c r="J604">
        <v>626</v>
      </c>
      <c r="K604">
        <v>0</v>
      </c>
      <c r="L604">
        <v>20.7</v>
      </c>
      <c r="M604" t="s">
        <v>829</v>
      </c>
      <c r="N604">
        <v>55</v>
      </c>
      <c r="O604">
        <v>-20.187000000000001</v>
      </c>
      <c r="P604">
        <v>-174.12299999999999</v>
      </c>
      <c r="Q604" t="s">
        <v>206</v>
      </c>
      <c r="R604" t="s">
        <v>25</v>
      </c>
      <c r="S604" t="s">
        <v>1022</v>
      </c>
      <c r="T604">
        <v>5</v>
      </c>
    </row>
    <row r="605" spans="1:20">
      <c r="A605" t="s">
        <v>1424</v>
      </c>
      <c r="B605">
        <v>8</v>
      </c>
      <c r="C605" s="1">
        <v>38781.643055555556</v>
      </c>
      <c r="D605">
        <v>8</v>
      </c>
      <c r="E605">
        <v>9</v>
      </c>
      <c r="G605">
        <v>0</v>
      </c>
      <c r="H605">
        <v>1026</v>
      </c>
      <c r="I605" t="s">
        <v>1276</v>
      </c>
      <c r="J605">
        <v>0</v>
      </c>
      <c r="K605">
        <v>0</v>
      </c>
      <c r="L605">
        <v>0</v>
      </c>
      <c r="M605" t="s">
        <v>23</v>
      </c>
      <c r="N605">
        <v>60.5</v>
      </c>
      <c r="O605">
        <v>-19.989999999999998</v>
      </c>
      <c r="P605">
        <v>-173.90700000000001</v>
      </c>
      <c r="Q605" t="s">
        <v>206</v>
      </c>
      <c r="R605" t="s">
        <v>25</v>
      </c>
      <c r="S605" t="s">
        <v>1022</v>
      </c>
      <c r="T605">
        <v>5</v>
      </c>
    </row>
    <row r="606" spans="1:20">
      <c r="A606" t="s">
        <v>204</v>
      </c>
      <c r="B606">
        <v>6.5</v>
      </c>
      <c r="C606" t="s">
        <v>205</v>
      </c>
      <c r="D606">
        <v>6</v>
      </c>
      <c r="E606">
        <v>4</v>
      </c>
      <c r="F606" t="s">
        <v>21</v>
      </c>
      <c r="G606">
        <v>0</v>
      </c>
      <c r="H606">
        <v>652</v>
      </c>
      <c r="I606" t="s">
        <v>22</v>
      </c>
      <c r="J606">
        <v>0</v>
      </c>
      <c r="K606">
        <v>10.404999999999999</v>
      </c>
      <c r="L606">
        <v>19</v>
      </c>
      <c r="M606" t="s">
        <v>23</v>
      </c>
      <c r="N606">
        <v>301</v>
      </c>
      <c r="O606">
        <v>-18.920400000000001</v>
      </c>
      <c r="P606">
        <v>-176.23500000000001</v>
      </c>
      <c r="Q606" t="s">
        <v>206</v>
      </c>
      <c r="R606" t="s">
        <v>25</v>
      </c>
      <c r="S606" t="s">
        <v>1022</v>
      </c>
      <c r="T606">
        <v>5</v>
      </c>
    </row>
    <row r="607" spans="1:20">
      <c r="A607" t="s">
        <v>942</v>
      </c>
      <c r="B607">
        <v>7.4</v>
      </c>
      <c r="C607" t="s">
        <v>943</v>
      </c>
      <c r="D607">
        <v>0</v>
      </c>
      <c r="E607">
        <v>6</v>
      </c>
      <c r="F607" t="s">
        <v>21</v>
      </c>
      <c r="G607">
        <v>1</v>
      </c>
      <c r="H607">
        <v>842</v>
      </c>
      <c r="I607" t="s">
        <v>22</v>
      </c>
      <c r="J607">
        <v>626</v>
      </c>
      <c r="K607">
        <v>0</v>
      </c>
      <c r="L607">
        <v>16</v>
      </c>
      <c r="M607" t="s">
        <v>23</v>
      </c>
      <c r="N607">
        <v>173.7</v>
      </c>
      <c r="O607">
        <v>-23.009</v>
      </c>
      <c r="P607">
        <v>-177.232</v>
      </c>
      <c r="Q607" t="s">
        <v>944</v>
      </c>
      <c r="R607" t="s">
        <v>25</v>
      </c>
      <c r="S607" t="s">
        <v>1022</v>
      </c>
      <c r="T607">
        <v>5</v>
      </c>
    </row>
    <row r="608" spans="1:20">
      <c r="A608" t="s">
        <v>332</v>
      </c>
      <c r="B608">
        <v>6.6</v>
      </c>
      <c r="C608" t="s">
        <v>333</v>
      </c>
      <c r="D608">
        <v>0</v>
      </c>
      <c r="E608">
        <v>4</v>
      </c>
      <c r="F608" t="s">
        <v>21</v>
      </c>
      <c r="G608">
        <v>1</v>
      </c>
      <c r="H608">
        <v>670</v>
      </c>
      <c r="I608" t="s">
        <v>22</v>
      </c>
      <c r="J608">
        <v>0</v>
      </c>
      <c r="K608">
        <v>6.024</v>
      </c>
      <c r="L608">
        <v>30</v>
      </c>
      <c r="M608" t="s">
        <v>23</v>
      </c>
      <c r="N608">
        <v>181</v>
      </c>
      <c r="O608">
        <v>-16.198499999999999</v>
      </c>
      <c r="P608">
        <v>167.99799999999999</v>
      </c>
      <c r="Q608" t="s">
        <v>334</v>
      </c>
      <c r="R608" t="s">
        <v>25</v>
      </c>
      <c r="S608" t="s">
        <v>163</v>
      </c>
      <c r="T608">
        <v>5</v>
      </c>
    </row>
    <row r="609" spans="1:20">
      <c r="A609" t="s">
        <v>437</v>
      </c>
      <c r="B609">
        <v>6.5</v>
      </c>
      <c r="C609" t="s">
        <v>438</v>
      </c>
      <c r="D609">
        <v>6</v>
      </c>
      <c r="E609">
        <v>7</v>
      </c>
      <c r="F609" t="s">
        <v>21</v>
      </c>
      <c r="G609">
        <v>1</v>
      </c>
      <c r="H609">
        <v>652</v>
      </c>
      <c r="I609" t="s">
        <v>22</v>
      </c>
      <c r="J609">
        <v>0</v>
      </c>
      <c r="K609">
        <v>4.7969999999999997</v>
      </c>
      <c r="L609">
        <v>10</v>
      </c>
      <c r="M609" t="s">
        <v>23</v>
      </c>
      <c r="N609">
        <v>9</v>
      </c>
      <c r="O609">
        <v>-16.031500000000001</v>
      </c>
      <c r="P609">
        <v>168.143</v>
      </c>
      <c r="Q609" t="s">
        <v>334</v>
      </c>
      <c r="R609" t="s">
        <v>25</v>
      </c>
      <c r="S609" t="s">
        <v>163</v>
      </c>
      <c r="T609">
        <v>5</v>
      </c>
    </row>
    <row r="610" spans="1:20">
      <c r="A610" t="s">
        <v>1360</v>
      </c>
      <c r="B610">
        <v>7.2</v>
      </c>
      <c r="C610" s="1">
        <v>39090.713888888888</v>
      </c>
      <c r="D610">
        <v>7</v>
      </c>
      <c r="E610">
        <v>7</v>
      </c>
      <c r="G610">
        <v>0</v>
      </c>
      <c r="H610">
        <v>803</v>
      </c>
      <c r="I610" t="s">
        <v>22</v>
      </c>
      <c r="J610">
        <v>494</v>
      </c>
      <c r="K610">
        <v>0</v>
      </c>
      <c r="L610">
        <v>20.399999999999999</v>
      </c>
      <c r="M610" t="s">
        <v>36</v>
      </c>
      <c r="N610">
        <v>120</v>
      </c>
      <c r="O610">
        <v>-15.595000000000001</v>
      </c>
      <c r="P610">
        <v>167.68</v>
      </c>
      <c r="Q610" t="s">
        <v>1361</v>
      </c>
      <c r="R610" t="s">
        <v>25</v>
      </c>
      <c r="S610" t="s">
        <v>163</v>
      </c>
      <c r="T610">
        <v>5</v>
      </c>
    </row>
    <row r="611" spans="1:20">
      <c r="A611" t="s">
        <v>636</v>
      </c>
      <c r="B611">
        <v>7</v>
      </c>
      <c r="C611" t="s">
        <v>637</v>
      </c>
      <c r="D611">
        <v>7</v>
      </c>
      <c r="E611">
        <v>7</v>
      </c>
      <c r="F611" t="s">
        <v>21</v>
      </c>
      <c r="G611">
        <v>1</v>
      </c>
      <c r="H611">
        <v>755</v>
      </c>
      <c r="I611" t="s">
        <v>22</v>
      </c>
      <c r="J611">
        <v>0</v>
      </c>
      <c r="K611">
        <v>0.61599999999999999</v>
      </c>
      <c r="L611">
        <v>14</v>
      </c>
      <c r="M611" t="s">
        <v>23</v>
      </c>
      <c r="N611">
        <v>24</v>
      </c>
      <c r="O611">
        <v>-16.042899999999999</v>
      </c>
      <c r="P611">
        <v>167.37899999999999</v>
      </c>
      <c r="Q611" t="s">
        <v>638</v>
      </c>
      <c r="R611" t="s">
        <v>25</v>
      </c>
      <c r="S611" t="s">
        <v>163</v>
      </c>
      <c r="T611">
        <v>5</v>
      </c>
    </row>
    <row r="612" spans="1:20">
      <c r="A612" t="s">
        <v>1411</v>
      </c>
      <c r="B612">
        <v>6.8</v>
      </c>
      <c r="C612" s="1">
        <v>38906.929166666669</v>
      </c>
      <c r="D612">
        <v>5</v>
      </c>
      <c r="E612">
        <v>5</v>
      </c>
      <c r="G612">
        <v>0</v>
      </c>
      <c r="H612">
        <v>713</v>
      </c>
      <c r="I612" t="s">
        <v>22</v>
      </c>
      <c r="J612">
        <v>551</v>
      </c>
      <c r="K612">
        <v>0</v>
      </c>
      <c r="L612">
        <v>26.2</v>
      </c>
      <c r="M612" t="s">
        <v>36</v>
      </c>
      <c r="N612">
        <v>150</v>
      </c>
      <c r="O612">
        <v>-15.798</v>
      </c>
      <c r="P612">
        <v>167.78899999999999</v>
      </c>
      <c r="Q612" t="s">
        <v>638</v>
      </c>
      <c r="R612" t="s">
        <v>25</v>
      </c>
      <c r="S612" t="s">
        <v>163</v>
      </c>
      <c r="T612">
        <v>5</v>
      </c>
    </row>
    <row r="613" spans="1:20">
      <c r="A613" t="s">
        <v>705</v>
      </c>
      <c r="B613">
        <v>7.1</v>
      </c>
      <c r="C613" t="s">
        <v>706</v>
      </c>
      <c r="D613">
        <v>6</v>
      </c>
      <c r="E613">
        <v>6</v>
      </c>
      <c r="F613" t="s">
        <v>21</v>
      </c>
      <c r="G613">
        <v>1</v>
      </c>
      <c r="H613">
        <v>780</v>
      </c>
      <c r="I613" t="s">
        <v>22</v>
      </c>
      <c r="J613">
        <v>0</v>
      </c>
      <c r="K613">
        <v>0.59199999999999997</v>
      </c>
      <c r="L613">
        <v>11</v>
      </c>
      <c r="M613" t="s">
        <v>23</v>
      </c>
      <c r="N613">
        <v>135</v>
      </c>
      <c r="O613">
        <v>-14.859500000000001</v>
      </c>
      <c r="P613">
        <v>167.303</v>
      </c>
      <c r="Q613" t="s">
        <v>162</v>
      </c>
      <c r="R613" t="s">
        <v>25</v>
      </c>
      <c r="S613" t="s">
        <v>163</v>
      </c>
      <c r="T613">
        <v>5</v>
      </c>
    </row>
    <row r="614" spans="1:20">
      <c r="A614" t="s">
        <v>1733</v>
      </c>
      <c r="B614">
        <v>7.1</v>
      </c>
      <c r="C614" s="1">
        <v>37135.700694444444</v>
      </c>
      <c r="D614">
        <v>0</v>
      </c>
      <c r="E614">
        <v>7</v>
      </c>
      <c r="G614">
        <v>0</v>
      </c>
      <c r="H614">
        <v>776</v>
      </c>
      <c r="I614" t="s">
        <v>22</v>
      </c>
      <c r="J614">
        <v>372</v>
      </c>
      <c r="K614">
        <v>0</v>
      </c>
      <c r="L614">
        <v>0</v>
      </c>
      <c r="M614" t="s">
        <v>36</v>
      </c>
      <c r="N614">
        <v>103</v>
      </c>
      <c r="O614">
        <v>-14.928000000000001</v>
      </c>
      <c r="P614">
        <v>167.17</v>
      </c>
      <c r="Q614" t="s">
        <v>162</v>
      </c>
      <c r="R614" t="s">
        <v>25</v>
      </c>
      <c r="S614" t="s">
        <v>163</v>
      </c>
      <c r="T614">
        <v>5</v>
      </c>
    </row>
    <row r="615" spans="1:20">
      <c r="A615" t="s">
        <v>160</v>
      </c>
      <c r="B615">
        <v>6.9</v>
      </c>
      <c r="C615" t="s">
        <v>161</v>
      </c>
      <c r="D615">
        <v>8</v>
      </c>
      <c r="E615">
        <v>7</v>
      </c>
      <c r="F615" t="s">
        <v>21</v>
      </c>
      <c r="G615">
        <v>1</v>
      </c>
      <c r="H615">
        <v>741</v>
      </c>
      <c r="I615" t="s">
        <v>22</v>
      </c>
      <c r="J615">
        <v>0</v>
      </c>
      <c r="K615">
        <v>0.57899999999999996</v>
      </c>
      <c r="L615">
        <v>54</v>
      </c>
      <c r="M615" t="s">
        <v>23</v>
      </c>
      <c r="N615">
        <v>93</v>
      </c>
      <c r="O615">
        <v>-14.891999999999999</v>
      </c>
      <c r="P615">
        <v>167.08500000000001</v>
      </c>
      <c r="Q615" t="s">
        <v>162</v>
      </c>
      <c r="R615" t="s">
        <v>25</v>
      </c>
      <c r="S615" t="s">
        <v>163</v>
      </c>
      <c r="T615">
        <v>5</v>
      </c>
    </row>
    <row r="616" spans="1:20">
      <c r="A616" t="s">
        <v>652</v>
      </c>
      <c r="B616">
        <v>6.9</v>
      </c>
      <c r="C616" s="1">
        <v>42433.349305555559</v>
      </c>
      <c r="D616">
        <v>7</v>
      </c>
      <c r="E616">
        <v>6</v>
      </c>
      <c r="F616" t="s">
        <v>21</v>
      </c>
      <c r="G616">
        <v>1</v>
      </c>
      <c r="H616">
        <v>734</v>
      </c>
      <c r="I616" t="s">
        <v>22</v>
      </c>
      <c r="J616">
        <v>0</v>
      </c>
      <c r="K616">
        <v>1.1659999999999999</v>
      </c>
      <c r="L616">
        <v>25</v>
      </c>
      <c r="M616" t="s">
        <v>23</v>
      </c>
      <c r="N616">
        <v>26</v>
      </c>
      <c r="O616">
        <v>-14.323499999999999</v>
      </c>
      <c r="P616">
        <v>166.85499999999999</v>
      </c>
      <c r="Q616" t="s">
        <v>162</v>
      </c>
      <c r="R616" t="s">
        <v>25</v>
      </c>
      <c r="S616" t="s">
        <v>163</v>
      </c>
      <c r="T616">
        <v>5</v>
      </c>
    </row>
    <row r="617" spans="1:20">
      <c r="A617" t="s">
        <v>540</v>
      </c>
      <c r="B617">
        <v>6.8</v>
      </c>
      <c r="C617" s="1">
        <v>42983.577777777777</v>
      </c>
      <c r="D617">
        <v>6</v>
      </c>
      <c r="E617">
        <v>5</v>
      </c>
      <c r="F617" t="s">
        <v>21</v>
      </c>
      <c r="G617">
        <v>1</v>
      </c>
      <c r="H617">
        <v>713</v>
      </c>
      <c r="I617" t="s">
        <v>22</v>
      </c>
      <c r="J617">
        <v>0</v>
      </c>
      <c r="K617">
        <v>7.4950000000000001</v>
      </c>
      <c r="L617">
        <v>19</v>
      </c>
      <c r="M617" t="s">
        <v>23</v>
      </c>
      <c r="N617">
        <v>169</v>
      </c>
      <c r="O617">
        <v>-14.5884</v>
      </c>
      <c r="P617">
        <v>167.37700000000001</v>
      </c>
      <c r="Q617" t="s">
        <v>162</v>
      </c>
      <c r="R617" t="s">
        <v>25</v>
      </c>
      <c r="S617" t="s">
        <v>163</v>
      </c>
      <c r="T617">
        <v>5</v>
      </c>
    </row>
    <row r="618" spans="1:20">
      <c r="A618" t="s">
        <v>876</v>
      </c>
      <c r="B618">
        <v>6.5</v>
      </c>
      <c r="C618" s="1">
        <v>41822.361111111109</v>
      </c>
      <c r="D618">
        <v>0</v>
      </c>
      <c r="E618">
        <v>5</v>
      </c>
      <c r="F618" t="s">
        <v>21</v>
      </c>
      <c r="G618">
        <v>1</v>
      </c>
      <c r="H618">
        <v>650</v>
      </c>
      <c r="I618" t="s">
        <v>22</v>
      </c>
      <c r="J618">
        <v>0</v>
      </c>
      <c r="K618">
        <v>0.40899999999999997</v>
      </c>
      <c r="L618">
        <v>20</v>
      </c>
      <c r="M618" t="s">
        <v>23</v>
      </c>
      <c r="N618">
        <v>122</v>
      </c>
      <c r="O618">
        <v>-15.069100000000001</v>
      </c>
      <c r="P618">
        <v>167.37200000000001</v>
      </c>
      <c r="Q618" t="s">
        <v>162</v>
      </c>
      <c r="R618" t="s">
        <v>25</v>
      </c>
      <c r="S618" t="s">
        <v>163</v>
      </c>
      <c r="T618">
        <v>5</v>
      </c>
    </row>
    <row r="619" spans="1:20">
      <c r="A619" t="s">
        <v>1144</v>
      </c>
      <c r="B619">
        <v>7.3</v>
      </c>
      <c r="C619" s="1">
        <v>40459.224305555559</v>
      </c>
      <c r="D619">
        <v>7</v>
      </c>
      <c r="E619">
        <v>7</v>
      </c>
      <c r="G619">
        <v>0</v>
      </c>
      <c r="H619">
        <v>850</v>
      </c>
      <c r="I619" t="s">
        <v>22</v>
      </c>
      <c r="J619">
        <v>405</v>
      </c>
      <c r="K619">
        <v>0</v>
      </c>
      <c r="L619">
        <v>20.2</v>
      </c>
      <c r="M619" t="s">
        <v>829</v>
      </c>
      <c r="N619">
        <v>25</v>
      </c>
      <c r="O619">
        <v>-17.541</v>
      </c>
      <c r="P619">
        <v>168.06899999999999</v>
      </c>
      <c r="Q619" t="s">
        <v>785</v>
      </c>
      <c r="R619" t="s">
        <v>25</v>
      </c>
      <c r="S619" t="s">
        <v>163</v>
      </c>
      <c r="T619">
        <v>5</v>
      </c>
    </row>
    <row r="620" spans="1:20">
      <c r="A620" t="s">
        <v>1672</v>
      </c>
      <c r="B620">
        <v>7.2</v>
      </c>
      <c r="C620" s="1">
        <v>37288.723611111112</v>
      </c>
      <c r="D620">
        <v>0</v>
      </c>
      <c r="E620">
        <v>6</v>
      </c>
      <c r="G620">
        <v>0</v>
      </c>
      <c r="H620">
        <v>798</v>
      </c>
      <c r="I620" t="s">
        <v>22</v>
      </c>
      <c r="J620">
        <v>427</v>
      </c>
      <c r="K620">
        <v>0</v>
      </c>
      <c r="L620">
        <v>0</v>
      </c>
      <c r="M620" t="s">
        <v>829</v>
      </c>
      <c r="N620">
        <v>21</v>
      </c>
      <c r="O620">
        <v>-17.600000000000001</v>
      </c>
      <c r="P620">
        <v>167.85599999999999</v>
      </c>
      <c r="Q620" t="s">
        <v>785</v>
      </c>
      <c r="R620" t="s">
        <v>25</v>
      </c>
      <c r="S620" t="s">
        <v>163</v>
      </c>
      <c r="T620">
        <v>5</v>
      </c>
    </row>
    <row r="621" spans="1:20">
      <c r="A621" t="s">
        <v>783</v>
      </c>
      <c r="B621">
        <v>6.8</v>
      </c>
      <c r="C621" t="s">
        <v>784</v>
      </c>
      <c r="D621">
        <v>1</v>
      </c>
      <c r="E621">
        <v>4</v>
      </c>
      <c r="F621" t="s">
        <v>21</v>
      </c>
      <c r="G621">
        <v>1</v>
      </c>
      <c r="H621">
        <v>711</v>
      </c>
      <c r="I621" t="s">
        <v>22</v>
      </c>
      <c r="J621">
        <v>0</v>
      </c>
      <c r="K621">
        <v>2.0190000000000001</v>
      </c>
      <c r="L621">
        <v>13</v>
      </c>
      <c r="M621" t="s">
        <v>23</v>
      </c>
      <c r="N621">
        <v>219.96</v>
      </c>
      <c r="O621">
        <v>-17.030899999999999</v>
      </c>
      <c r="P621">
        <v>168.52</v>
      </c>
      <c r="Q621" t="s">
        <v>785</v>
      </c>
      <c r="R621" t="s">
        <v>25</v>
      </c>
      <c r="S621" t="s">
        <v>163</v>
      </c>
      <c r="T621">
        <v>5</v>
      </c>
    </row>
    <row r="622" spans="1:20">
      <c r="A622" t="s">
        <v>1671</v>
      </c>
      <c r="B622">
        <v>6.6</v>
      </c>
      <c r="C622" s="1">
        <v>37316.428472222222</v>
      </c>
      <c r="D622">
        <v>0</v>
      </c>
      <c r="E622">
        <v>6</v>
      </c>
      <c r="G622">
        <v>0</v>
      </c>
      <c r="H622">
        <v>670</v>
      </c>
      <c r="I622" t="s">
        <v>22</v>
      </c>
      <c r="J622">
        <v>386</v>
      </c>
      <c r="K622">
        <v>0</v>
      </c>
      <c r="L622">
        <v>0</v>
      </c>
      <c r="M622" t="s">
        <v>829</v>
      </c>
      <c r="N622">
        <v>10</v>
      </c>
      <c r="O622">
        <v>-17.664000000000001</v>
      </c>
      <c r="P622">
        <v>168.00399999999999</v>
      </c>
      <c r="Q622" t="s">
        <v>785</v>
      </c>
      <c r="R622" t="s">
        <v>25</v>
      </c>
      <c r="S622" t="s">
        <v>163</v>
      </c>
      <c r="T622">
        <v>5</v>
      </c>
    </row>
    <row r="623" spans="1:20">
      <c r="A623" t="s">
        <v>1084</v>
      </c>
      <c r="B623">
        <v>7.2</v>
      </c>
      <c r="C623" t="s">
        <v>1085</v>
      </c>
      <c r="D623">
        <v>8</v>
      </c>
      <c r="E623">
        <v>6</v>
      </c>
      <c r="G623">
        <v>0</v>
      </c>
      <c r="H623">
        <v>813</v>
      </c>
      <c r="I623" t="s">
        <v>22</v>
      </c>
      <c r="J623">
        <v>280</v>
      </c>
      <c r="K623">
        <v>0</v>
      </c>
      <c r="L623">
        <v>18.399999999999999</v>
      </c>
      <c r="M623" t="s">
        <v>23</v>
      </c>
      <c r="N623">
        <v>32</v>
      </c>
      <c r="O623">
        <v>-18.364999999999998</v>
      </c>
      <c r="P623">
        <v>168.143</v>
      </c>
      <c r="Q623" t="s">
        <v>785</v>
      </c>
      <c r="R623" t="s">
        <v>25</v>
      </c>
      <c r="S623" t="s">
        <v>163</v>
      </c>
      <c r="T623">
        <v>5</v>
      </c>
    </row>
    <row r="624" spans="1:20">
      <c r="A624" t="s">
        <v>1052</v>
      </c>
      <c r="B624">
        <v>7.1</v>
      </c>
      <c r="C624" s="1">
        <v>40941.56527777778</v>
      </c>
      <c r="D624">
        <v>5</v>
      </c>
      <c r="E624">
        <v>5</v>
      </c>
      <c r="G624">
        <v>0</v>
      </c>
      <c r="H624">
        <v>793</v>
      </c>
      <c r="I624" t="s">
        <v>22</v>
      </c>
      <c r="J624">
        <v>573</v>
      </c>
      <c r="K624">
        <v>0</v>
      </c>
      <c r="L624">
        <v>12</v>
      </c>
      <c r="M624" t="s">
        <v>23</v>
      </c>
      <c r="N624">
        <v>23</v>
      </c>
      <c r="O624">
        <v>-17.827000000000002</v>
      </c>
      <c r="P624">
        <v>167.13300000000001</v>
      </c>
      <c r="Q624" t="s">
        <v>785</v>
      </c>
      <c r="R624" t="s">
        <v>25</v>
      </c>
      <c r="S624" t="s">
        <v>163</v>
      </c>
      <c r="T624">
        <v>5</v>
      </c>
    </row>
    <row r="625" spans="1:20">
      <c r="A625" t="s">
        <v>1080</v>
      </c>
      <c r="B625">
        <v>7.1</v>
      </c>
      <c r="C625" t="s">
        <v>1081</v>
      </c>
      <c r="D625">
        <v>5</v>
      </c>
      <c r="E625">
        <v>6</v>
      </c>
      <c r="G625">
        <v>0</v>
      </c>
      <c r="H625">
        <v>787</v>
      </c>
      <c r="I625" t="s">
        <v>22</v>
      </c>
      <c r="J625">
        <v>564</v>
      </c>
      <c r="K625">
        <v>0</v>
      </c>
      <c r="L625">
        <v>12.3</v>
      </c>
      <c r="M625" t="s">
        <v>23</v>
      </c>
      <c r="N625">
        <v>28</v>
      </c>
      <c r="O625">
        <v>-18.311</v>
      </c>
      <c r="P625">
        <v>168.21799999999999</v>
      </c>
      <c r="Q625" t="s">
        <v>785</v>
      </c>
      <c r="R625" t="s">
        <v>25</v>
      </c>
      <c r="S625" t="s">
        <v>163</v>
      </c>
      <c r="T625">
        <v>5</v>
      </c>
    </row>
    <row r="626" spans="1:20">
      <c r="A626" t="s">
        <v>1082</v>
      </c>
      <c r="B626">
        <v>6.5</v>
      </c>
      <c r="C626" t="s">
        <v>1083</v>
      </c>
      <c r="D626">
        <v>0</v>
      </c>
      <c r="E626">
        <v>5</v>
      </c>
      <c r="G626">
        <v>0</v>
      </c>
      <c r="H626">
        <v>650</v>
      </c>
      <c r="I626" t="s">
        <v>22</v>
      </c>
      <c r="J626">
        <v>322</v>
      </c>
      <c r="K626">
        <v>0</v>
      </c>
      <c r="L626">
        <v>15</v>
      </c>
      <c r="M626" t="s">
        <v>829</v>
      </c>
      <c r="N626">
        <v>35</v>
      </c>
      <c r="O626">
        <v>-18.308</v>
      </c>
      <c r="P626">
        <v>168.15600000000001</v>
      </c>
      <c r="Q626" t="s">
        <v>785</v>
      </c>
      <c r="R626" t="s">
        <v>25</v>
      </c>
      <c r="S626" t="s">
        <v>163</v>
      </c>
      <c r="T626">
        <v>5</v>
      </c>
    </row>
    <row r="627" spans="1:20">
      <c r="A627" t="s">
        <v>1220</v>
      </c>
      <c r="B627">
        <v>7.7</v>
      </c>
      <c r="C627" s="1">
        <v>40004.918749999997</v>
      </c>
      <c r="D627">
        <v>4</v>
      </c>
      <c r="E627">
        <v>7</v>
      </c>
      <c r="G627">
        <v>0</v>
      </c>
      <c r="H627">
        <v>916</v>
      </c>
      <c r="I627" t="s">
        <v>22</v>
      </c>
      <c r="J627">
        <v>283</v>
      </c>
      <c r="K627">
        <v>0</v>
      </c>
      <c r="L627">
        <v>23.2</v>
      </c>
      <c r="M627" t="s">
        <v>23</v>
      </c>
      <c r="N627">
        <v>45</v>
      </c>
      <c r="O627">
        <v>-13.006</v>
      </c>
      <c r="P627">
        <v>166.51</v>
      </c>
      <c r="Q627" t="s">
        <v>382</v>
      </c>
      <c r="R627" t="s">
        <v>25</v>
      </c>
      <c r="S627" t="s">
        <v>163</v>
      </c>
      <c r="T627">
        <v>5</v>
      </c>
    </row>
    <row r="628" spans="1:20">
      <c r="A628" t="s">
        <v>1218</v>
      </c>
      <c r="B628">
        <v>7.4</v>
      </c>
      <c r="C628" s="1">
        <v>40004.967361111114</v>
      </c>
      <c r="D628">
        <v>0</v>
      </c>
      <c r="E628">
        <v>7</v>
      </c>
      <c r="G628">
        <v>0</v>
      </c>
      <c r="H628">
        <v>842</v>
      </c>
      <c r="I628" t="s">
        <v>22</v>
      </c>
      <c r="J628">
        <v>314</v>
      </c>
      <c r="K628">
        <v>0</v>
      </c>
      <c r="L628">
        <v>20.2</v>
      </c>
      <c r="M628" t="s">
        <v>829</v>
      </c>
      <c r="N628">
        <v>31.1</v>
      </c>
      <c r="O628">
        <v>-13.093</v>
      </c>
      <c r="P628">
        <v>166.49700000000001</v>
      </c>
      <c r="Q628" t="s">
        <v>382</v>
      </c>
      <c r="R628" t="s">
        <v>25</v>
      </c>
      <c r="S628" t="s">
        <v>163</v>
      </c>
      <c r="T628">
        <v>5</v>
      </c>
    </row>
    <row r="629" spans="1:20">
      <c r="A629" t="s">
        <v>1167</v>
      </c>
      <c r="B629">
        <v>7.2</v>
      </c>
      <c r="C629" t="s">
        <v>1168</v>
      </c>
      <c r="D629">
        <v>5</v>
      </c>
      <c r="E629">
        <v>6</v>
      </c>
      <c r="G629">
        <v>0</v>
      </c>
      <c r="H629">
        <v>804</v>
      </c>
      <c r="I629" t="s">
        <v>22</v>
      </c>
      <c r="J629">
        <v>327</v>
      </c>
      <c r="K629">
        <v>0</v>
      </c>
      <c r="L629">
        <v>11.7</v>
      </c>
      <c r="M629" t="s">
        <v>829</v>
      </c>
      <c r="N629">
        <v>31</v>
      </c>
      <c r="O629">
        <v>-13.698</v>
      </c>
      <c r="P629">
        <v>166.643</v>
      </c>
      <c r="Q629" t="s">
        <v>382</v>
      </c>
      <c r="R629" t="s">
        <v>25</v>
      </c>
      <c r="S629" t="s">
        <v>163</v>
      </c>
      <c r="T629">
        <v>5</v>
      </c>
    </row>
    <row r="630" spans="1:20">
      <c r="A630" t="s">
        <v>1266</v>
      </c>
      <c r="B630">
        <v>6.9</v>
      </c>
      <c r="C630" s="1">
        <v>39669.786111111112</v>
      </c>
      <c r="D630">
        <v>0</v>
      </c>
      <c r="E630">
        <v>6</v>
      </c>
      <c r="G630">
        <v>0</v>
      </c>
      <c r="H630">
        <v>732</v>
      </c>
      <c r="I630" t="s">
        <v>22</v>
      </c>
      <c r="J630">
        <v>531</v>
      </c>
      <c r="K630">
        <v>0</v>
      </c>
      <c r="L630">
        <v>14.9</v>
      </c>
      <c r="M630" t="s">
        <v>829</v>
      </c>
      <c r="N630">
        <v>110</v>
      </c>
      <c r="O630">
        <v>-13.500999999999999</v>
      </c>
      <c r="P630">
        <v>166.96700000000001</v>
      </c>
      <c r="Q630" t="s">
        <v>382</v>
      </c>
      <c r="R630" t="s">
        <v>25</v>
      </c>
      <c r="S630" t="s">
        <v>163</v>
      </c>
      <c r="T630">
        <v>5</v>
      </c>
    </row>
    <row r="631" spans="1:20">
      <c r="A631" t="s">
        <v>650</v>
      </c>
      <c r="B631">
        <v>6.7</v>
      </c>
      <c r="C631" s="1">
        <v>42555.147222222222</v>
      </c>
      <c r="D631">
        <v>7</v>
      </c>
      <c r="E631">
        <v>5</v>
      </c>
      <c r="F631" t="s">
        <v>21</v>
      </c>
      <c r="G631">
        <v>1</v>
      </c>
      <c r="H631">
        <v>692</v>
      </c>
      <c r="I631" t="s">
        <v>22</v>
      </c>
      <c r="J631">
        <v>0</v>
      </c>
      <c r="K631">
        <v>6.7869999999999999</v>
      </c>
      <c r="L631">
        <v>25</v>
      </c>
      <c r="M631" t="s">
        <v>23</v>
      </c>
      <c r="N631">
        <v>27.59</v>
      </c>
      <c r="O631">
        <v>-13.980499999999999</v>
      </c>
      <c r="P631">
        <v>166.59399999999999</v>
      </c>
      <c r="Q631" t="s">
        <v>382</v>
      </c>
      <c r="R631" t="s">
        <v>25</v>
      </c>
      <c r="S631" t="s">
        <v>163</v>
      </c>
      <c r="T631">
        <v>5</v>
      </c>
    </row>
    <row r="632" spans="1:20">
      <c r="A632" t="s">
        <v>651</v>
      </c>
      <c r="B632">
        <v>6.7</v>
      </c>
      <c r="C632" s="1">
        <v>42525.290277777778</v>
      </c>
      <c r="D632">
        <v>7</v>
      </c>
      <c r="E632">
        <v>6</v>
      </c>
      <c r="F632" t="s">
        <v>21</v>
      </c>
      <c r="G632">
        <v>1</v>
      </c>
      <c r="H632">
        <v>691</v>
      </c>
      <c r="I632" t="s">
        <v>22</v>
      </c>
      <c r="J632">
        <v>0</v>
      </c>
      <c r="K632">
        <v>6.6970000000000001</v>
      </c>
      <c r="L632">
        <v>19</v>
      </c>
      <c r="M632" t="s">
        <v>23</v>
      </c>
      <c r="N632">
        <v>24</v>
      </c>
      <c r="O632">
        <v>-14.068300000000001</v>
      </c>
      <c r="P632">
        <v>166.624</v>
      </c>
      <c r="Q632" t="s">
        <v>382</v>
      </c>
      <c r="R632" t="s">
        <v>25</v>
      </c>
      <c r="S632" t="s">
        <v>163</v>
      </c>
      <c r="T632">
        <v>5</v>
      </c>
    </row>
    <row r="633" spans="1:20">
      <c r="A633" t="s">
        <v>986</v>
      </c>
      <c r="B633">
        <v>6.7</v>
      </c>
      <c r="C633" t="s">
        <v>987</v>
      </c>
      <c r="D633">
        <v>0</v>
      </c>
      <c r="E633">
        <v>4</v>
      </c>
      <c r="G633">
        <v>0</v>
      </c>
      <c r="H633">
        <v>691</v>
      </c>
      <c r="I633" t="s">
        <v>22</v>
      </c>
      <c r="J633">
        <v>521</v>
      </c>
      <c r="K633">
        <v>0</v>
      </c>
      <c r="L633">
        <v>13.7</v>
      </c>
      <c r="M633" t="s">
        <v>23</v>
      </c>
      <c r="N633">
        <v>200.7</v>
      </c>
      <c r="O633">
        <v>-14.343999999999999</v>
      </c>
      <c r="P633">
        <v>167.286</v>
      </c>
      <c r="Q633" t="s">
        <v>382</v>
      </c>
      <c r="R633" t="s">
        <v>25</v>
      </c>
      <c r="S633" t="s">
        <v>163</v>
      </c>
      <c r="T633">
        <v>5</v>
      </c>
    </row>
    <row r="634" spans="1:20">
      <c r="A634" t="s">
        <v>1494</v>
      </c>
      <c r="B634">
        <v>6.7</v>
      </c>
      <c r="C634" s="1">
        <v>38566.616666666669</v>
      </c>
      <c r="D634">
        <v>0</v>
      </c>
      <c r="E634">
        <v>4</v>
      </c>
      <c r="G634">
        <v>0</v>
      </c>
      <c r="H634">
        <v>691</v>
      </c>
      <c r="I634" t="s">
        <v>22</v>
      </c>
      <c r="J634">
        <v>457</v>
      </c>
      <c r="K634">
        <v>0</v>
      </c>
      <c r="L634">
        <v>30.2</v>
      </c>
      <c r="M634" t="s">
        <v>36</v>
      </c>
      <c r="N634">
        <v>206.3</v>
      </c>
      <c r="O634">
        <v>-14.252000000000001</v>
      </c>
      <c r="P634">
        <v>167.25899999999999</v>
      </c>
      <c r="Q634" t="s">
        <v>382</v>
      </c>
      <c r="R634" t="s">
        <v>25</v>
      </c>
      <c r="S634" t="s">
        <v>163</v>
      </c>
      <c r="T634">
        <v>5</v>
      </c>
    </row>
    <row r="635" spans="1:20">
      <c r="A635" t="s">
        <v>380</v>
      </c>
      <c r="B635">
        <v>6.6</v>
      </c>
      <c r="C635" t="s">
        <v>381</v>
      </c>
      <c r="D635">
        <v>5</v>
      </c>
      <c r="E635">
        <v>4</v>
      </c>
      <c r="F635" t="s">
        <v>21</v>
      </c>
      <c r="G635">
        <v>1</v>
      </c>
      <c r="H635">
        <v>671</v>
      </c>
      <c r="I635" t="s">
        <v>22</v>
      </c>
      <c r="J635">
        <v>0</v>
      </c>
      <c r="K635">
        <v>7.8179999999999996</v>
      </c>
      <c r="L635">
        <v>18</v>
      </c>
      <c r="M635" t="s">
        <v>23</v>
      </c>
      <c r="N635">
        <v>35</v>
      </c>
      <c r="O635">
        <v>-13.336</v>
      </c>
      <c r="P635">
        <v>166.875</v>
      </c>
      <c r="Q635" t="s">
        <v>382</v>
      </c>
      <c r="R635" t="s">
        <v>25</v>
      </c>
      <c r="S635" t="s">
        <v>163</v>
      </c>
      <c r="T635">
        <v>5</v>
      </c>
    </row>
    <row r="636" spans="1:20">
      <c r="A636" t="s">
        <v>878</v>
      </c>
      <c r="B636">
        <v>6.5</v>
      </c>
      <c r="C636" s="1">
        <v>41640.668749999997</v>
      </c>
      <c r="D636">
        <v>0</v>
      </c>
      <c r="E636">
        <v>4</v>
      </c>
      <c r="F636" t="s">
        <v>21</v>
      </c>
      <c r="G636">
        <v>1</v>
      </c>
      <c r="H636">
        <v>650</v>
      </c>
      <c r="I636" t="s">
        <v>22</v>
      </c>
      <c r="J636">
        <v>0</v>
      </c>
      <c r="K636">
        <v>3.9969999999999999</v>
      </c>
      <c r="L636">
        <v>14</v>
      </c>
      <c r="M636" t="s">
        <v>23</v>
      </c>
      <c r="N636">
        <v>187</v>
      </c>
      <c r="O636">
        <v>-13.863300000000001</v>
      </c>
      <c r="P636">
        <v>167.249</v>
      </c>
      <c r="Q636" t="s">
        <v>382</v>
      </c>
      <c r="R636" t="s">
        <v>25</v>
      </c>
      <c r="S636" t="s">
        <v>163</v>
      </c>
      <c r="T636">
        <v>5</v>
      </c>
    </row>
    <row r="637" spans="1:20">
      <c r="A637" t="s">
        <v>1191</v>
      </c>
      <c r="B637">
        <v>6.5</v>
      </c>
      <c r="C637" s="1">
        <v>40271.584722222222</v>
      </c>
      <c r="D637">
        <v>0</v>
      </c>
      <c r="E637">
        <v>4</v>
      </c>
      <c r="G637">
        <v>0</v>
      </c>
      <c r="H637">
        <v>650</v>
      </c>
      <c r="I637" t="s">
        <v>22</v>
      </c>
      <c r="J637">
        <v>426</v>
      </c>
      <c r="K637">
        <v>0</v>
      </c>
      <c r="L637">
        <v>18.7</v>
      </c>
      <c r="M637" t="s">
        <v>36</v>
      </c>
      <c r="N637">
        <v>176</v>
      </c>
      <c r="O637">
        <v>-13.571</v>
      </c>
      <c r="P637">
        <v>167.227</v>
      </c>
      <c r="Q637" t="s">
        <v>382</v>
      </c>
      <c r="R637" t="s">
        <v>25</v>
      </c>
      <c r="S637" t="s">
        <v>163</v>
      </c>
      <c r="T637">
        <v>5</v>
      </c>
    </row>
    <row r="638" spans="1:20">
      <c r="A638" t="s">
        <v>1554</v>
      </c>
      <c r="B638">
        <v>6.5</v>
      </c>
      <c r="C638" s="1">
        <v>38234.640972222223</v>
      </c>
      <c r="D638">
        <v>0</v>
      </c>
      <c r="E638">
        <v>4</v>
      </c>
      <c r="G638">
        <v>0</v>
      </c>
      <c r="H638">
        <v>650</v>
      </c>
      <c r="I638" t="s">
        <v>22</v>
      </c>
      <c r="J638">
        <v>424</v>
      </c>
      <c r="K638">
        <v>0</v>
      </c>
      <c r="L638">
        <v>29.9</v>
      </c>
      <c r="M638" t="s">
        <v>36</v>
      </c>
      <c r="N638">
        <v>228.4</v>
      </c>
      <c r="O638">
        <v>-13.173999999999999</v>
      </c>
      <c r="P638">
        <v>167.19800000000001</v>
      </c>
      <c r="Q638" t="s">
        <v>382</v>
      </c>
      <c r="R638" t="s">
        <v>25</v>
      </c>
      <c r="S638" t="s">
        <v>163</v>
      </c>
      <c r="T638">
        <v>5</v>
      </c>
    </row>
    <row r="639" spans="1:20">
      <c r="A639" t="s">
        <v>1219</v>
      </c>
      <c r="B639">
        <v>7.8</v>
      </c>
      <c r="C639" s="1">
        <v>40004.929166666669</v>
      </c>
      <c r="D639">
        <v>0</v>
      </c>
      <c r="E639">
        <v>6</v>
      </c>
      <c r="G639">
        <v>0</v>
      </c>
      <c r="H639">
        <v>936</v>
      </c>
      <c r="I639" t="s">
        <v>22</v>
      </c>
      <c r="J639">
        <v>195</v>
      </c>
      <c r="K639">
        <v>0</v>
      </c>
      <c r="L639">
        <v>20.3</v>
      </c>
      <c r="M639" t="s">
        <v>829</v>
      </c>
      <c r="N639">
        <v>35</v>
      </c>
      <c r="O639">
        <v>-12.516999999999999</v>
      </c>
      <c r="P639">
        <v>166.38200000000001</v>
      </c>
      <c r="Q639" t="s">
        <v>382</v>
      </c>
      <c r="R639" t="s">
        <v>25</v>
      </c>
      <c r="S639" t="s">
        <v>163</v>
      </c>
      <c r="T639">
        <v>5</v>
      </c>
    </row>
    <row r="640" spans="1:20">
      <c r="A640" t="s">
        <v>1217</v>
      </c>
      <c r="B640">
        <v>6.8</v>
      </c>
      <c r="C640" s="1">
        <v>40035.352777777778</v>
      </c>
      <c r="D640">
        <v>0</v>
      </c>
      <c r="E640">
        <v>5</v>
      </c>
      <c r="G640">
        <v>0</v>
      </c>
      <c r="H640">
        <v>711</v>
      </c>
      <c r="I640" t="s">
        <v>22</v>
      </c>
      <c r="J640">
        <v>174</v>
      </c>
      <c r="K640">
        <v>0</v>
      </c>
      <c r="L640">
        <v>30.2</v>
      </c>
      <c r="M640" t="s">
        <v>829</v>
      </c>
      <c r="N640">
        <v>35</v>
      </c>
      <c r="O640">
        <v>-13.298</v>
      </c>
      <c r="P640">
        <v>165.91</v>
      </c>
      <c r="Q640" t="s">
        <v>382</v>
      </c>
      <c r="R640" t="s">
        <v>25</v>
      </c>
      <c r="S640" t="s">
        <v>163</v>
      </c>
      <c r="T640">
        <v>5</v>
      </c>
    </row>
    <row r="641" spans="1:20">
      <c r="A641" t="s">
        <v>1649</v>
      </c>
      <c r="B641">
        <v>6.7</v>
      </c>
      <c r="C641" t="s">
        <v>1650</v>
      </c>
      <c r="D641">
        <v>0</v>
      </c>
      <c r="E641">
        <v>5</v>
      </c>
      <c r="G641">
        <v>0</v>
      </c>
      <c r="H641">
        <v>691</v>
      </c>
      <c r="I641" t="s">
        <v>22</v>
      </c>
      <c r="J641">
        <v>272</v>
      </c>
      <c r="K641">
        <v>0</v>
      </c>
      <c r="L641">
        <v>0</v>
      </c>
      <c r="M641" t="s">
        <v>829</v>
      </c>
      <c r="N641">
        <v>33</v>
      </c>
      <c r="O641">
        <v>-12.592000000000001</v>
      </c>
      <c r="P641">
        <v>166.38300000000001</v>
      </c>
      <c r="Q641" t="s">
        <v>382</v>
      </c>
      <c r="R641" t="s">
        <v>25</v>
      </c>
      <c r="S641" t="s">
        <v>163</v>
      </c>
      <c r="T641">
        <v>5</v>
      </c>
    </row>
    <row r="642" spans="1:20">
      <c r="A642" t="s">
        <v>1127</v>
      </c>
      <c r="B642">
        <v>7.3</v>
      </c>
      <c r="C642" t="s">
        <v>1128</v>
      </c>
      <c r="D642">
        <v>0</v>
      </c>
      <c r="E642">
        <v>5</v>
      </c>
      <c r="G642">
        <v>0</v>
      </c>
      <c r="H642">
        <v>820</v>
      </c>
      <c r="I642" t="s">
        <v>22</v>
      </c>
      <c r="J642">
        <v>409</v>
      </c>
      <c r="K642">
        <v>0</v>
      </c>
      <c r="L642">
        <v>12</v>
      </c>
      <c r="M642" t="s">
        <v>829</v>
      </c>
      <c r="N642">
        <v>16</v>
      </c>
      <c r="O642">
        <v>-19.702000000000002</v>
      </c>
      <c r="P642">
        <v>167.947</v>
      </c>
      <c r="Q642" t="s">
        <v>61</v>
      </c>
      <c r="R642" t="s">
        <v>25</v>
      </c>
      <c r="S642" t="s">
        <v>163</v>
      </c>
      <c r="T642">
        <v>5</v>
      </c>
    </row>
    <row r="643" spans="1:20">
      <c r="A643" t="s">
        <v>1285</v>
      </c>
      <c r="B643">
        <v>7.3</v>
      </c>
      <c r="C643" s="1">
        <v>39695.531944444447</v>
      </c>
      <c r="D643">
        <v>0</v>
      </c>
      <c r="E643">
        <v>6</v>
      </c>
      <c r="G643">
        <v>0</v>
      </c>
      <c r="H643">
        <v>820</v>
      </c>
      <c r="I643" t="s">
        <v>22</v>
      </c>
      <c r="J643">
        <v>486</v>
      </c>
      <c r="K643">
        <v>0</v>
      </c>
      <c r="L643">
        <v>13.4</v>
      </c>
      <c r="M643" t="s">
        <v>829</v>
      </c>
      <c r="N643">
        <v>33</v>
      </c>
      <c r="O643">
        <v>-20.071000000000002</v>
      </c>
      <c r="P643">
        <v>168.892</v>
      </c>
      <c r="Q643" t="s">
        <v>61</v>
      </c>
      <c r="R643" t="s">
        <v>25</v>
      </c>
      <c r="S643" t="s">
        <v>163</v>
      </c>
      <c r="T643">
        <v>5</v>
      </c>
    </row>
    <row r="644" spans="1:20">
      <c r="A644" t="s">
        <v>1379</v>
      </c>
      <c r="B644">
        <v>7.1</v>
      </c>
      <c r="C644" t="s">
        <v>1380</v>
      </c>
      <c r="D644">
        <v>3</v>
      </c>
      <c r="E644">
        <v>6</v>
      </c>
      <c r="G644">
        <v>0</v>
      </c>
      <c r="H644">
        <v>779</v>
      </c>
      <c r="I644" t="s">
        <v>22</v>
      </c>
      <c r="J644">
        <v>426</v>
      </c>
      <c r="K644">
        <v>0</v>
      </c>
      <c r="L644">
        <v>25.3</v>
      </c>
      <c r="M644" t="s">
        <v>36</v>
      </c>
      <c r="N644">
        <v>34</v>
      </c>
      <c r="O644">
        <v>-20.617000000000001</v>
      </c>
      <c r="P644">
        <v>169.357</v>
      </c>
      <c r="Q644" t="s">
        <v>61</v>
      </c>
      <c r="R644" t="s">
        <v>25</v>
      </c>
      <c r="S644" t="s">
        <v>163</v>
      </c>
      <c r="T644">
        <v>5</v>
      </c>
    </row>
    <row r="645" spans="1:20">
      <c r="A645" t="s">
        <v>59</v>
      </c>
      <c r="B645">
        <v>7</v>
      </c>
      <c r="C645" t="s">
        <v>60</v>
      </c>
      <c r="D645">
        <v>7</v>
      </c>
      <c r="E645">
        <v>5</v>
      </c>
      <c r="F645" t="s">
        <v>21</v>
      </c>
      <c r="G645">
        <v>1</v>
      </c>
      <c r="H645">
        <v>761</v>
      </c>
      <c r="I645" t="s">
        <v>22</v>
      </c>
      <c r="J645">
        <v>192</v>
      </c>
      <c r="K645">
        <v>2.9769999999999999</v>
      </c>
      <c r="L645">
        <v>45</v>
      </c>
      <c r="M645" t="s">
        <v>23</v>
      </c>
      <c r="N645">
        <v>137</v>
      </c>
      <c r="O645">
        <v>-21.207699999999999</v>
      </c>
      <c r="P645">
        <v>170.239</v>
      </c>
      <c r="Q645" t="s">
        <v>61</v>
      </c>
      <c r="R645" t="s">
        <v>25</v>
      </c>
      <c r="S645" t="s">
        <v>163</v>
      </c>
      <c r="T645">
        <v>5</v>
      </c>
    </row>
    <row r="646" spans="1:20">
      <c r="A646" t="s">
        <v>1076</v>
      </c>
      <c r="B646">
        <v>7</v>
      </c>
      <c r="C646" s="1">
        <v>40611.954861111109</v>
      </c>
      <c r="D646">
        <v>7</v>
      </c>
      <c r="E646">
        <v>5</v>
      </c>
      <c r="G646">
        <v>0</v>
      </c>
      <c r="H646">
        <v>761</v>
      </c>
      <c r="I646" t="s">
        <v>22</v>
      </c>
      <c r="J646">
        <v>406</v>
      </c>
      <c r="K646">
        <v>0</v>
      </c>
      <c r="L646">
        <v>15.3</v>
      </c>
      <c r="M646" t="s">
        <v>23</v>
      </c>
      <c r="N646">
        <v>185.1</v>
      </c>
      <c r="O646">
        <v>-20.670999999999999</v>
      </c>
      <c r="P646">
        <v>169.71600000000001</v>
      </c>
      <c r="Q646" t="s">
        <v>61</v>
      </c>
      <c r="R646" t="s">
        <v>25</v>
      </c>
      <c r="S646" t="s">
        <v>163</v>
      </c>
      <c r="T646">
        <v>5</v>
      </c>
    </row>
    <row r="647" spans="1:20">
      <c r="A647" t="s">
        <v>838</v>
      </c>
      <c r="B647">
        <v>6.6</v>
      </c>
      <c r="C647" s="1">
        <v>41644.275000000001</v>
      </c>
      <c r="D647">
        <v>0</v>
      </c>
      <c r="E647">
        <v>5</v>
      </c>
      <c r="F647" t="s">
        <v>21</v>
      </c>
      <c r="G647">
        <v>1</v>
      </c>
      <c r="H647">
        <v>670</v>
      </c>
      <c r="I647" t="s">
        <v>22</v>
      </c>
      <c r="J647">
        <v>0</v>
      </c>
      <c r="K647">
        <v>3.34</v>
      </c>
      <c r="L647">
        <v>10</v>
      </c>
      <c r="M647" t="s">
        <v>23</v>
      </c>
      <c r="N647">
        <v>106</v>
      </c>
      <c r="O647">
        <v>-21.4542</v>
      </c>
      <c r="P647">
        <v>170.35499999999999</v>
      </c>
      <c r="Q647" t="s">
        <v>61</v>
      </c>
      <c r="R647" t="s">
        <v>25</v>
      </c>
      <c r="S647" t="s">
        <v>163</v>
      </c>
      <c r="T647">
        <v>5</v>
      </c>
    </row>
    <row r="648" spans="1:20">
      <c r="A648" t="s">
        <v>1578</v>
      </c>
      <c r="B648">
        <v>6.6</v>
      </c>
      <c r="C648" s="1">
        <v>37783.443055555559</v>
      </c>
      <c r="D648">
        <v>0</v>
      </c>
      <c r="E648">
        <v>5</v>
      </c>
      <c r="G648">
        <v>0</v>
      </c>
      <c r="H648">
        <v>670</v>
      </c>
      <c r="I648" t="s">
        <v>22</v>
      </c>
      <c r="J648">
        <v>475</v>
      </c>
      <c r="K648">
        <v>0</v>
      </c>
      <c r="L648">
        <v>26.2</v>
      </c>
      <c r="M648" t="s">
        <v>36</v>
      </c>
      <c r="N648">
        <v>113.7</v>
      </c>
      <c r="O648">
        <v>-19.262</v>
      </c>
      <c r="P648">
        <v>168.892</v>
      </c>
      <c r="Q648" t="s">
        <v>61</v>
      </c>
      <c r="R648" t="s">
        <v>25</v>
      </c>
      <c r="S648" t="s">
        <v>163</v>
      </c>
      <c r="T648">
        <v>5</v>
      </c>
    </row>
    <row r="649" spans="1:20">
      <c r="A649" t="s">
        <v>148</v>
      </c>
      <c r="B649">
        <v>7.3</v>
      </c>
      <c r="C649" s="1">
        <v>44237.270138888889</v>
      </c>
      <c r="D649">
        <v>4</v>
      </c>
      <c r="E649">
        <v>4</v>
      </c>
      <c r="F649" t="s">
        <v>21</v>
      </c>
      <c r="G649">
        <v>1</v>
      </c>
      <c r="H649">
        <v>826</v>
      </c>
      <c r="I649" t="s">
        <v>22</v>
      </c>
      <c r="J649">
        <v>0</v>
      </c>
      <c r="K649">
        <v>4.4930000000000003</v>
      </c>
      <c r="L649">
        <v>32</v>
      </c>
      <c r="M649" t="s">
        <v>23</v>
      </c>
      <c r="N649">
        <v>527</v>
      </c>
      <c r="O649">
        <v>-21.1036</v>
      </c>
      <c r="P649">
        <v>174.89500000000001</v>
      </c>
      <c r="Q649" t="s">
        <v>147</v>
      </c>
      <c r="R649" t="s">
        <v>25</v>
      </c>
      <c r="S649" t="s">
        <v>163</v>
      </c>
      <c r="T649">
        <v>5</v>
      </c>
    </row>
    <row r="650" spans="1:20">
      <c r="A650" t="s">
        <v>146</v>
      </c>
      <c r="B650">
        <v>6.9</v>
      </c>
      <c r="C650" s="1">
        <v>44449.456944444442</v>
      </c>
      <c r="D650">
        <v>4</v>
      </c>
      <c r="E650">
        <v>3</v>
      </c>
      <c r="F650" t="s">
        <v>21</v>
      </c>
      <c r="G650">
        <v>1</v>
      </c>
      <c r="H650">
        <v>740</v>
      </c>
      <c r="I650" t="s">
        <v>22</v>
      </c>
      <c r="J650">
        <v>0</v>
      </c>
      <c r="K650">
        <v>4.7779999999999996</v>
      </c>
      <c r="L650">
        <v>31</v>
      </c>
      <c r="M650" t="s">
        <v>23</v>
      </c>
      <c r="N650">
        <v>535</v>
      </c>
      <c r="O650">
        <v>-21.170400000000001</v>
      </c>
      <c r="P650">
        <v>174.54</v>
      </c>
      <c r="Q650" t="s">
        <v>147</v>
      </c>
      <c r="R650" t="s">
        <v>25</v>
      </c>
      <c r="S650" t="s">
        <v>163</v>
      </c>
      <c r="T650">
        <v>5</v>
      </c>
    </row>
    <row r="651" spans="1:20">
      <c r="A651" t="s">
        <v>1686</v>
      </c>
      <c r="B651">
        <v>7</v>
      </c>
      <c r="C651" s="1">
        <v>37235.626388888886</v>
      </c>
      <c r="D651">
        <v>0</v>
      </c>
      <c r="E651">
        <v>6</v>
      </c>
      <c r="G651">
        <v>0</v>
      </c>
      <c r="H651">
        <v>754</v>
      </c>
      <c r="I651" t="s">
        <v>22</v>
      </c>
      <c r="J651">
        <v>482</v>
      </c>
      <c r="K651">
        <v>0</v>
      </c>
      <c r="L651">
        <v>0</v>
      </c>
      <c r="M651" t="s">
        <v>829</v>
      </c>
      <c r="N651">
        <v>37</v>
      </c>
      <c r="O651">
        <v>12.686</v>
      </c>
      <c r="P651">
        <v>144.97999999999999</v>
      </c>
      <c r="Q651" t="s">
        <v>1687</v>
      </c>
      <c r="R651" t="s">
        <v>25</v>
      </c>
      <c r="S651" t="s">
        <v>1745</v>
      </c>
      <c r="T651">
        <v>5</v>
      </c>
    </row>
    <row r="652" spans="1:20">
      <c r="A652" t="s">
        <v>808</v>
      </c>
      <c r="B652">
        <v>6.7</v>
      </c>
      <c r="C652" t="s">
        <v>809</v>
      </c>
      <c r="D652">
        <v>5</v>
      </c>
      <c r="E652">
        <v>5</v>
      </c>
      <c r="F652" t="s">
        <v>21</v>
      </c>
      <c r="G652">
        <v>1</v>
      </c>
      <c r="H652">
        <v>724</v>
      </c>
      <c r="I652" t="s">
        <v>22</v>
      </c>
      <c r="J652">
        <v>0</v>
      </c>
      <c r="K652">
        <v>0.46</v>
      </c>
      <c r="L652">
        <v>11</v>
      </c>
      <c r="M652" t="s">
        <v>23</v>
      </c>
      <c r="N652">
        <v>130</v>
      </c>
      <c r="O652">
        <v>13.764099999999999</v>
      </c>
      <c r="P652">
        <v>144.429</v>
      </c>
      <c r="Q652" t="s">
        <v>810</v>
      </c>
      <c r="R652" t="s">
        <v>25</v>
      </c>
      <c r="S652" t="s">
        <v>1745</v>
      </c>
      <c r="T652">
        <v>5</v>
      </c>
    </row>
    <row r="653" spans="1:20">
      <c r="A653" t="s">
        <v>189</v>
      </c>
      <c r="B653">
        <v>6.5</v>
      </c>
      <c r="C653" t="s">
        <v>190</v>
      </c>
      <c r="D653">
        <v>5</v>
      </c>
      <c r="E653">
        <v>7</v>
      </c>
      <c r="F653" t="s">
        <v>21</v>
      </c>
      <c r="G653">
        <v>1</v>
      </c>
      <c r="H653">
        <v>652</v>
      </c>
      <c r="I653" t="s">
        <v>22</v>
      </c>
      <c r="J653">
        <v>0</v>
      </c>
      <c r="K653">
        <v>4.5179999999999998</v>
      </c>
      <c r="L653">
        <v>44</v>
      </c>
      <c r="M653" t="s">
        <v>23</v>
      </c>
      <c r="N653">
        <v>10</v>
      </c>
      <c r="O653">
        <v>-16.479600000000001</v>
      </c>
      <c r="P653">
        <v>-177.35599999999999</v>
      </c>
      <c r="Q653" t="s">
        <v>191</v>
      </c>
      <c r="R653" t="s">
        <v>25</v>
      </c>
      <c r="T653">
        <v>5</v>
      </c>
    </row>
    <row r="654" spans="1:20">
      <c r="A654" t="s">
        <v>770</v>
      </c>
      <c r="B654">
        <v>6.5</v>
      </c>
      <c r="C654" t="s">
        <v>771</v>
      </c>
      <c r="D654">
        <v>0</v>
      </c>
      <c r="E654">
        <v>5</v>
      </c>
      <c r="F654" t="s">
        <v>21</v>
      </c>
      <c r="G654">
        <v>1</v>
      </c>
      <c r="H654">
        <v>650</v>
      </c>
      <c r="I654" t="s">
        <v>22</v>
      </c>
      <c r="J654">
        <v>0</v>
      </c>
      <c r="K654">
        <v>3.702</v>
      </c>
      <c r="L654">
        <v>42</v>
      </c>
      <c r="M654" t="s">
        <v>23</v>
      </c>
      <c r="N654">
        <v>10</v>
      </c>
      <c r="O654">
        <v>-15.881500000000001</v>
      </c>
      <c r="P654">
        <v>-178.6</v>
      </c>
      <c r="Q654" t="s">
        <v>191</v>
      </c>
      <c r="R654" t="s">
        <v>25</v>
      </c>
      <c r="T654">
        <v>5</v>
      </c>
    </row>
    <row r="655" spans="1:20">
      <c r="A655" t="s">
        <v>1507</v>
      </c>
      <c r="B655">
        <v>8.1</v>
      </c>
      <c r="C655" t="s">
        <v>1508</v>
      </c>
      <c r="D655">
        <v>0</v>
      </c>
      <c r="E655">
        <v>5</v>
      </c>
      <c r="G655">
        <v>0</v>
      </c>
      <c r="H655">
        <v>1009</v>
      </c>
      <c r="I655" t="s">
        <v>22</v>
      </c>
      <c r="J655">
        <v>331</v>
      </c>
      <c r="K655">
        <v>0</v>
      </c>
      <c r="L655">
        <v>59.3</v>
      </c>
      <c r="M655" t="s">
        <v>829</v>
      </c>
      <c r="N655">
        <v>10</v>
      </c>
      <c r="O655">
        <v>-49.311999999999998</v>
      </c>
      <c r="P655">
        <v>161.345</v>
      </c>
      <c r="Q655" t="s">
        <v>1509</v>
      </c>
      <c r="R655" t="s">
        <v>25</v>
      </c>
      <c r="T655">
        <v>5</v>
      </c>
    </row>
    <row r="656" spans="1:20">
      <c r="A656" t="s">
        <v>820</v>
      </c>
      <c r="B656">
        <v>6.7</v>
      </c>
      <c r="C656" t="s">
        <v>821</v>
      </c>
      <c r="D656">
        <v>0</v>
      </c>
      <c r="E656">
        <v>5</v>
      </c>
      <c r="F656" t="s">
        <v>21</v>
      </c>
      <c r="G656">
        <v>1</v>
      </c>
      <c r="H656">
        <v>691</v>
      </c>
      <c r="I656" t="s">
        <v>22</v>
      </c>
      <c r="J656">
        <v>0</v>
      </c>
      <c r="K656">
        <v>6.7130000000000001</v>
      </c>
      <c r="L656">
        <v>45</v>
      </c>
      <c r="M656" t="s">
        <v>23</v>
      </c>
      <c r="N656">
        <v>18</v>
      </c>
      <c r="O656">
        <v>-14.9831</v>
      </c>
      <c r="P656">
        <v>-175.51</v>
      </c>
      <c r="Q656" t="s">
        <v>822</v>
      </c>
      <c r="R656" t="s">
        <v>25</v>
      </c>
      <c r="T656">
        <v>5</v>
      </c>
    </row>
    <row r="657" spans="1:20">
      <c r="A657" t="s">
        <v>1224</v>
      </c>
      <c r="B657">
        <v>8.1</v>
      </c>
      <c r="C657" t="s">
        <v>1225</v>
      </c>
      <c r="D657">
        <v>7</v>
      </c>
      <c r="E657">
        <v>6</v>
      </c>
      <c r="G657">
        <v>0</v>
      </c>
      <c r="H657">
        <v>1055</v>
      </c>
      <c r="I657" t="s">
        <v>22</v>
      </c>
      <c r="J657">
        <v>520</v>
      </c>
      <c r="K657">
        <v>0</v>
      </c>
      <c r="L657">
        <v>20.8</v>
      </c>
      <c r="M657" t="s">
        <v>829</v>
      </c>
      <c r="N657">
        <v>18</v>
      </c>
      <c r="O657">
        <v>-15.489000000000001</v>
      </c>
      <c r="P657">
        <v>-172.095</v>
      </c>
      <c r="Q657" t="s">
        <v>1226</v>
      </c>
      <c r="R657" t="s">
        <v>25</v>
      </c>
      <c r="T657">
        <v>5</v>
      </c>
    </row>
    <row r="658" spans="1:20">
      <c r="A658" t="s">
        <v>622</v>
      </c>
      <c r="B658">
        <v>7.7</v>
      </c>
      <c r="C658" t="s">
        <v>623</v>
      </c>
      <c r="D658">
        <v>5</v>
      </c>
      <c r="E658">
        <v>6</v>
      </c>
      <c r="F658" t="s">
        <v>21</v>
      </c>
      <c r="G658">
        <v>1</v>
      </c>
      <c r="H658">
        <v>971</v>
      </c>
      <c r="I658" t="s">
        <v>22</v>
      </c>
      <c r="J658">
        <v>0</v>
      </c>
      <c r="K658">
        <v>3.294</v>
      </c>
      <c r="L658">
        <v>14</v>
      </c>
      <c r="M658" t="s">
        <v>23</v>
      </c>
      <c r="N658">
        <v>196</v>
      </c>
      <c r="O658">
        <v>18.542899999999999</v>
      </c>
      <c r="P658">
        <v>145.50700000000001</v>
      </c>
      <c r="Q658" t="s">
        <v>624</v>
      </c>
      <c r="R658" t="s">
        <v>25</v>
      </c>
      <c r="T658">
        <v>5</v>
      </c>
    </row>
    <row r="659" spans="1:20">
      <c r="A659" t="s">
        <v>945</v>
      </c>
      <c r="B659">
        <v>6.8</v>
      </c>
      <c r="C659" t="s">
        <v>946</v>
      </c>
      <c r="D659">
        <v>0</v>
      </c>
      <c r="E659">
        <v>3</v>
      </c>
      <c r="F659" t="s">
        <v>21</v>
      </c>
      <c r="G659">
        <v>0</v>
      </c>
      <c r="H659">
        <v>711</v>
      </c>
      <c r="I659" t="s">
        <v>22</v>
      </c>
      <c r="J659">
        <v>131</v>
      </c>
      <c r="K659">
        <v>0</v>
      </c>
      <c r="L659">
        <v>18</v>
      </c>
      <c r="M659" t="s">
        <v>23</v>
      </c>
      <c r="N659">
        <v>602.20000000000005</v>
      </c>
      <c r="O659">
        <v>18.728000000000002</v>
      </c>
      <c r="P659">
        <v>145.28800000000001</v>
      </c>
      <c r="Q659" t="s">
        <v>624</v>
      </c>
      <c r="R659" t="s">
        <v>25</v>
      </c>
      <c r="T659">
        <v>5</v>
      </c>
    </row>
    <row r="660" spans="1:20">
      <c r="A660" t="s">
        <v>1638</v>
      </c>
      <c r="B660">
        <v>6.5</v>
      </c>
      <c r="C660" t="s">
        <v>1639</v>
      </c>
      <c r="D660">
        <v>0</v>
      </c>
      <c r="E660">
        <v>4</v>
      </c>
      <c r="G660">
        <v>0</v>
      </c>
      <c r="H660">
        <v>650</v>
      </c>
      <c r="I660" t="s">
        <v>22</v>
      </c>
      <c r="J660">
        <v>260</v>
      </c>
      <c r="K660">
        <v>0</v>
      </c>
      <c r="L660">
        <v>0</v>
      </c>
      <c r="M660" t="s">
        <v>829</v>
      </c>
      <c r="N660">
        <v>30</v>
      </c>
      <c r="O660">
        <v>14.101000000000001</v>
      </c>
      <c r="P660">
        <v>146.19900000000001</v>
      </c>
      <c r="Q660" t="s">
        <v>1640</v>
      </c>
      <c r="R660" t="s">
        <v>25</v>
      </c>
      <c r="T660">
        <v>5</v>
      </c>
    </row>
    <row r="661" spans="1:20">
      <c r="A661" t="s">
        <v>219</v>
      </c>
      <c r="B661">
        <v>7.7</v>
      </c>
      <c r="C661" s="1">
        <v>44471.554861111108</v>
      </c>
      <c r="D661">
        <v>9</v>
      </c>
      <c r="E661">
        <v>4</v>
      </c>
      <c r="F661" t="s">
        <v>21</v>
      </c>
      <c r="G661">
        <v>1</v>
      </c>
      <c r="H661">
        <v>918</v>
      </c>
      <c r="I661" t="s">
        <v>22</v>
      </c>
      <c r="J661">
        <v>0</v>
      </c>
      <c r="K661">
        <v>7.9889999999999999</v>
      </c>
      <c r="L661">
        <v>15</v>
      </c>
      <c r="M661" t="s">
        <v>23</v>
      </c>
      <c r="N661">
        <v>10</v>
      </c>
      <c r="O661">
        <v>-23.278700000000001</v>
      </c>
      <c r="P661">
        <v>171.489</v>
      </c>
      <c r="Q661" t="s">
        <v>94</v>
      </c>
      <c r="R661" t="s">
        <v>25</v>
      </c>
      <c r="T661">
        <v>5</v>
      </c>
    </row>
    <row r="662" spans="1:20">
      <c r="A662" t="s">
        <v>621</v>
      </c>
      <c r="B662">
        <v>7.2</v>
      </c>
      <c r="C662" s="1">
        <v>42712.05972222222</v>
      </c>
      <c r="D662">
        <v>6</v>
      </c>
      <c r="E662">
        <v>5</v>
      </c>
      <c r="F662" t="s">
        <v>21</v>
      </c>
      <c r="G662">
        <v>1</v>
      </c>
      <c r="H662">
        <v>799</v>
      </c>
      <c r="I662" t="s">
        <v>22</v>
      </c>
      <c r="J662">
        <v>0</v>
      </c>
      <c r="K662">
        <v>4.8230000000000004</v>
      </c>
      <c r="L662">
        <v>14</v>
      </c>
      <c r="M662" t="s">
        <v>23</v>
      </c>
      <c r="N662">
        <v>16.37</v>
      </c>
      <c r="O662">
        <v>-22.476500000000001</v>
      </c>
      <c r="P662">
        <v>173.11699999999999</v>
      </c>
      <c r="Q662" t="s">
        <v>94</v>
      </c>
      <c r="R662" t="s">
        <v>25</v>
      </c>
      <c r="T662">
        <v>5</v>
      </c>
    </row>
    <row r="663" spans="1:20">
      <c r="A663" t="s">
        <v>92</v>
      </c>
      <c r="B663">
        <v>7</v>
      </c>
      <c r="C663" t="s">
        <v>93</v>
      </c>
      <c r="D663">
        <v>6</v>
      </c>
      <c r="E663">
        <v>4</v>
      </c>
      <c r="F663" t="s">
        <v>21</v>
      </c>
      <c r="G663">
        <v>1</v>
      </c>
      <c r="H663">
        <v>763</v>
      </c>
      <c r="I663" t="s">
        <v>22</v>
      </c>
      <c r="J663">
        <v>0</v>
      </c>
      <c r="K663">
        <v>2.7050000000000001</v>
      </c>
      <c r="L663">
        <v>26</v>
      </c>
      <c r="M663" t="s">
        <v>23</v>
      </c>
      <c r="N663">
        <v>10</v>
      </c>
      <c r="O663">
        <v>-22.5732</v>
      </c>
      <c r="P663">
        <v>170.34899999999999</v>
      </c>
      <c r="Q663" t="s">
        <v>94</v>
      </c>
      <c r="R663" t="s">
        <v>25</v>
      </c>
      <c r="T663">
        <v>5</v>
      </c>
    </row>
    <row r="664" spans="1:20">
      <c r="A664" t="s">
        <v>1091</v>
      </c>
      <c r="B664">
        <v>6.8</v>
      </c>
      <c r="C664" s="1">
        <v>40821.371527777781</v>
      </c>
      <c r="D664">
        <v>4</v>
      </c>
      <c r="E664">
        <v>5</v>
      </c>
      <c r="G664">
        <v>0</v>
      </c>
      <c r="H664">
        <v>734</v>
      </c>
      <c r="I664" t="s">
        <v>22</v>
      </c>
      <c r="J664">
        <v>519</v>
      </c>
      <c r="K664">
        <v>0</v>
      </c>
      <c r="L664">
        <v>12.5</v>
      </c>
      <c r="M664" t="s">
        <v>23</v>
      </c>
      <c r="N664">
        <v>11</v>
      </c>
      <c r="O664">
        <v>-20.244</v>
      </c>
      <c r="P664">
        <v>168.226</v>
      </c>
      <c r="Q664" t="s">
        <v>1092</v>
      </c>
      <c r="R664" t="s">
        <v>25</v>
      </c>
      <c r="T664">
        <v>5</v>
      </c>
    </row>
    <row r="665" spans="1:20">
      <c r="A665" t="s">
        <v>781</v>
      </c>
      <c r="B665">
        <v>6.7</v>
      </c>
      <c r="C665" s="1">
        <v>42310.789583333331</v>
      </c>
      <c r="D665">
        <v>4</v>
      </c>
      <c r="E665">
        <v>6</v>
      </c>
      <c r="F665" t="s">
        <v>21</v>
      </c>
      <c r="G665">
        <v>1</v>
      </c>
      <c r="H665">
        <v>700</v>
      </c>
      <c r="I665" t="s">
        <v>22</v>
      </c>
      <c r="J665">
        <v>0</v>
      </c>
      <c r="K665">
        <v>2.11</v>
      </c>
      <c r="L665">
        <v>16</v>
      </c>
      <c r="M665" t="s">
        <v>23</v>
      </c>
      <c r="N665">
        <v>223</v>
      </c>
      <c r="O665">
        <v>-23.112500000000001</v>
      </c>
      <c r="P665">
        <v>-66.688000000000002</v>
      </c>
      <c r="Q665" t="s">
        <v>782</v>
      </c>
      <c r="R665" t="s">
        <v>78</v>
      </c>
      <c r="S665" t="s">
        <v>88</v>
      </c>
      <c r="T665">
        <v>6</v>
      </c>
    </row>
    <row r="666" spans="1:20">
      <c r="A666" t="s">
        <v>86</v>
      </c>
      <c r="B666">
        <v>6.8</v>
      </c>
      <c r="C666" s="1">
        <v>44839.962500000001</v>
      </c>
      <c r="D666">
        <v>6</v>
      </c>
      <c r="E666">
        <v>5</v>
      </c>
      <c r="F666" t="s">
        <v>21</v>
      </c>
      <c r="G666">
        <v>1</v>
      </c>
      <c r="H666">
        <v>762</v>
      </c>
      <c r="I666" t="s">
        <v>22</v>
      </c>
      <c r="J666">
        <v>162</v>
      </c>
      <c r="K666">
        <v>1.5049999999999999</v>
      </c>
      <c r="L666">
        <v>30</v>
      </c>
      <c r="M666" t="s">
        <v>23</v>
      </c>
      <c r="N666">
        <v>220</v>
      </c>
      <c r="O666">
        <v>-23.614100000000001</v>
      </c>
      <c r="P666">
        <v>-66.723600000000005</v>
      </c>
      <c r="Q666" t="s">
        <v>87</v>
      </c>
      <c r="R666" t="s">
        <v>78</v>
      </c>
      <c r="S666" t="s">
        <v>88</v>
      </c>
      <c r="T666">
        <v>6</v>
      </c>
    </row>
    <row r="667" spans="1:20">
      <c r="A667" t="s">
        <v>458</v>
      </c>
      <c r="B667">
        <v>6.8</v>
      </c>
      <c r="C667" s="1">
        <v>43135.569444444445</v>
      </c>
      <c r="D667">
        <v>5</v>
      </c>
      <c r="E667">
        <v>3</v>
      </c>
      <c r="F667" t="s">
        <v>21</v>
      </c>
      <c r="G667">
        <v>0</v>
      </c>
      <c r="H667">
        <v>733</v>
      </c>
      <c r="I667" t="s">
        <v>22</v>
      </c>
      <c r="J667">
        <v>0</v>
      </c>
      <c r="K667">
        <v>5.32</v>
      </c>
      <c r="L667">
        <v>16</v>
      </c>
      <c r="M667" t="s">
        <v>23</v>
      </c>
      <c r="N667">
        <v>559</v>
      </c>
      <c r="O667">
        <v>-20.658799999999999</v>
      </c>
      <c r="P667">
        <v>-63.005800000000001</v>
      </c>
      <c r="Q667" t="s">
        <v>459</v>
      </c>
      <c r="R667" t="s">
        <v>78</v>
      </c>
      <c r="S667" t="s">
        <v>460</v>
      </c>
      <c r="T667">
        <v>6</v>
      </c>
    </row>
    <row r="668" spans="1:20">
      <c r="A668" t="s">
        <v>555</v>
      </c>
      <c r="B668">
        <v>6.5</v>
      </c>
      <c r="C668" t="s">
        <v>556</v>
      </c>
      <c r="D668">
        <v>3</v>
      </c>
      <c r="E668">
        <v>3</v>
      </c>
      <c r="F668" t="s">
        <v>21</v>
      </c>
      <c r="G668">
        <v>0</v>
      </c>
      <c r="H668">
        <v>653</v>
      </c>
      <c r="I668" t="s">
        <v>22</v>
      </c>
      <c r="J668">
        <v>0</v>
      </c>
      <c r="K668">
        <v>4.242</v>
      </c>
      <c r="L668">
        <v>14</v>
      </c>
      <c r="M668" t="s">
        <v>23</v>
      </c>
      <c r="N668">
        <v>595.98</v>
      </c>
      <c r="O668">
        <v>-19.281400000000001</v>
      </c>
      <c r="P668">
        <v>-63.904699999999998</v>
      </c>
      <c r="Q668" t="s">
        <v>557</v>
      </c>
      <c r="R668" t="s">
        <v>78</v>
      </c>
      <c r="S668" t="s">
        <v>460</v>
      </c>
      <c r="T668">
        <v>6</v>
      </c>
    </row>
    <row r="669" spans="1:20">
      <c r="A669" t="s">
        <v>1453</v>
      </c>
      <c r="B669">
        <v>6.8</v>
      </c>
      <c r="C669" t="s">
        <v>1454</v>
      </c>
      <c r="D669">
        <v>0</v>
      </c>
      <c r="E669">
        <v>6</v>
      </c>
      <c r="G669">
        <v>0</v>
      </c>
      <c r="H669">
        <v>711</v>
      </c>
      <c r="I669" t="s">
        <v>22</v>
      </c>
      <c r="J669">
        <v>509</v>
      </c>
      <c r="K669">
        <v>0</v>
      </c>
      <c r="L669">
        <v>30.1</v>
      </c>
      <c r="M669" t="s">
        <v>36</v>
      </c>
      <c r="N669">
        <v>147</v>
      </c>
      <c r="O669">
        <v>-22.361000000000001</v>
      </c>
      <c r="P669">
        <v>-67.894999999999996</v>
      </c>
      <c r="Q669" t="s">
        <v>274</v>
      </c>
      <c r="R669" t="s">
        <v>78</v>
      </c>
      <c r="S669" t="s">
        <v>460</v>
      </c>
      <c r="T669">
        <v>6</v>
      </c>
    </row>
    <row r="670" spans="1:20">
      <c r="A670" t="s">
        <v>679</v>
      </c>
      <c r="B670">
        <v>6.7</v>
      </c>
      <c r="C670" t="s">
        <v>680</v>
      </c>
      <c r="D670">
        <v>2</v>
      </c>
      <c r="E670">
        <v>3</v>
      </c>
      <c r="F670" t="s">
        <v>21</v>
      </c>
      <c r="G670">
        <v>0</v>
      </c>
      <c r="H670">
        <v>691</v>
      </c>
      <c r="I670" t="s">
        <v>22</v>
      </c>
      <c r="J670">
        <v>0</v>
      </c>
      <c r="K670">
        <v>2.0329999999999999</v>
      </c>
      <c r="L670">
        <v>19</v>
      </c>
      <c r="M670" t="s">
        <v>23</v>
      </c>
      <c r="N670">
        <v>602.75</v>
      </c>
      <c r="O670">
        <v>-9.1824999999999992</v>
      </c>
      <c r="P670">
        <v>-71.257400000000004</v>
      </c>
      <c r="Q670" t="s">
        <v>77</v>
      </c>
      <c r="R670" t="s">
        <v>78</v>
      </c>
      <c r="S670" t="s">
        <v>79</v>
      </c>
      <c r="T670">
        <v>6</v>
      </c>
    </row>
    <row r="671" spans="1:20">
      <c r="A671" t="s">
        <v>76</v>
      </c>
      <c r="B671">
        <v>6.5</v>
      </c>
      <c r="C671" s="1">
        <v>44779.038194444445</v>
      </c>
      <c r="D671">
        <v>3</v>
      </c>
      <c r="E671">
        <v>2</v>
      </c>
      <c r="F671" t="s">
        <v>21</v>
      </c>
      <c r="G671">
        <v>0</v>
      </c>
      <c r="H671">
        <v>653</v>
      </c>
      <c r="I671" t="s">
        <v>22</v>
      </c>
      <c r="J671">
        <v>236</v>
      </c>
      <c r="K671">
        <v>1.9990000000000001</v>
      </c>
      <c r="L671">
        <v>31</v>
      </c>
      <c r="M671" t="s">
        <v>23</v>
      </c>
      <c r="N671">
        <v>622.73</v>
      </c>
      <c r="O671">
        <v>-9.0617999999999999</v>
      </c>
      <c r="P671">
        <v>-71.164699999999996</v>
      </c>
      <c r="Q671" t="s">
        <v>77</v>
      </c>
      <c r="R671" t="s">
        <v>78</v>
      </c>
      <c r="S671" t="s">
        <v>79</v>
      </c>
      <c r="T671">
        <v>6</v>
      </c>
    </row>
    <row r="672" spans="1:20">
      <c r="A672" t="s">
        <v>385</v>
      </c>
      <c r="B672">
        <v>6.8</v>
      </c>
      <c r="C672" s="1">
        <v>43586.809027777781</v>
      </c>
      <c r="D672">
        <v>3</v>
      </c>
      <c r="E672">
        <v>3</v>
      </c>
      <c r="F672" t="s">
        <v>21</v>
      </c>
      <c r="G672">
        <v>0</v>
      </c>
      <c r="H672">
        <v>715</v>
      </c>
      <c r="I672" t="s">
        <v>22</v>
      </c>
      <c r="J672">
        <v>0</v>
      </c>
      <c r="K672">
        <v>1.181</v>
      </c>
      <c r="L672">
        <v>16</v>
      </c>
      <c r="M672" t="s">
        <v>23</v>
      </c>
      <c r="N672">
        <v>570.41</v>
      </c>
      <c r="O672">
        <v>-8.1440000000000001</v>
      </c>
      <c r="P672">
        <v>-71.587000000000003</v>
      </c>
      <c r="Q672" t="s">
        <v>386</v>
      </c>
      <c r="R672" t="s">
        <v>78</v>
      </c>
      <c r="S672" t="s">
        <v>79</v>
      </c>
      <c r="T672">
        <v>6</v>
      </c>
    </row>
    <row r="673" spans="1:20">
      <c r="A673" t="s">
        <v>1329</v>
      </c>
      <c r="B673">
        <v>6.8</v>
      </c>
      <c r="C673" t="s">
        <v>1330</v>
      </c>
      <c r="D673">
        <v>6</v>
      </c>
      <c r="E673">
        <v>7</v>
      </c>
      <c r="G673">
        <v>0</v>
      </c>
      <c r="H673">
        <v>716</v>
      </c>
      <c r="I673" t="s">
        <v>22</v>
      </c>
      <c r="J673">
        <v>285</v>
      </c>
      <c r="K673">
        <v>0</v>
      </c>
      <c r="L673">
        <v>40.1</v>
      </c>
      <c r="M673" t="s">
        <v>829</v>
      </c>
      <c r="N673">
        <v>26</v>
      </c>
      <c r="O673">
        <v>-22.925000000000001</v>
      </c>
      <c r="P673">
        <v>-70.236999999999995</v>
      </c>
      <c r="Q673" t="s">
        <v>1312</v>
      </c>
      <c r="R673" t="s">
        <v>78</v>
      </c>
      <c r="S673" t="s">
        <v>245</v>
      </c>
      <c r="T673">
        <v>6</v>
      </c>
    </row>
    <row r="674" spans="1:20">
      <c r="A674" t="s">
        <v>1310</v>
      </c>
      <c r="B674">
        <v>6.7</v>
      </c>
      <c r="C674" t="s">
        <v>1311</v>
      </c>
      <c r="D674">
        <v>5</v>
      </c>
      <c r="E674">
        <v>7</v>
      </c>
      <c r="G674">
        <v>0</v>
      </c>
      <c r="H674">
        <v>704</v>
      </c>
      <c r="I674" t="s">
        <v>22</v>
      </c>
      <c r="J674">
        <v>481</v>
      </c>
      <c r="K674">
        <v>0</v>
      </c>
      <c r="L674">
        <v>30.3</v>
      </c>
      <c r="M674" t="s">
        <v>36</v>
      </c>
      <c r="N674">
        <v>45</v>
      </c>
      <c r="O674">
        <v>-22.954000000000001</v>
      </c>
      <c r="P674">
        <v>-70.182000000000002</v>
      </c>
      <c r="Q674" t="s">
        <v>1312</v>
      </c>
      <c r="R674" t="s">
        <v>78</v>
      </c>
      <c r="S674" t="s">
        <v>245</v>
      </c>
      <c r="T674">
        <v>6</v>
      </c>
    </row>
    <row r="675" spans="1:20">
      <c r="A675" t="s">
        <v>1156</v>
      </c>
      <c r="B675">
        <v>6.6</v>
      </c>
      <c r="C675" t="s">
        <v>1157</v>
      </c>
      <c r="D675">
        <v>6</v>
      </c>
      <c r="E675">
        <v>7</v>
      </c>
      <c r="G675">
        <v>0</v>
      </c>
      <c r="H675">
        <v>753</v>
      </c>
      <c r="I675" t="s">
        <v>22</v>
      </c>
      <c r="J675">
        <v>295</v>
      </c>
      <c r="K675">
        <v>0</v>
      </c>
      <c r="L675">
        <v>52.8</v>
      </c>
      <c r="M675" t="s">
        <v>829</v>
      </c>
      <c r="N675">
        <v>22</v>
      </c>
      <c r="O675">
        <v>-38.067</v>
      </c>
      <c r="P675">
        <v>-73.31</v>
      </c>
      <c r="Q675" t="s">
        <v>1158</v>
      </c>
      <c r="R675" t="s">
        <v>78</v>
      </c>
      <c r="S675" t="s">
        <v>245</v>
      </c>
      <c r="T675">
        <v>6</v>
      </c>
    </row>
    <row r="676" spans="1:20">
      <c r="A676" t="s">
        <v>1550</v>
      </c>
      <c r="B676">
        <v>6.6</v>
      </c>
      <c r="C676" s="1">
        <v>38051.191666666666</v>
      </c>
      <c r="D676">
        <v>0</v>
      </c>
      <c r="E676">
        <v>7</v>
      </c>
      <c r="G676">
        <v>0</v>
      </c>
      <c r="H676">
        <v>670</v>
      </c>
      <c r="I676" t="s">
        <v>22</v>
      </c>
      <c r="J676">
        <v>282</v>
      </c>
      <c r="K676">
        <v>0</v>
      </c>
      <c r="L676">
        <v>46.9</v>
      </c>
      <c r="M676" t="s">
        <v>36</v>
      </c>
      <c r="N676">
        <v>21</v>
      </c>
      <c r="O676">
        <v>-37.695</v>
      </c>
      <c r="P676">
        <v>-73.406000000000006</v>
      </c>
      <c r="Q676" t="s">
        <v>1158</v>
      </c>
      <c r="R676" t="s">
        <v>78</v>
      </c>
      <c r="S676" t="s">
        <v>245</v>
      </c>
      <c r="T676">
        <v>6</v>
      </c>
    </row>
    <row r="677" spans="1:20">
      <c r="A677" t="s">
        <v>1661</v>
      </c>
      <c r="B677">
        <v>6.5</v>
      </c>
      <c r="C677" t="s">
        <v>1662</v>
      </c>
      <c r="D677">
        <v>0</v>
      </c>
      <c r="E677">
        <v>5</v>
      </c>
      <c r="G677">
        <v>0</v>
      </c>
      <c r="H677">
        <v>650</v>
      </c>
      <c r="I677" t="s">
        <v>22</v>
      </c>
      <c r="J677">
        <v>486</v>
      </c>
      <c r="K677">
        <v>0</v>
      </c>
      <c r="L677">
        <v>0</v>
      </c>
      <c r="M677" t="s">
        <v>829</v>
      </c>
      <c r="N677">
        <v>125.1</v>
      </c>
      <c r="O677">
        <v>-21.663</v>
      </c>
      <c r="P677">
        <v>-68.328999999999994</v>
      </c>
      <c r="Q677" t="s">
        <v>1663</v>
      </c>
      <c r="R677" t="s">
        <v>78</v>
      </c>
      <c r="S677" t="s">
        <v>245</v>
      </c>
      <c r="T677">
        <v>6</v>
      </c>
    </row>
    <row r="678" spans="1:20">
      <c r="A678" t="s">
        <v>1125</v>
      </c>
      <c r="B678">
        <v>7.2</v>
      </c>
      <c r="C678" s="1">
        <v>40575.847222222219</v>
      </c>
      <c r="D678">
        <v>8</v>
      </c>
      <c r="E678">
        <v>7</v>
      </c>
      <c r="G678">
        <v>0</v>
      </c>
      <c r="H678">
        <v>1054</v>
      </c>
      <c r="I678" t="s">
        <v>22</v>
      </c>
      <c r="J678">
        <v>397</v>
      </c>
      <c r="K678">
        <v>0</v>
      </c>
      <c r="L678">
        <v>30.1</v>
      </c>
      <c r="M678" t="s">
        <v>23</v>
      </c>
      <c r="N678">
        <v>24</v>
      </c>
      <c r="O678">
        <v>-38.354999999999997</v>
      </c>
      <c r="P678">
        <v>-73.325999999999993</v>
      </c>
      <c r="Q678" t="s">
        <v>1126</v>
      </c>
      <c r="R678" t="s">
        <v>78</v>
      </c>
      <c r="S678" t="s">
        <v>245</v>
      </c>
      <c r="T678">
        <v>6</v>
      </c>
    </row>
    <row r="679" spans="1:20">
      <c r="A679" t="s">
        <v>1040</v>
      </c>
      <c r="B679">
        <v>7.1</v>
      </c>
      <c r="C679" t="s">
        <v>1041</v>
      </c>
      <c r="D679">
        <v>7</v>
      </c>
      <c r="E679">
        <v>7</v>
      </c>
      <c r="G679">
        <v>0</v>
      </c>
      <c r="H679">
        <v>1496</v>
      </c>
      <c r="I679" t="s">
        <v>22</v>
      </c>
      <c r="J679">
        <v>553</v>
      </c>
      <c r="K679">
        <v>0</v>
      </c>
      <c r="L679">
        <v>15.2</v>
      </c>
      <c r="M679" t="s">
        <v>23</v>
      </c>
      <c r="N679">
        <v>40.700000000000003</v>
      </c>
      <c r="O679">
        <v>-35.200000000000003</v>
      </c>
      <c r="P679">
        <v>-72.216999999999999</v>
      </c>
      <c r="Q679" t="s">
        <v>320</v>
      </c>
      <c r="R679" t="s">
        <v>78</v>
      </c>
      <c r="S679" t="s">
        <v>245</v>
      </c>
      <c r="T679">
        <v>6</v>
      </c>
    </row>
    <row r="680" spans="1:20">
      <c r="A680" t="s">
        <v>318</v>
      </c>
      <c r="B680">
        <v>6.7</v>
      </c>
      <c r="C680" t="s">
        <v>319</v>
      </c>
      <c r="D680">
        <v>7</v>
      </c>
      <c r="E680">
        <v>6</v>
      </c>
      <c r="F680" t="s">
        <v>21</v>
      </c>
      <c r="G680">
        <v>1</v>
      </c>
      <c r="H680">
        <v>844</v>
      </c>
      <c r="I680" t="s">
        <v>22</v>
      </c>
      <c r="J680">
        <v>0</v>
      </c>
      <c r="K680">
        <v>1.2689999999999999</v>
      </c>
      <c r="L680">
        <v>98</v>
      </c>
      <c r="M680" t="s">
        <v>23</v>
      </c>
      <c r="N680">
        <v>11</v>
      </c>
      <c r="O680">
        <v>-35.4758</v>
      </c>
      <c r="P680">
        <v>-73.162999999999997</v>
      </c>
      <c r="Q680" t="s">
        <v>320</v>
      </c>
      <c r="R680" t="s">
        <v>78</v>
      </c>
      <c r="S680" t="s">
        <v>245</v>
      </c>
      <c r="T680">
        <v>6</v>
      </c>
    </row>
    <row r="681" spans="1:20">
      <c r="A681" t="s">
        <v>1116</v>
      </c>
      <c r="B681">
        <v>6.7</v>
      </c>
      <c r="C681" t="s">
        <v>1117</v>
      </c>
      <c r="D681">
        <v>5</v>
      </c>
      <c r="E681">
        <v>6</v>
      </c>
      <c r="G681">
        <v>0</v>
      </c>
      <c r="H681">
        <v>731</v>
      </c>
      <c r="I681" t="s">
        <v>22</v>
      </c>
      <c r="J681">
        <v>358</v>
      </c>
      <c r="K681">
        <v>0</v>
      </c>
      <c r="L681">
        <v>33.9</v>
      </c>
      <c r="M681" t="s">
        <v>23</v>
      </c>
      <c r="N681">
        <v>21</v>
      </c>
      <c r="O681">
        <v>-35.380000000000003</v>
      </c>
      <c r="P681">
        <v>-72.834000000000003</v>
      </c>
      <c r="Q681" t="s">
        <v>320</v>
      </c>
      <c r="R681" t="s">
        <v>78</v>
      </c>
      <c r="S681" t="s">
        <v>245</v>
      </c>
      <c r="T681">
        <v>6</v>
      </c>
    </row>
    <row r="682" spans="1:20">
      <c r="A682" t="s">
        <v>1428</v>
      </c>
      <c r="B682">
        <v>6.7</v>
      </c>
      <c r="C682" t="s">
        <v>1429</v>
      </c>
      <c r="D682">
        <v>6</v>
      </c>
      <c r="E682">
        <v>7</v>
      </c>
      <c r="G682">
        <v>0</v>
      </c>
      <c r="H682">
        <v>696</v>
      </c>
      <c r="I682" t="s">
        <v>22</v>
      </c>
      <c r="J682">
        <v>277</v>
      </c>
      <c r="K682">
        <v>0</v>
      </c>
      <c r="L682">
        <v>25.6</v>
      </c>
      <c r="M682" t="s">
        <v>36</v>
      </c>
      <c r="N682">
        <v>12</v>
      </c>
      <c r="O682">
        <v>-27.016999999999999</v>
      </c>
      <c r="P682">
        <v>-71.022000000000006</v>
      </c>
      <c r="Q682" t="s">
        <v>1427</v>
      </c>
      <c r="R682" t="s">
        <v>78</v>
      </c>
      <c r="S682" t="s">
        <v>245</v>
      </c>
      <c r="T682">
        <v>6</v>
      </c>
    </row>
    <row r="683" spans="1:20">
      <c r="A683" t="s">
        <v>1654</v>
      </c>
      <c r="B683">
        <v>6.7</v>
      </c>
      <c r="C683" t="s">
        <v>1655</v>
      </c>
      <c r="D683">
        <v>0</v>
      </c>
      <c r="E683">
        <v>7</v>
      </c>
      <c r="G683">
        <v>0</v>
      </c>
      <c r="H683">
        <v>691</v>
      </c>
      <c r="I683" t="s">
        <v>22</v>
      </c>
      <c r="J683">
        <v>462</v>
      </c>
      <c r="K683">
        <v>0</v>
      </c>
      <c r="L683">
        <v>0</v>
      </c>
      <c r="M683" t="s">
        <v>36</v>
      </c>
      <c r="N683">
        <v>62</v>
      </c>
      <c r="O683">
        <v>-27.535</v>
      </c>
      <c r="P683">
        <v>-70.585999999999999</v>
      </c>
      <c r="Q683" t="s">
        <v>1427</v>
      </c>
      <c r="R683" t="s">
        <v>78</v>
      </c>
      <c r="S683" t="s">
        <v>245</v>
      </c>
      <c r="T683">
        <v>6</v>
      </c>
    </row>
    <row r="684" spans="1:20">
      <c r="A684" t="s">
        <v>1425</v>
      </c>
      <c r="B684">
        <v>6.5</v>
      </c>
      <c r="C684" t="s">
        <v>1426</v>
      </c>
      <c r="D684">
        <v>7</v>
      </c>
      <c r="E684">
        <v>7</v>
      </c>
      <c r="G684">
        <v>0</v>
      </c>
      <c r="H684">
        <v>653</v>
      </c>
      <c r="I684" t="s">
        <v>22</v>
      </c>
      <c r="J684">
        <v>282</v>
      </c>
      <c r="K684">
        <v>0</v>
      </c>
      <c r="L684">
        <v>46.3</v>
      </c>
      <c r="M684" t="s">
        <v>829</v>
      </c>
      <c r="N684">
        <v>12</v>
      </c>
      <c r="O684">
        <v>-27.210999999999999</v>
      </c>
      <c r="P684">
        <v>-71.055999999999997</v>
      </c>
      <c r="Q684" t="s">
        <v>1427</v>
      </c>
      <c r="R684" t="s">
        <v>78</v>
      </c>
      <c r="S684" t="s">
        <v>245</v>
      </c>
      <c r="T684">
        <v>6</v>
      </c>
    </row>
    <row r="685" spans="1:20">
      <c r="A685" t="s">
        <v>377</v>
      </c>
      <c r="B685">
        <v>6.7</v>
      </c>
      <c r="C685" t="s">
        <v>378</v>
      </c>
      <c r="D685">
        <v>8</v>
      </c>
      <c r="E685">
        <v>8</v>
      </c>
      <c r="F685" t="s">
        <v>66</v>
      </c>
      <c r="G685">
        <v>1</v>
      </c>
      <c r="H685">
        <v>1600</v>
      </c>
      <c r="I685" t="s">
        <v>22</v>
      </c>
      <c r="J685">
        <v>0</v>
      </c>
      <c r="K685">
        <v>0.17299999999999999</v>
      </c>
      <c r="L685">
        <v>22</v>
      </c>
      <c r="M685" t="s">
        <v>23</v>
      </c>
      <c r="N685">
        <v>63</v>
      </c>
      <c r="O685">
        <v>-30.040400000000002</v>
      </c>
      <c r="P685">
        <v>-71.381500000000003</v>
      </c>
      <c r="Q685" t="s">
        <v>379</v>
      </c>
      <c r="R685" t="s">
        <v>78</v>
      </c>
      <c r="S685" t="s">
        <v>245</v>
      </c>
      <c r="T685">
        <v>6</v>
      </c>
    </row>
    <row r="686" spans="1:20">
      <c r="A686" t="s">
        <v>886</v>
      </c>
      <c r="B686">
        <v>6.6</v>
      </c>
      <c r="C686" t="s">
        <v>887</v>
      </c>
      <c r="D686">
        <v>6</v>
      </c>
      <c r="E686">
        <v>7</v>
      </c>
      <c r="F686" t="s">
        <v>21</v>
      </c>
      <c r="G686">
        <v>1</v>
      </c>
      <c r="H686">
        <v>723</v>
      </c>
      <c r="I686" t="s">
        <v>22</v>
      </c>
      <c r="J686">
        <v>0</v>
      </c>
      <c r="K686">
        <v>0.63600000000000001</v>
      </c>
      <c r="L686">
        <v>31</v>
      </c>
      <c r="M686" t="s">
        <v>23</v>
      </c>
      <c r="N686">
        <v>27</v>
      </c>
      <c r="O686">
        <v>-30.292100000000001</v>
      </c>
      <c r="P686">
        <v>-71.521500000000003</v>
      </c>
      <c r="Q686" t="s">
        <v>379</v>
      </c>
      <c r="R686" t="s">
        <v>78</v>
      </c>
      <c r="S686" t="s">
        <v>245</v>
      </c>
      <c r="T686">
        <v>6</v>
      </c>
    </row>
    <row r="687" spans="1:20">
      <c r="A687" t="s">
        <v>694</v>
      </c>
      <c r="B687">
        <v>6.9</v>
      </c>
      <c r="C687" s="1">
        <v>42319.115277777775</v>
      </c>
      <c r="D687">
        <v>5</v>
      </c>
      <c r="E687">
        <v>6</v>
      </c>
      <c r="F687" t="s">
        <v>21</v>
      </c>
      <c r="G687">
        <v>0</v>
      </c>
      <c r="H687">
        <v>744</v>
      </c>
      <c r="I687" t="s">
        <v>22</v>
      </c>
      <c r="J687">
        <v>0</v>
      </c>
      <c r="K687">
        <v>0.82099999999999995</v>
      </c>
      <c r="L687">
        <v>43</v>
      </c>
      <c r="M687" t="s">
        <v>23</v>
      </c>
      <c r="N687">
        <v>10</v>
      </c>
      <c r="O687">
        <v>-29.509699999999999</v>
      </c>
      <c r="P687">
        <v>-72.058499999999995</v>
      </c>
      <c r="Q687" t="s">
        <v>379</v>
      </c>
      <c r="R687" t="s">
        <v>78</v>
      </c>
      <c r="S687" t="s">
        <v>245</v>
      </c>
      <c r="T687">
        <v>6</v>
      </c>
    </row>
    <row r="688" spans="1:20">
      <c r="A688" t="s">
        <v>695</v>
      </c>
      <c r="B688">
        <v>6.9</v>
      </c>
      <c r="C688" s="1">
        <v>42319.07916666667</v>
      </c>
      <c r="D688">
        <v>6</v>
      </c>
      <c r="E688">
        <v>6</v>
      </c>
      <c r="F688" t="s">
        <v>21</v>
      </c>
      <c r="G688">
        <v>1</v>
      </c>
      <c r="H688">
        <v>761</v>
      </c>
      <c r="I688" t="s">
        <v>22</v>
      </c>
      <c r="J688">
        <v>0</v>
      </c>
      <c r="K688">
        <v>0.78400000000000003</v>
      </c>
      <c r="L688">
        <v>32</v>
      </c>
      <c r="M688" t="s">
        <v>23</v>
      </c>
      <c r="N688">
        <v>12</v>
      </c>
      <c r="O688">
        <v>-29.506699999999999</v>
      </c>
      <c r="P688">
        <v>-72.006799999999998</v>
      </c>
      <c r="Q688" t="s">
        <v>379</v>
      </c>
      <c r="R688" t="s">
        <v>78</v>
      </c>
      <c r="S688" t="s">
        <v>245</v>
      </c>
      <c r="T688">
        <v>6</v>
      </c>
    </row>
    <row r="689" spans="1:20">
      <c r="A689" t="s">
        <v>228</v>
      </c>
      <c r="B689">
        <v>6.7</v>
      </c>
      <c r="C689" t="s">
        <v>229</v>
      </c>
      <c r="D689">
        <v>5</v>
      </c>
      <c r="E689">
        <v>5</v>
      </c>
      <c r="F689" t="s">
        <v>21</v>
      </c>
      <c r="G689">
        <v>1</v>
      </c>
      <c r="H689">
        <v>776</v>
      </c>
      <c r="I689" t="s">
        <v>22</v>
      </c>
      <c r="J689">
        <v>0</v>
      </c>
      <c r="K689">
        <v>1.319</v>
      </c>
      <c r="L689">
        <v>19</v>
      </c>
      <c r="M689" t="s">
        <v>23</v>
      </c>
      <c r="N689">
        <v>10</v>
      </c>
      <c r="O689">
        <v>-39.3264</v>
      </c>
      <c r="P689">
        <v>-74.906700000000001</v>
      </c>
      <c r="Q689" t="s">
        <v>230</v>
      </c>
      <c r="R689" t="s">
        <v>78</v>
      </c>
      <c r="S689" t="s">
        <v>245</v>
      </c>
      <c r="T689">
        <v>6</v>
      </c>
    </row>
    <row r="690" spans="1:20">
      <c r="A690" t="s">
        <v>1029</v>
      </c>
      <c r="B690">
        <v>6.7</v>
      </c>
      <c r="C690" t="s">
        <v>1030</v>
      </c>
      <c r="D690">
        <v>0</v>
      </c>
      <c r="E690">
        <v>7</v>
      </c>
      <c r="G690">
        <v>0</v>
      </c>
      <c r="H690">
        <v>691</v>
      </c>
      <c r="I690" t="s">
        <v>22</v>
      </c>
      <c r="J690">
        <v>518</v>
      </c>
      <c r="K690">
        <v>0</v>
      </c>
      <c r="L690">
        <v>26.9</v>
      </c>
      <c r="M690" t="s">
        <v>23</v>
      </c>
      <c r="N690">
        <v>29</v>
      </c>
      <c r="O690">
        <v>-32.625</v>
      </c>
      <c r="P690">
        <v>-71.364999999999995</v>
      </c>
      <c r="Q690" t="s">
        <v>1031</v>
      </c>
      <c r="R690" t="s">
        <v>78</v>
      </c>
      <c r="S690" t="s">
        <v>245</v>
      </c>
      <c r="T690">
        <v>6</v>
      </c>
    </row>
    <row r="691" spans="1:20">
      <c r="A691" t="s">
        <v>719</v>
      </c>
      <c r="B691">
        <v>8.3000000000000007</v>
      </c>
      <c r="C691" t="s">
        <v>720</v>
      </c>
      <c r="D691">
        <v>9</v>
      </c>
      <c r="E691">
        <v>8</v>
      </c>
      <c r="F691" t="s">
        <v>66</v>
      </c>
      <c r="G691">
        <v>1</v>
      </c>
      <c r="H691">
        <v>1960</v>
      </c>
      <c r="I691" t="s">
        <v>22</v>
      </c>
      <c r="J691">
        <v>0</v>
      </c>
      <c r="K691">
        <v>0.68400000000000005</v>
      </c>
      <c r="L691">
        <v>19</v>
      </c>
      <c r="M691" t="s">
        <v>23</v>
      </c>
      <c r="N691">
        <v>22.44</v>
      </c>
      <c r="O691">
        <v>-31.572900000000001</v>
      </c>
      <c r="P691">
        <v>-71.674400000000006</v>
      </c>
      <c r="Q691" t="s">
        <v>712</v>
      </c>
      <c r="R691" t="s">
        <v>78</v>
      </c>
      <c r="S691" t="s">
        <v>245</v>
      </c>
      <c r="T691">
        <v>6</v>
      </c>
    </row>
    <row r="692" spans="1:20">
      <c r="A692" t="s">
        <v>717</v>
      </c>
      <c r="B692">
        <v>7</v>
      </c>
      <c r="C692" t="s">
        <v>718</v>
      </c>
      <c r="D692">
        <v>8</v>
      </c>
      <c r="E692">
        <v>7</v>
      </c>
      <c r="F692" t="s">
        <v>21</v>
      </c>
      <c r="G692">
        <v>0</v>
      </c>
      <c r="H692">
        <v>799</v>
      </c>
      <c r="I692" t="s">
        <v>22</v>
      </c>
      <c r="J692">
        <v>0</v>
      </c>
      <c r="K692">
        <v>0.90300000000000002</v>
      </c>
      <c r="L692">
        <v>13</v>
      </c>
      <c r="M692" t="s">
        <v>23</v>
      </c>
      <c r="N692">
        <v>28.41</v>
      </c>
      <c r="O692">
        <v>-31.562200000000001</v>
      </c>
      <c r="P692">
        <v>-71.426199999999994</v>
      </c>
      <c r="Q692" t="s">
        <v>712</v>
      </c>
      <c r="R692" t="s">
        <v>78</v>
      </c>
      <c r="S692" t="s">
        <v>245</v>
      </c>
      <c r="T692">
        <v>6</v>
      </c>
    </row>
    <row r="693" spans="1:20">
      <c r="A693" t="s">
        <v>713</v>
      </c>
      <c r="B693">
        <v>6.7</v>
      </c>
      <c r="C693" t="s">
        <v>714</v>
      </c>
      <c r="D693">
        <v>5</v>
      </c>
      <c r="E693">
        <v>7</v>
      </c>
      <c r="F693" t="s">
        <v>21</v>
      </c>
      <c r="G693">
        <v>0</v>
      </c>
      <c r="H693">
        <v>718</v>
      </c>
      <c r="I693" t="s">
        <v>22</v>
      </c>
      <c r="J693">
        <v>0</v>
      </c>
      <c r="K693">
        <v>0.85299999999999998</v>
      </c>
      <c r="L693">
        <v>35</v>
      </c>
      <c r="M693" t="s">
        <v>23</v>
      </c>
      <c r="N693">
        <v>23</v>
      </c>
      <c r="O693">
        <v>-31.517299999999999</v>
      </c>
      <c r="P693">
        <v>-71.804000000000002</v>
      </c>
      <c r="Q693" t="s">
        <v>712</v>
      </c>
      <c r="R693" t="s">
        <v>78</v>
      </c>
      <c r="S693" t="s">
        <v>245</v>
      </c>
      <c r="T693">
        <v>6</v>
      </c>
    </row>
    <row r="694" spans="1:20">
      <c r="A694" t="s">
        <v>710</v>
      </c>
      <c r="B694">
        <v>6.6</v>
      </c>
      <c r="C694" t="s">
        <v>711</v>
      </c>
      <c r="D694">
        <v>5</v>
      </c>
      <c r="E694">
        <v>7</v>
      </c>
      <c r="F694" t="s">
        <v>21</v>
      </c>
      <c r="G694">
        <v>1</v>
      </c>
      <c r="H694">
        <v>820</v>
      </c>
      <c r="I694" t="s">
        <v>22</v>
      </c>
      <c r="J694">
        <v>0</v>
      </c>
      <c r="K694">
        <v>1.0640000000000001</v>
      </c>
      <c r="L694">
        <v>14</v>
      </c>
      <c r="M694" t="s">
        <v>23</v>
      </c>
      <c r="N694">
        <v>35</v>
      </c>
      <c r="O694">
        <v>-31.727499999999999</v>
      </c>
      <c r="P694">
        <v>-71.379199999999997</v>
      </c>
      <c r="Q694" t="s">
        <v>712</v>
      </c>
      <c r="R694" t="s">
        <v>78</v>
      </c>
      <c r="S694" t="s">
        <v>245</v>
      </c>
      <c r="T694">
        <v>6</v>
      </c>
    </row>
    <row r="695" spans="1:20">
      <c r="A695" t="s">
        <v>715</v>
      </c>
      <c r="B695">
        <v>6.5</v>
      </c>
      <c r="C695" t="s">
        <v>716</v>
      </c>
      <c r="D695">
        <v>6</v>
      </c>
      <c r="E695">
        <v>7</v>
      </c>
      <c r="F695" t="s">
        <v>21</v>
      </c>
      <c r="G695">
        <v>0</v>
      </c>
      <c r="H695">
        <v>657</v>
      </c>
      <c r="I695" t="s">
        <v>22</v>
      </c>
      <c r="J695">
        <v>0</v>
      </c>
      <c r="K695">
        <v>0.749</v>
      </c>
      <c r="L695">
        <v>62</v>
      </c>
      <c r="M695" t="s">
        <v>23</v>
      </c>
      <c r="N695">
        <v>27</v>
      </c>
      <c r="O695">
        <v>-31.424399999999999</v>
      </c>
      <c r="P695">
        <v>-71.687600000000003</v>
      </c>
      <c r="Q695" t="s">
        <v>712</v>
      </c>
      <c r="R695" t="s">
        <v>78</v>
      </c>
      <c r="S695" t="s">
        <v>245</v>
      </c>
      <c r="T695">
        <v>6</v>
      </c>
    </row>
    <row r="696" spans="1:20">
      <c r="A696" t="s">
        <v>1473</v>
      </c>
      <c r="B696">
        <v>7.8</v>
      </c>
      <c r="C696" t="s">
        <v>1474</v>
      </c>
      <c r="D696">
        <v>8</v>
      </c>
      <c r="E696">
        <v>7</v>
      </c>
      <c r="G696">
        <v>0</v>
      </c>
      <c r="H696">
        <v>1020</v>
      </c>
      <c r="I696" t="s">
        <v>22</v>
      </c>
      <c r="J696">
        <v>714</v>
      </c>
      <c r="K696">
        <v>0</v>
      </c>
      <c r="L696">
        <v>16.100000000000001</v>
      </c>
      <c r="M696" t="s">
        <v>36</v>
      </c>
      <c r="N696">
        <v>115.6</v>
      </c>
      <c r="O696">
        <v>-19.986999999999998</v>
      </c>
      <c r="P696">
        <v>-69.197000000000003</v>
      </c>
      <c r="Q696" t="s">
        <v>860</v>
      </c>
      <c r="R696" t="s">
        <v>78</v>
      </c>
      <c r="S696" t="s">
        <v>245</v>
      </c>
      <c r="T696">
        <v>6</v>
      </c>
    </row>
    <row r="697" spans="1:20">
      <c r="A697" t="s">
        <v>1207</v>
      </c>
      <c r="B697">
        <v>6.5</v>
      </c>
      <c r="C697" t="s">
        <v>1208</v>
      </c>
      <c r="D697">
        <v>6</v>
      </c>
      <c r="E697">
        <v>7</v>
      </c>
      <c r="G697">
        <v>0</v>
      </c>
      <c r="H697">
        <v>698</v>
      </c>
      <c r="I697" t="s">
        <v>22</v>
      </c>
      <c r="J697">
        <v>390</v>
      </c>
      <c r="K697">
        <v>0</v>
      </c>
      <c r="L697">
        <v>17.7</v>
      </c>
      <c r="M697" t="s">
        <v>829</v>
      </c>
      <c r="N697">
        <v>27</v>
      </c>
      <c r="O697">
        <v>-19.393999999999998</v>
      </c>
      <c r="P697">
        <v>-70.320999999999998</v>
      </c>
      <c r="Q697" t="s">
        <v>860</v>
      </c>
      <c r="R697" t="s">
        <v>78</v>
      </c>
      <c r="S697" t="s">
        <v>245</v>
      </c>
      <c r="T697">
        <v>6</v>
      </c>
    </row>
    <row r="698" spans="1:20">
      <c r="A698" t="s">
        <v>863</v>
      </c>
      <c r="B698">
        <v>8.1999999999999993</v>
      </c>
      <c r="C698" s="1">
        <v>41643.990277777775</v>
      </c>
      <c r="D698">
        <v>9</v>
      </c>
      <c r="E698">
        <v>8</v>
      </c>
      <c r="F698" t="s">
        <v>45</v>
      </c>
      <c r="G698">
        <v>1</v>
      </c>
      <c r="H698">
        <v>1332</v>
      </c>
      <c r="I698" t="s">
        <v>22</v>
      </c>
      <c r="J698">
        <v>0</v>
      </c>
      <c r="K698">
        <v>0.60899999999999999</v>
      </c>
      <c r="L698">
        <v>23</v>
      </c>
      <c r="M698" t="s">
        <v>23</v>
      </c>
      <c r="N698">
        <v>25</v>
      </c>
      <c r="O698">
        <v>-19.6097</v>
      </c>
      <c r="P698">
        <v>-70.769099999999995</v>
      </c>
      <c r="Q698" t="s">
        <v>860</v>
      </c>
      <c r="R698" t="s">
        <v>78</v>
      </c>
      <c r="S698" t="s">
        <v>245</v>
      </c>
      <c r="T698">
        <v>6</v>
      </c>
    </row>
    <row r="699" spans="1:20">
      <c r="A699" t="s">
        <v>859</v>
      </c>
      <c r="B699">
        <v>7.7</v>
      </c>
      <c r="C699" s="1">
        <v>41702.113194444442</v>
      </c>
      <c r="D699">
        <v>8</v>
      </c>
      <c r="E699">
        <v>9</v>
      </c>
      <c r="F699" t="s">
        <v>45</v>
      </c>
      <c r="G699">
        <v>1</v>
      </c>
      <c r="H699">
        <v>1057</v>
      </c>
      <c r="I699" t="s">
        <v>22</v>
      </c>
      <c r="J699">
        <v>0</v>
      </c>
      <c r="K699">
        <v>1.0289999999999999</v>
      </c>
      <c r="L699">
        <v>44</v>
      </c>
      <c r="M699" t="s">
        <v>23</v>
      </c>
      <c r="N699">
        <v>22.4</v>
      </c>
      <c r="O699">
        <v>-20.570900000000002</v>
      </c>
      <c r="P699">
        <v>-70.493099999999998</v>
      </c>
      <c r="Q699" t="s">
        <v>860</v>
      </c>
      <c r="R699" t="s">
        <v>78</v>
      </c>
      <c r="S699" t="s">
        <v>245</v>
      </c>
      <c r="T699">
        <v>6</v>
      </c>
    </row>
    <row r="700" spans="1:20">
      <c r="A700" t="s">
        <v>864</v>
      </c>
      <c r="B700">
        <v>6.7</v>
      </c>
      <c r="C700" t="s">
        <v>865</v>
      </c>
      <c r="D700">
        <v>7</v>
      </c>
      <c r="E700">
        <v>7</v>
      </c>
      <c r="F700" t="s">
        <v>21</v>
      </c>
      <c r="G700">
        <v>1</v>
      </c>
      <c r="H700">
        <v>718</v>
      </c>
      <c r="I700" t="s">
        <v>22</v>
      </c>
      <c r="J700">
        <v>0</v>
      </c>
      <c r="K700">
        <v>1.008</v>
      </c>
      <c r="L700">
        <v>44</v>
      </c>
      <c r="M700" t="s">
        <v>23</v>
      </c>
      <c r="N700">
        <v>20</v>
      </c>
      <c r="O700">
        <v>-19.980699999999999</v>
      </c>
      <c r="P700">
        <v>-70.702200000000005</v>
      </c>
      <c r="Q700" t="s">
        <v>860</v>
      </c>
      <c r="R700" t="s">
        <v>78</v>
      </c>
      <c r="S700" t="s">
        <v>245</v>
      </c>
      <c r="T700">
        <v>6</v>
      </c>
    </row>
    <row r="701" spans="1:20">
      <c r="A701" t="s">
        <v>861</v>
      </c>
      <c r="B701">
        <v>6.5</v>
      </c>
      <c r="C701" s="1">
        <v>41702.081944444442</v>
      </c>
      <c r="D701">
        <v>7</v>
      </c>
      <c r="E701">
        <v>7</v>
      </c>
      <c r="F701" t="s">
        <v>21</v>
      </c>
      <c r="G701">
        <v>0</v>
      </c>
      <c r="H701">
        <v>670</v>
      </c>
      <c r="I701" t="s">
        <v>22</v>
      </c>
      <c r="J701">
        <v>0</v>
      </c>
      <c r="K701">
        <v>0.82799999999999996</v>
      </c>
      <c r="L701">
        <v>82</v>
      </c>
      <c r="M701" t="s">
        <v>23</v>
      </c>
      <c r="N701">
        <v>24.07</v>
      </c>
      <c r="O701">
        <v>-20.311299999999999</v>
      </c>
      <c r="P701">
        <v>-70.575599999999994</v>
      </c>
      <c r="Q701" t="s">
        <v>860</v>
      </c>
      <c r="R701" t="s">
        <v>78</v>
      </c>
      <c r="S701" t="s">
        <v>245</v>
      </c>
      <c r="T701">
        <v>6</v>
      </c>
    </row>
    <row r="702" spans="1:20">
      <c r="A702" t="s">
        <v>862</v>
      </c>
      <c r="B702">
        <v>6.9</v>
      </c>
      <c r="C702" s="1">
        <v>41643.997916666667</v>
      </c>
      <c r="D702">
        <v>0</v>
      </c>
      <c r="E702">
        <v>5</v>
      </c>
      <c r="F702" t="s">
        <v>21</v>
      </c>
      <c r="G702">
        <v>0</v>
      </c>
      <c r="H702">
        <v>732</v>
      </c>
      <c r="I702" t="s">
        <v>22</v>
      </c>
      <c r="J702">
        <v>0</v>
      </c>
      <c r="K702">
        <v>0.82799999999999996</v>
      </c>
      <c r="L702">
        <v>119</v>
      </c>
      <c r="M702" t="s">
        <v>23</v>
      </c>
      <c r="N702">
        <v>28.42</v>
      </c>
      <c r="O702">
        <v>-19.892700000000001</v>
      </c>
      <c r="P702">
        <v>-70.945499999999996</v>
      </c>
      <c r="Q702" t="s">
        <v>860</v>
      </c>
      <c r="R702" t="s">
        <v>78</v>
      </c>
      <c r="S702" t="s">
        <v>245</v>
      </c>
      <c r="T702">
        <v>6</v>
      </c>
    </row>
    <row r="703" spans="1:20">
      <c r="A703" t="s">
        <v>1192</v>
      </c>
      <c r="B703">
        <v>7.4</v>
      </c>
      <c r="C703" t="s">
        <v>1193</v>
      </c>
      <c r="D703">
        <v>0</v>
      </c>
      <c r="E703">
        <v>5</v>
      </c>
      <c r="G703">
        <v>0</v>
      </c>
      <c r="H703">
        <v>842</v>
      </c>
      <c r="I703" t="s">
        <v>22</v>
      </c>
      <c r="J703">
        <v>409</v>
      </c>
      <c r="K703">
        <v>0</v>
      </c>
      <c r="L703">
        <v>17.600000000000001</v>
      </c>
      <c r="M703" t="s">
        <v>829</v>
      </c>
      <c r="N703">
        <v>35</v>
      </c>
      <c r="O703">
        <v>-37.773000000000003</v>
      </c>
      <c r="P703">
        <v>-75.048000000000002</v>
      </c>
      <c r="Q703" t="s">
        <v>1194</v>
      </c>
      <c r="R703" t="s">
        <v>78</v>
      </c>
      <c r="S703" t="s">
        <v>245</v>
      </c>
      <c r="T703">
        <v>6</v>
      </c>
    </row>
    <row r="704" spans="1:20">
      <c r="A704" t="s">
        <v>1646</v>
      </c>
      <c r="B704">
        <v>6.6</v>
      </c>
      <c r="C704" t="s">
        <v>1647</v>
      </c>
      <c r="D704">
        <v>0</v>
      </c>
      <c r="E704">
        <v>7</v>
      </c>
      <c r="G704">
        <v>0</v>
      </c>
      <c r="H704">
        <v>670</v>
      </c>
      <c r="I704" t="s">
        <v>22</v>
      </c>
      <c r="J704">
        <v>420</v>
      </c>
      <c r="K704">
        <v>0</v>
      </c>
      <c r="L704">
        <v>0</v>
      </c>
      <c r="M704" t="s">
        <v>36</v>
      </c>
      <c r="N704">
        <v>54</v>
      </c>
      <c r="O704">
        <v>-30.805</v>
      </c>
      <c r="P704">
        <v>-71.123999999999995</v>
      </c>
      <c r="Q704" t="s">
        <v>1648</v>
      </c>
      <c r="R704" t="s">
        <v>78</v>
      </c>
      <c r="S704" t="s">
        <v>245</v>
      </c>
      <c r="T704">
        <v>6</v>
      </c>
    </row>
    <row r="705" spans="1:20">
      <c r="A705" t="s">
        <v>698</v>
      </c>
      <c r="B705">
        <v>6.8</v>
      </c>
      <c r="C705" s="1">
        <v>42196.313194444447</v>
      </c>
      <c r="D705">
        <v>7</v>
      </c>
      <c r="E705">
        <v>7</v>
      </c>
      <c r="F705" t="s">
        <v>21</v>
      </c>
      <c r="G705">
        <v>1</v>
      </c>
      <c r="H705">
        <v>841</v>
      </c>
      <c r="I705" t="s">
        <v>22</v>
      </c>
      <c r="J705">
        <v>0</v>
      </c>
      <c r="K705">
        <v>0.25800000000000001</v>
      </c>
      <c r="L705">
        <v>41</v>
      </c>
      <c r="M705" t="s">
        <v>23</v>
      </c>
      <c r="N705">
        <v>46</v>
      </c>
      <c r="O705">
        <v>-30.8796</v>
      </c>
      <c r="P705">
        <v>-71.451899999999995</v>
      </c>
      <c r="Q705" t="s">
        <v>699</v>
      </c>
      <c r="R705" t="s">
        <v>78</v>
      </c>
      <c r="S705" t="s">
        <v>245</v>
      </c>
      <c r="T705">
        <v>6</v>
      </c>
    </row>
    <row r="706" spans="1:20">
      <c r="A706" t="s">
        <v>1601</v>
      </c>
      <c r="B706">
        <v>6.8</v>
      </c>
      <c r="C706" t="s">
        <v>1602</v>
      </c>
      <c r="D706">
        <v>0</v>
      </c>
      <c r="E706">
        <v>7</v>
      </c>
      <c r="G706">
        <v>0</v>
      </c>
      <c r="H706">
        <v>711</v>
      </c>
      <c r="I706" t="s">
        <v>22</v>
      </c>
      <c r="J706">
        <v>398</v>
      </c>
      <c r="K706">
        <v>0</v>
      </c>
      <c r="L706">
        <v>39.1</v>
      </c>
      <c r="M706" t="s">
        <v>829</v>
      </c>
      <c r="N706">
        <v>33</v>
      </c>
      <c r="O706">
        <v>-30.608000000000001</v>
      </c>
      <c r="P706">
        <v>-71.637</v>
      </c>
      <c r="Q706" t="s">
        <v>699</v>
      </c>
      <c r="R706" t="s">
        <v>78</v>
      </c>
      <c r="S706" t="s">
        <v>245</v>
      </c>
      <c r="T706">
        <v>6</v>
      </c>
    </row>
    <row r="707" spans="1:20">
      <c r="A707" t="s">
        <v>569</v>
      </c>
      <c r="B707">
        <v>7.6</v>
      </c>
      <c r="C707" t="s">
        <v>570</v>
      </c>
      <c r="D707">
        <v>9</v>
      </c>
      <c r="E707">
        <v>8</v>
      </c>
      <c r="F707" t="s">
        <v>45</v>
      </c>
      <c r="G707">
        <v>1</v>
      </c>
      <c r="H707">
        <v>1152</v>
      </c>
      <c r="I707" t="s">
        <v>22</v>
      </c>
      <c r="J707">
        <v>0</v>
      </c>
      <c r="K707">
        <v>0.35499999999999998</v>
      </c>
      <c r="L707">
        <v>29</v>
      </c>
      <c r="M707" t="s">
        <v>23</v>
      </c>
      <c r="N707">
        <v>38</v>
      </c>
      <c r="O707">
        <v>-43.406399999999998</v>
      </c>
      <c r="P707">
        <v>-73.941299999999998</v>
      </c>
      <c r="Q707" t="s">
        <v>571</v>
      </c>
      <c r="R707" t="s">
        <v>78</v>
      </c>
      <c r="S707" t="s">
        <v>245</v>
      </c>
      <c r="T707">
        <v>6</v>
      </c>
    </row>
    <row r="708" spans="1:20">
      <c r="A708" t="s">
        <v>1195</v>
      </c>
      <c r="B708">
        <v>8.8000000000000007</v>
      </c>
      <c r="C708" t="s">
        <v>1196</v>
      </c>
      <c r="D708">
        <v>8</v>
      </c>
      <c r="E708">
        <v>8</v>
      </c>
      <c r="G708">
        <v>0</v>
      </c>
      <c r="H708">
        <v>1991</v>
      </c>
      <c r="I708" t="s">
        <v>1039</v>
      </c>
      <c r="J708">
        <v>454</v>
      </c>
      <c r="K708">
        <v>0</v>
      </c>
      <c r="L708">
        <v>17.8</v>
      </c>
      <c r="M708" t="s">
        <v>23</v>
      </c>
      <c r="N708">
        <v>22.9</v>
      </c>
      <c r="O708">
        <v>-36.122</v>
      </c>
      <c r="P708">
        <v>-72.897999999999996</v>
      </c>
      <c r="Q708" t="s">
        <v>1197</v>
      </c>
      <c r="R708" t="s">
        <v>78</v>
      </c>
      <c r="S708" t="s">
        <v>245</v>
      </c>
      <c r="T708">
        <v>6</v>
      </c>
    </row>
    <row r="709" spans="1:20">
      <c r="A709" t="s">
        <v>330</v>
      </c>
      <c r="B709">
        <v>6.8</v>
      </c>
      <c r="C709" s="1">
        <v>43473.769444444442</v>
      </c>
      <c r="D709">
        <v>6</v>
      </c>
      <c r="E709">
        <v>6</v>
      </c>
      <c r="F709" t="s">
        <v>21</v>
      </c>
      <c r="G709">
        <v>1</v>
      </c>
      <c r="H709">
        <v>947</v>
      </c>
      <c r="I709" t="s">
        <v>22</v>
      </c>
      <c r="J709">
        <v>0</v>
      </c>
      <c r="K709">
        <v>0.81699999999999995</v>
      </c>
      <c r="L709">
        <v>35</v>
      </c>
      <c r="M709" t="s">
        <v>23</v>
      </c>
      <c r="N709">
        <v>25</v>
      </c>
      <c r="O709">
        <v>-34.236400000000003</v>
      </c>
      <c r="P709">
        <v>-72.310199999999995</v>
      </c>
      <c r="Q709" t="s">
        <v>331</v>
      </c>
      <c r="R709" t="s">
        <v>78</v>
      </c>
      <c r="S709" t="s">
        <v>245</v>
      </c>
      <c r="T709">
        <v>6</v>
      </c>
    </row>
    <row r="710" spans="1:20">
      <c r="A710" t="s">
        <v>273</v>
      </c>
      <c r="B710">
        <v>6.8</v>
      </c>
      <c r="C710" s="1">
        <v>43896.315972222219</v>
      </c>
      <c r="D710">
        <v>6</v>
      </c>
      <c r="E710">
        <v>6</v>
      </c>
      <c r="F710" t="s">
        <v>21</v>
      </c>
      <c r="G710">
        <v>1</v>
      </c>
      <c r="H710">
        <v>835</v>
      </c>
      <c r="I710" t="s">
        <v>22</v>
      </c>
      <c r="J710">
        <v>0</v>
      </c>
      <c r="K710">
        <v>1.1639999999999999</v>
      </c>
      <c r="L710">
        <v>21</v>
      </c>
      <c r="M710" t="s">
        <v>23</v>
      </c>
      <c r="N710">
        <v>112</v>
      </c>
      <c r="O710">
        <v>-23.296600000000002</v>
      </c>
      <c r="P710">
        <v>-68.420400000000001</v>
      </c>
      <c r="Q710" t="s">
        <v>274</v>
      </c>
      <c r="R710" t="s">
        <v>78</v>
      </c>
      <c r="S710" t="s">
        <v>245</v>
      </c>
      <c r="T710">
        <v>6</v>
      </c>
    </row>
    <row r="711" spans="1:20">
      <c r="A711" t="s">
        <v>1185</v>
      </c>
      <c r="B711">
        <v>7</v>
      </c>
      <c r="C711" s="1">
        <v>40485.621527777781</v>
      </c>
      <c r="D711">
        <v>7</v>
      </c>
      <c r="E711">
        <v>7</v>
      </c>
      <c r="G711">
        <v>0</v>
      </c>
      <c r="H711">
        <v>874</v>
      </c>
      <c r="I711" t="s">
        <v>22</v>
      </c>
      <c r="J711">
        <v>403</v>
      </c>
      <c r="K711">
        <v>0</v>
      </c>
      <c r="L711">
        <v>17.100000000000001</v>
      </c>
      <c r="M711" t="s">
        <v>829</v>
      </c>
      <c r="N711">
        <v>18</v>
      </c>
      <c r="O711">
        <v>-34.326000000000001</v>
      </c>
      <c r="P711">
        <v>-71.799000000000007</v>
      </c>
      <c r="Q711" t="s">
        <v>1186</v>
      </c>
      <c r="R711" t="s">
        <v>78</v>
      </c>
      <c r="S711" t="s">
        <v>245</v>
      </c>
      <c r="T711">
        <v>6</v>
      </c>
    </row>
    <row r="712" spans="1:20">
      <c r="A712" t="s">
        <v>1187</v>
      </c>
      <c r="B712">
        <v>6.9</v>
      </c>
      <c r="C712" s="1">
        <v>40485.61041666667</v>
      </c>
      <c r="D712">
        <v>7</v>
      </c>
      <c r="E712">
        <v>7</v>
      </c>
      <c r="G712">
        <v>0</v>
      </c>
      <c r="H712">
        <v>1280</v>
      </c>
      <c r="I712" t="s">
        <v>22</v>
      </c>
      <c r="J712">
        <v>415</v>
      </c>
      <c r="K712">
        <v>0</v>
      </c>
      <c r="L712">
        <v>12.5</v>
      </c>
      <c r="M712" t="s">
        <v>829</v>
      </c>
      <c r="N712">
        <v>11</v>
      </c>
      <c r="O712">
        <v>-34.29</v>
      </c>
      <c r="P712">
        <v>-71.891000000000005</v>
      </c>
      <c r="Q712" t="s">
        <v>1186</v>
      </c>
      <c r="R712" t="s">
        <v>78</v>
      </c>
      <c r="S712" t="s">
        <v>245</v>
      </c>
      <c r="T712">
        <v>6</v>
      </c>
    </row>
    <row r="713" spans="1:20">
      <c r="A713" t="s">
        <v>1189</v>
      </c>
      <c r="B713">
        <v>6.6</v>
      </c>
      <c r="C713" s="1">
        <v>40301.490972222222</v>
      </c>
      <c r="D713">
        <v>7</v>
      </c>
      <c r="E713">
        <v>7</v>
      </c>
      <c r="G713">
        <v>0</v>
      </c>
      <c r="H713">
        <v>736</v>
      </c>
      <c r="I713" t="s">
        <v>22</v>
      </c>
      <c r="J713">
        <v>255</v>
      </c>
      <c r="K713">
        <v>0</v>
      </c>
      <c r="L713">
        <v>27.8</v>
      </c>
      <c r="M713" t="s">
        <v>36</v>
      </c>
      <c r="N713">
        <v>18</v>
      </c>
      <c r="O713">
        <v>-36.664999999999999</v>
      </c>
      <c r="P713">
        <v>-73.373999999999995</v>
      </c>
      <c r="Q713" t="s">
        <v>1190</v>
      </c>
      <c r="R713" t="s">
        <v>78</v>
      </c>
      <c r="S713" t="s">
        <v>245</v>
      </c>
      <c r="T713">
        <v>6</v>
      </c>
    </row>
    <row r="714" spans="1:20">
      <c r="A714" t="s">
        <v>1543</v>
      </c>
      <c r="B714">
        <v>6.5</v>
      </c>
      <c r="C714" t="s">
        <v>1544</v>
      </c>
      <c r="D714">
        <v>0</v>
      </c>
      <c r="E714">
        <v>7</v>
      </c>
      <c r="G714">
        <v>0</v>
      </c>
      <c r="H714">
        <v>650</v>
      </c>
      <c r="I714" t="s">
        <v>22</v>
      </c>
      <c r="J714">
        <v>349</v>
      </c>
      <c r="K714">
        <v>0</v>
      </c>
      <c r="L714">
        <v>30.1</v>
      </c>
      <c r="M714" t="s">
        <v>36</v>
      </c>
      <c r="N714">
        <v>5</v>
      </c>
      <c r="O714">
        <v>-35.173000000000002</v>
      </c>
      <c r="P714">
        <v>-70.525000000000006</v>
      </c>
      <c r="Q714" t="s">
        <v>1545</v>
      </c>
      <c r="R714" t="s">
        <v>78</v>
      </c>
      <c r="S714" t="s">
        <v>245</v>
      </c>
      <c r="T714">
        <v>6</v>
      </c>
    </row>
    <row r="715" spans="1:20">
      <c r="A715" t="s">
        <v>1331</v>
      </c>
      <c r="B715">
        <v>7.7</v>
      </c>
      <c r="C715" t="s">
        <v>1332</v>
      </c>
      <c r="D715">
        <v>8</v>
      </c>
      <c r="E715">
        <v>7</v>
      </c>
      <c r="G715">
        <v>0</v>
      </c>
      <c r="H715">
        <v>995</v>
      </c>
      <c r="I715" t="s">
        <v>22</v>
      </c>
      <c r="J715">
        <v>610</v>
      </c>
      <c r="K715">
        <v>0</v>
      </c>
      <c r="L715">
        <v>22.4</v>
      </c>
      <c r="M715" t="s">
        <v>829</v>
      </c>
      <c r="N715">
        <v>40</v>
      </c>
      <c r="O715">
        <v>-22.247</v>
      </c>
      <c r="P715">
        <v>-69.89</v>
      </c>
      <c r="Q715" t="s">
        <v>1333</v>
      </c>
      <c r="R715" t="s">
        <v>78</v>
      </c>
      <c r="S715" t="s">
        <v>245</v>
      </c>
      <c r="T715">
        <v>6</v>
      </c>
    </row>
    <row r="716" spans="1:20">
      <c r="A716" t="s">
        <v>1118</v>
      </c>
      <c r="B716">
        <v>6.9</v>
      </c>
      <c r="C716" s="1">
        <v>40849.836805555555</v>
      </c>
      <c r="D716">
        <v>7</v>
      </c>
      <c r="E716">
        <v>7</v>
      </c>
      <c r="G716">
        <v>0</v>
      </c>
      <c r="H716">
        <v>988</v>
      </c>
      <c r="I716" t="s">
        <v>22</v>
      </c>
      <c r="J716">
        <v>382</v>
      </c>
      <c r="K716">
        <v>0</v>
      </c>
      <c r="L716">
        <v>34.700000000000003</v>
      </c>
      <c r="M716" t="s">
        <v>23</v>
      </c>
      <c r="N716">
        <v>26</v>
      </c>
      <c r="O716">
        <v>-36.421999999999997</v>
      </c>
      <c r="P716">
        <v>-72.959999999999994</v>
      </c>
      <c r="Q716" t="s">
        <v>1119</v>
      </c>
      <c r="R716" t="s">
        <v>78</v>
      </c>
      <c r="S716" t="s">
        <v>245</v>
      </c>
      <c r="T716">
        <v>6</v>
      </c>
    </row>
    <row r="717" spans="1:20">
      <c r="A717" t="s">
        <v>1181</v>
      </c>
      <c r="B717">
        <v>6.7</v>
      </c>
      <c r="C717" t="s">
        <v>1182</v>
      </c>
      <c r="D717">
        <v>5</v>
      </c>
      <c r="E717">
        <v>6</v>
      </c>
      <c r="G717">
        <v>0</v>
      </c>
      <c r="H717">
        <v>856</v>
      </c>
      <c r="I717" t="s">
        <v>22</v>
      </c>
      <c r="J717">
        <v>312</v>
      </c>
      <c r="K717">
        <v>0</v>
      </c>
      <c r="L717">
        <v>34.700000000000003</v>
      </c>
      <c r="M717" t="s">
        <v>829</v>
      </c>
      <c r="N717">
        <v>18</v>
      </c>
      <c r="O717">
        <v>-36.216999999999999</v>
      </c>
      <c r="P717">
        <v>-73.257000000000005</v>
      </c>
      <c r="Q717" t="s">
        <v>1119</v>
      </c>
      <c r="R717" t="s">
        <v>78</v>
      </c>
      <c r="S717" t="s">
        <v>245</v>
      </c>
      <c r="T717">
        <v>6</v>
      </c>
    </row>
    <row r="718" spans="1:20">
      <c r="A718" t="s">
        <v>244</v>
      </c>
      <c r="B718">
        <v>6.8</v>
      </c>
      <c r="C718" s="1">
        <v>43839.17291666667</v>
      </c>
      <c r="D718">
        <v>6</v>
      </c>
      <c r="E718">
        <v>7</v>
      </c>
      <c r="F718" t="s">
        <v>21</v>
      </c>
      <c r="G718">
        <v>1</v>
      </c>
      <c r="H718">
        <v>824</v>
      </c>
      <c r="I718" t="s">
        <v>22</v>
      </c>
      <c r="J718">
        <v>0</v>
      </c>
      <c r="K718">
        <v>0.312</v>
      </c>
      <c r="L718">
        <v>69</v>
      </c>
      <c r="M718" t="s">
        <v>23</v>
      </c>
      <c r="N718">
        <v>21</v>
      </c>
      <c r="O718">
        <v>-28.013000000000002</v>
      </c>
      <c r="P718">
        <v>-71.195800000000006</v>
      </c>
      <c r="Q718" t="s">
        <v>243</v>
      </c>
      <c r="R718" t="s">
        <v>78</v>
      </c>
      <c r="S718" t="s">
        <v>245</v>
      </c>
      <c r="T718">
        <v>6</v>
      </c>
    </row>
    <row r="719" spans="1:20">
      <c r="A719" t="s">
        <v>982</v>
      </c>
      <c r="B719">
        <v>6.8</v>
      </c>
      <c r="C719" t="s">
        <v>983</v>
      </c>
      <c r="D719">
        <v>6</v>
      </c>
      <c r="E719">
        <v>7</v>
      </c>
      <c r="F719" t="s">
        <v>21</v>
      </c>
      <c r="G719">
        <v>0</v>
      </c>
      <c r="H719">
        <v>771</v>
      </c>
      <c r="I719" t="s">
        <v>22</v>
      </c>
      <c r="J719">
        <v>596</v>
      </c>
      <c r="K719">
        <v>0</v>
      </c>
      <c r="L719">
        <v>19.3</v>
      </c>
      <c r="M719" t="s">
        <v>23</v>
      </c>
      <c r="N719">
        <v>45</v>
      </c>
      <c r="O719">
        <v>-28.094000000000001</v>
      </c>
      <c r="P719">
        <v>-70.653000000000006</v>
      </c>
      <c r="Q719" t="s">
        <v>243</v>
      </c>
      <c r="R719" t="s">
        <v>78</v>
      </c>
      <c r="S719" t="s">
        <v>245</v>
      </c>
      <c r="T719">
        <v>6</v>
      </c>
    </row>
    <row r="720" spans="1:20">
      <c r="A720" t="s">
        <v>242</v>
      </c>
      <c r="B720">
        <v>6.5</v>
      </c>
      <c r="C720" s="1">
        <v>43839.881249999999</v>
      </c>
      <c r="D720">
        <v>6</v>
      </c>
      <c r="E720">
        <v>6</v>
      </c>
      <c r="F720" t="s">
        <v>21</v>
      </c>
      <c r="G720">
        <v>0</v>
      </c>
      <c r="H720">
        <v>674</v>
      </c>
      <c r="I720" t="s">
        <v>22</v>
      </c>
      <c r="J720">
        <v>0</v>
      </c>
      <c r="K720">
        <v>0.38800000000000001</v>
      </c>
      <c r="L720">
        <v>49</v>
      </c>
      <c r="M720" t="s">
        <v>23</v>
      </c>
      <c r="N720">
        <v>16</v>
      </c>
      <c r="O720">
        <v>-27.9285</v>
      </c>
      <c r="P720">
        <v>-71.393699999999995</v>
      </c>
      <c r="Q720" t="s">
        <v>243</v>
      </c>
      <c r="R720" t="s">
        <v>78</v>
      </c>
      <c r="S720" t="s">
        <v>245</v>
      </c>
      <c r="T720">
        <v>6</v>
      </c>
    </row>
    <row r="721" spans="1:20">
      <c r="A721" t="s">
        <v>544</v>
      </c>
      <c r="B721">
        <v>6.9</v>
      </c>
      <c r="C721" t="s">
        <v>545</v>
      </c>
      <c r="D721">
        <v>9</v>
      </c>
      <c r="E721">
        <v>7</v>
      </c>
      <c r="F721" t="s">
        <v>45</v>
      </c>
      <c r="G721">
        <v>1</v>
      </c>
      <c r="H721">
        <v>1642</v>
      </c>
      <c r="I721" t="s">
        <v>22</v>
      </c>
      <c r="J721">
        <v>0</v>
      </c>
      <c r="K721">
        <v>0.35599999999999998</v>
      </c>
      <c r="L721">
        <v>39</v>
      </c>
      <c r="M721" t="s">
        <v>23</v>
      </c>
      <c r="N721">
        <v>28</v>
      </c>
      <c r="O721">
        <v>-33.037500000000001</v>
      </c>
      <c r="P721">
        <v>-72.061700000000002</v>
      </c>
      <c r="Q721" t="s">
        <v>546</v>
      </c>
      <c r="R721" t="s">
        <v>78</v>
      </c>
      <c r="S721" t="s">
        <v>245</v>
      </c>
      <c r="T721">
        <v>6</v>
      </c>
    </row>
    <row r="722" spans="1:20">
      <c r="A722" t="s">
        <v>922</v>
      </c>
      <c r="B722">
        <v>6.7</v>
      </c>
      <c r="C722" t="s">
        <v>923</v>
      </c>
      <c r="D722">
        <v>4</v>
      </c>
      <c r="E722">
        <v>5</v>
      </c>
      <c r="F722" t="s">
        <v>21</v>
      </c>
      <c r="G722">
        <v>1</v>
      </c>
      <c r="H722">
        <v>715</v>
      </c>
      <c r="I722" t="s">
        <v>22</v>
      </c>
      <c r="J722">
        <v>0</v>
      </c>
      <c r="K722">
        <v>3.7410000000000001</v>
      </c>
      <c r="L722">
        <v>22</v>
      </c>
      <c r="M722" t="s">
        <v>23</v>
      </c>
      <c r="N722">
        <v>12</v>
      </c>
      <c r="O722">
        <v>5.7732000000000001</v>
      </c>
      <c r="P722">
        <v>-78.1999</v>
      </c>
      <c r="Q722" t="s">
        <v>924</v>
      </c>
      <c r="R722" t="s">
        <v>78</v>
      </c>
      <c r="S722" t="s">
        <v>973</v>
      </c>
      <c r="T722">
        <v>6</v>
      </c>
    </row>
    <row r="723" spans="1:20">
      <c r="A723" t="s">
        <v>1523</v>
      </c>
      <c r="B723">
        <v>7.2</v>
      </c>
      <c r="C723" t="s">
        <v>1524</v>
      </c>
      <c r="D723">
        <v>8</v>
      </c>
      <c r="E723">
        <v>8</v>
      </c>
      <c r="G723">
        <v>0</v>
      </c>
      <c r="H723">
        <v>820</v>
      </c>
      <c r="I723" t="s">
        <v>22</v>
      </c>
      <c r="J723">
        <v>708</v>
      </c>
      <c r="K723">
        <v>0</v>
      </c>
      <c r="L723">
        <v>50.2</v>
      </c>
      <c r="M723" t="s">
        <v>36</v>
      </c>
      <c r="N723">
        <v>15</v>
      </c>
      <c r="O723">
        <v>4.6950000000000003</v>
      </c>
      <c r="P723">
        <v>-77.507999999999996</v>
      </c>
      <c r="Q723" t="s">
        <v>1525</v>
      </c>
      <c r="R723" t="s">
        <v>78</v>
      </c>
      <c r="S723" t="s">
        <v>973</v>
      </c>
      <c r="T723">
        <v>6</v>
      </c>
    </row>
    <row r="724" spans="1:20">
      <c r="A724" t="s">
        <v>1003</v>
      </c>
      <c r="B724">
        <v>7.3</v>
      </c>
      <c r="C724" t="s">
        <v>1004</v>
      </c>
      <c r="D724">
        <v>7</v>
      </c>
      <c r="E724">
        <v>6</v>
      </c>
      <c r="G724">
        <v>0</v>
      </c>
      <c r="H724">
        <v>1221</v>
      </c>
      <c r="I724" t="s">
        <v>22</v>
      </c>
      <c r="J724">
        <v>934</v>
      </c>
      <c r="K724">
        <v>0</v>
      </c>
      <c r="L724">
        <v>15.5</v>
      </c>
      <c r="M724" t="s">
        <v>23</v>
      </c>
      <c r="N724">
        <v>170</v>
      </c>
      <c r="O724">
        <v>1.929</v>
      </c>
      <c r="P724">
        <v>-76.361999999999995</v>
      </c>
      <c r="Q724" t="s">
        <v>1005</v>
      </c>
      <c r="R724" t="s">
        <v>78</v>
      </c>
      <c r="S724" t="s">
        <v>973</v>
      </c>
      <c r="T724">
        <v>6</v>
      </c>
    </row>
    <row r="725" spans="1:20">
      <c r="A725" t="s">
        <v>1350</v>
      </c>
      <c r="B725">
        <v>6.8</v>
      </c>
      <c r="C725" s="1">
        <v>39364.075694444444</v>
      </c>
      <c r="D725">
        <v>5</v>
      </c>
      <c r="E725">
        <v>6</v>
      </c>
      <c r="G725">
        <v>0</v>
      </c>
      <c r="H725">
        <v>747</v>
      </c>
      <c r="I725" t="s">
        <v>22</v>
      </c>
      <c r="J725">
        <v>653</v>
      </c>
      <c r="K725">
        <v>0</v>
      </c>
      <c r="L725">
        <v>17.600000000000001</v>
      </c>
      <c r="M725" t="s">
        <v>829</v>
      </c>
      <c r="N725">
        <v>15</v>
      </c>
      <c r="O725">
        <v>2.9660000000000002</v>
      </c>
      <c r="P725">
        <v>-77.962999999999994</v>
      </c>
      <c r="Q725" t="s">
        <v>1351</v>
      </c>
      <c r="R725" t="s">
        <v>78</v>
      </c>
      <c r="S725" t="s">
        <v>973</v>
      </c>
      <c r="T725">
        <v>6</v>
      </c>
    </row>
    <row r="726" spans="1:20">
      <c r="A726" t="s">
        <v>971</v>
      </c>
      <c r="B726">
        <v>6.9</v>
      </c>
      <c r="C726" s="1">
        <v>41519.594444444447</v>
      </c>
      <c r="D726">
        <v>5</v>
      </c>
      <c r="E726">
        <v>5</v>
      </c>
      <c r="F726" t="s">
        <v>21</v>
      </c>
      <c r="G726">
        <v>1</v>
      </c>
      <c r="H726">
        <v>904</v>
      </c>
      <c r="I726" t="s">
        <v>22</v>
      </c>
      <c r="J726">
        <v>562</v>
      </c>
      <c r="K726">
        <v>0</v>
      </c>
      <c r="L726">
        <v>23.7</v>
      </c>
      <c r="M726" t="s">
        <v>23</v>
      </c>
      <c r="N726">
        <v>145</v>
      </c>
      <c r="O726">
        <v>1.135</v>
      </c>
      <c r="P726">
        <v>-77.393000000000001</v>
      </c>
      <c r="Q726" t="s">
        <v>972</v>
      </c>
      <c r="R726" t="s">
        <v>78</v>
      </c>
      <c r="S726" t="s">
        <v>973</v>
      </c>
      <c r="T726">
        <v>6</v>
      </c>
    </row>
    <row r="727" spans="1:20">
      <c r="A727" t="s">
        <v>1143</v>
      </c>
      <c r="B727">
        <v>7.1</v>
      </c>
      <c r="C727" s="1">
        <v>40520.495833333334</v>
      </c>
      <c r="D727">
        <v>6</v>
      </c>
      <c r="E727">
        <v>5</v>
      </c>
      <c r="G727">
        <v>0</v>
      </c>
      <c r="H727">
        <v>945</v>
      </c>
      <c r="I727" t="s">
        <v>22</v>
      </c>
      <c r="J727">
        <v>672</v>
      </c>
      <c r="K727">
        <v>0</v>
      </c>
      <c r="L727">
        <v>12.4</v>
      </c>
      <c r="M727" t="s">
        <v>829</v>
      </c>
      <c r="N727">
        <v>206.7</v>
      </c>
      <c r="O727">
        <v>-1.266</v>
      </c>
      <c r="P727">
        <v>-77.305999999999997</v>
      </c>
      <c r="Q727" t="s">
        <v>371</v>
      </c>
      <c r="R727" t="s">
        <v>78</v>
      </c>
      <c r="S727" t="s">
        <v>371</v>
      </c>
      <c r="T727">
        <v>6</v>
      </c>
    </row>
    <row r="728" spans="1:20">
      <c r="A728" t="s">
        <v>1326</v>
      </c>
      <c r="B728">
        <v>6.8</v>
      </c>
      <c r="C728" t="s">
        <v>1327</v>
      </c>
      <c r="D728">
        <v>7</v>
      </c>
      <c r="E728">
        <v>6</v>
      </c>
      <c r="G728">
        <v>0</v>
      </c>
      <c r="H728">
        <v>790</v>
      </c>
      <c r="I728" t="s">
        <v>22</v>
      </c>
      <c r="J728">
        <v>649</v>
      </c>
      <c r="K728">
        <v>0</v>
      </c>
      <c r="L728">
        <v>27</v>
      </c>
      <c r="M728" t="s">
        <v>829</v>
      </c>
      <c r="N728">
        <v>122.9</v>
      </c>
      <c r="O728">
        <v>-2.3119999999999998</v>
      </c>
      <c r="P728">
        <v>-77.837999999999994</v>
      </c>
      <c r="Q728" t="s">
        <v>1328</v>
      </c>
      <c r="R728" t="s">
        <v>78</v>
      </c>
      <c r="S728" t="s">
        <v>371</v>
      </c>
      <c r="T728">
        <v>6</v>
      </c>
    </row>
    <row r="729" spans="1:20">
      <c r="A729" t="s">
        <v>639</v>
      </c>
      <c r="B729">
        <v>7.8</v>
      </c>
      <c r="C729" t="s">
        <v>640</v>
      </c>
      <c r="D729">
        <v>9</v>
      </c>
      <c r="E729">
        <v>9</v>
      </c>
      <c r="F729" t="s">
        <v>66</v>
      </c>
      <c r="G729">
        <v>1</v>
      </c>
      <c r="H729">
        <v>1163</v>
      </c>
      <c r="I729" t="s">
        <v>22</v>
      </c>
      <c r="J729">
        <v>0</v>
      </c>
      <c r="K729">
        <v>1.44</v>
      </c>
      <c r="L729">
        <v>15</v>
      </c>
      <c r="M729" t="s">
        <v>23</v>
      </c>
      <c r="N729">
        <v>20.59</v>
      </c>
      <c r="O729">
        <v>0.38190000000000002</v>
      </c>
      <c r="P729">
        <v>-79.921800000000005</v>
      </c>
      <c r="Q729" t="s">
        <v>635</v>
      </c>
      <c r="R729" t="s">
        <v>78</v>
      </c>
      <c r="S729" t="s">
        <v>371</v>
      </c>
      <c r="T729">
        <v>6</v>
      </c>
    </row>
    <row r="730" spans="1:20">
      <c r="A730" t="s">
        <v>633</v>
      </c>
      <c r="B730">
        <v>6.7</v>
      </c>
      <c r="C730" t="s">
        <v>634</v>
      </c>
      <c r="D730">
        <v>5</v>
      </c>
      <c r="E730">
        <v>7</v>
      </c>
      <c r="F730" t="s">
        <v>21</v>
      </c>
      <c r="G730">
        <v>1</v>
      </c>
      <c r="H730">
        <v>744</v>
      </c>
      <c r="I730" t="s">
        <v>22</v>
      </c>
      <c r="J730">
        <v>0</v>
      </c>
      <c r="K730">
        <v>1.3520000000000001</v>
      </c>
      <c r="L730">
        <v>21</v>
      </c>
      <c r="M730" t="s">
        <v>23</v>
      </c>
      <c r="N730">
        <v>16</v>
      </c>
      <c r="O730">
        <v>0.42609999999999998</v>
      </c>
      <c r="P730">
        <v>-79.789900000000003</v>
      </c>
      <c r="Q730" t="s">
        <v>635</v>
      </c>
      <c r="R730" t="s">
        <v>78</v>
      </c>
      <c r="S730" t="s">
        <v>371</v>
      </c>
      <c r="T730">
        <v>6</v>
      </c>
    </row>
    <row r="731" spans="1:20">
      <c r="A731" t="s">
        <v>368</v>
      </c>
      <c r="B731">
        <v>7.5</v>
      </c>
      <c r="C731" t="s">
        <v>369</v>
      </c>
      <c r="D731">
        <v>7</v>
      </c>
      <c r="E731">
        <v>7</v>
      </c>
      <c r="F731" t="s">
        <v>45</v>
      </c>
      <c r="G731">
        <v>1</v>
      </c>
      <c r="H731">
        <v>1145</v>
      </c>
      <c r="I731" t="s">
        <v>22</v>
      </c>
      <c r="J731">
        <v>0</v>
      </c>
      <c r="K731">
        <v>2.0449999999999999</v>
      </c>
      <c r="L731">
        <v>15</v>
      </c>
      <c r="M731" t="s">
        <v>23</v>
      </c>
      <c r="N731">
        <v>145</v>
      </c>
      <c r="O731">
        <v>-2.1861999999999999</v>
      </c>
      <c r="P731">
        <v>-77.0505</v>
      </c>
      <c r="Q731" t="s">
        <v>370</v>
      </c>
      <c r="R731" t="s">
        <v>78</v>
      </c>
      <c r="S731" t="s">
        <v>371</v>
      </c>
      <c r="T731">
        <v>6</v>
      </c>
    </row>
    <row r="732" spans="1:20">
      <c r="A732" t="s">
        <v>630</v>
      </c>
      <c r="B732">
        <v>6.9</v>
      </c>
      <c r="C732" t="s">
        <v>631</v>
      </c>
      <c r="D732">
        <v>8</v>
      </c>
      <c r="E732">
        <v>7</v>
      </c>
      <c r="F732" t="s">
        <v>21</v>
      </c>
      <c r="G732">
        <v>1</v>
      </c>
      <c r="H732">
        <v>780</v>
      </c>
      <c r="I732" t="s">
        <v>22</v>
      </c>
      <c r="J732">
        <v>0</v>
      </c>
      <c r="K732">
        <v>1.1919999999999999</v>
      </c>
      <c r="L732">
        <v>17</v>
      </c>
      <c r="M732" t="s">
        <v>23</v>
      </c>
      <c r="N732">
        <v>29.95</v>
      </c>
      <c r="O732">
        <v>0.49469999999999997</v>
      </c>
      <c r="P732">
        <v>-79.616</v>
      </c>
      <c r="Q732" t="s">
        <v>632</v>
      </c>
      <c r="R732" t="s">
        <v>78</v>
      </c>
      <c r="S732" t="s">
        <v>371</v>
      </c>
      <c r="T732">
        <v>6</v>
      </c>
    </row>
    <row r="733" spans="1:20">
      <c r="A733" t="s">
        <v>1370</v>
      </c>
      <c r="B733">
        <v>6.7</v>
      </c>
      <c r="C733" t="s">
        <v>1371</v>
      </c>
      <c r="D733">
        <v>6</v>
      </c>
      <c r="E733">
        <v>6</v>
      </c>
      <c r="G733">
        <v>0</v>
      </c>
      <c r="H733">
        <v>972</v>
      </c>
      <c r="I733" t="s">
        <v>22</v>
      </c>
      <c r="J733">
        <v>468</v>
      </c>
      <c r="K733">
        <v>0</v>
      </c>
      <c r="L733">
        <v>37.700000000000003</v>
      </c>
      <c r="M733" t="s">
        <v>829</v>
      </c>
      <c r="N733">
        <v>23</v>
      </c>
      <c r="O733">
        <v>13.554</v>
      </c>
      <c r="P733">
        <v>-90.617999999999995</v>
      </c>
      <c r="Q733" t="s">
        <v>1372</v>
      </c>
      <c r="R733" t="s">
        <v>78</v>
      </c>
      <c r="S733" t="s">
        <v>534</v>
      </c>
      <c r="T733">
        <v>6</v>
      </c>
    </row>
    <row r="734" spans="1:20">
      <c r="A734" t="s">
        <v>528</v>
      </c>
      <c r="B734">
        <v>6.8</v>
      </c>
      <c r="C734" t="s">
        <v>529</v>
      </c>
      <c r="D734">
        <v>6</v>
      </c>
      <c r="E734">
        <v>6</v>
      </c>
      <c r="F734" t="s">
        <v>45</v>
      </c>
      <c r="G734">
        <v>1</v>
      </c>
      <c r="H734">
        <v>1034</v>
      </c>
      <c r="I734" t="s">
        <v>22</v>
      </c>
      <c r="J734">
        <v>0</v>
      </c>
      <c r="K734">
        <v>1.0649999999999999</v>
      </c>
      <c r="L734">
        <v>38</v>
      </c>
      <c r="M734" t="s">
        <v>23</v>
      </c>
      <c r="N734">
        <v>38.119999999999997</v>
      </c>
      <c r="O734">
        <v>13.7174</v>
      </c>
      <c r="P734">
        <v>-90.971800000000002</v>
      </c>
      <c r="Q734" t="s">
        <v>530</v>
      </c>
      <c r="R734" t="s">
        <v>78</v>
      </c>
      <c r="S734" t="s">
        <v>534</v>
      </c>
      <c r="T734">
        <v>6</v>
      </c>
    </row>
    <row r="735" spans="1:20">
      <c r="A735" t="s">
        <v>184</v>
      </c>
      <c r="B735">
        <v>6.7</v>
      </c>
      <c r="C735" t="s">
        <v>185</v>
      </c>
      <c r="D735">
        <v>6</v>
      </c>
      <c r="E735">
        <v>6</v>
      </c>
      <c r="F735" t="s">
        <v>21</v>
      </c>
      <c r="G735">
        <v>1</v>
      </c>
      <c r="H735">
        <v>830</v>
      </c>
      <c r="I735" t="s">
        <v>22</v>
      </c>
      <c r="J735">
        <v>0</v>
      </c>
      <c r="K735">
        <v>1.395</v>
      </c>
      <c r="L735">
        <v>61</v>
      </c>
      <c r="M735" t="s">
        <v>23</v>
      </c>
      <c r="N735">
        <v>10</v>
      </c>
      <c r="O735">
        <v>7.5903999999999998</v>
      </c>
      <c r="P735">
        <v>-82.881299999999996</v>
      </c>
      <c r="Q735" t="s">
        <v>186</v>
      </c>
      <c r="R735" t="s">
        <v>78</v>
      </c>
      <c r="S735" t="s">
        <v>42</v>
      </c>
      <c r="T735">
        <v>6</v>
      </c>
    </row>
    <row r="736" spans="1:20">
      <c r="A736" t="s">
        <v>1697</v>
      </c>
      <c r="B736">
        <v>6.6</v>
      </c>
      <c r="C736" s="1">
        <v>37018.578472222223</v>
      </c>
      <c r="D736">
        <v>0</v>
      </c>
      <c r="E736">
        <v>7</v>
      </c>
      <c r="G736">
        <v>0</v>
      </c>
      <c r="H736">
        <v>670</v>
      </c>
      <c r="I736" t="s">
        <v>22</v>
      </c>
      <c r="J736">
        <v>324</v>
      </c>
      <c r="K736">
        <v>0</v>
      </c>
      <c r="L736">
        <v>0</v>
      </c>
      <c r="M736" t="s">
        <v>829</v>
      </c>
      <c r="N736">
        <v>62</v>
      </c>
      <c r="O736">
        <v>-16.085999999999999</v>
      </c>
      <c r="P736">
        <v>-73.986999999999995</v>
      </c>
      <c r="Q736" t="s">
        <v>1698</v>
      </c>
      <c r="R736" t="s">
        <v>78</v>
      </c>
      <c r="S736" t="s">
        <v>83</v>
      </c>
      <c r="T736">
        <v>6</v>
      </c>
    </row>
    <row r="737" spans="1:20">
      <c r="A737" t="s">
        <v>811</v>
      </c>
      <c r="B737">
        <v>6.8</v>
      </c>
      <c r="C737" t="s">
        <v>812</v>
      </c>
      <c r="D737">
        <v>6</v>
      </c>
      <c r="E737">
        <v>6</v>
      </c>
      <c r="F737" t="s">
        <v>21</v>
      </c>
      <c r="G737">
        <v>1</v>
      </c>
      <c r="H737">
        <v>741</v>
      </c>
      <c r="I737" t="s">
        <v>22</v>
      </c>
      <c r="J737">
        <v>0</v>
      </c>
      <c r="K737">
        <v>4.1070000000000002</v>
      </c>
      <c r="L737">
        <v>18</v>
      </c>
      <c r="M737" t="s">
        <v>23</v>
      </c>
      <c r="N737">
        <v>101</v>
      </c>
      <c r="O737">
        <v>-14.598000000000001</v>
      </c>
      <c r="P737">
        <v>-73.571399999999997</v>
      </c>
      <c r="Q737" t="s">
        <v>813</v>
      </c>
      <c r="R737" t="s">
        <v>78</v>
      </c>
      <c r="S737" t="s">
        <v>83</v>
      </c>
      <c r="T737">
        <v>6</v>
      </c>
    </row>
    <row r="738" spans="1:20">
      <c r="A738" t="s">
        <v>1702</v>
      </c>
      <c r="B738">
        <v>8.4</v>
      </c>
      <c r="C738" t="s">
        <v>1703</v>
      </c>
      <c r="D738">
        <v>0</v>
      </c>
      <c r="E738">
        <v>8</v>
      </c>
      <c r="G738">
        <v>0</v>
      </c>
      <c r="H738">
        <v>1086</v>
      </c>
      <c r="I738" t="s">
        <v>1039</v>
      </c>
      <c r="J738">
        <v>518</v>
      </c>
      <c r="K738">
        <v>0</v>
      </c>
      <c r="L738">
        <v>0</v>
      </c>
      <c r="M738" t="s">
        <v>23</v>
      </c>
      <c r="N738">
        <v>33</v>
      </c>
      <c r="O738">
        <v>-16.265000000000001</v>
      </c>
      <c r="P738">
        <v>-73.641000000000005</v>
      </c>
      <c r="Q738" t="s">
        <v>1704</v>
      </c>
      <c r="R738" t="s">
        <v>78</v>
      </c>
      <c r="S738" t="s">
        <v>83</v>
      </c>
      <c r="T738">
        <v>6</v>
      </c>
    </row>
    <row r="739" spans="1:20">
      <c r="A739" t="s">
        <v>477</v>
      </c>
      <c r="B739">
        <v>7.1</v>
      </c>
      <c r="C739" t="s">
        <v>478</v>
      </c>
      <c r="D739">
        <v>9</v>
      </c>
      <c r="E739">
        <v>7</v>
      </c>
      <c r="F739" t="s">
        <v>21</v>
      </c>
      <c r="G739">
        <v>1</v>
      </c>
      <c r="H739">
        <v>1075</v>
      </c>
      <c r="I739" t="s">
        <v>22</v>
      </c>
      <c r="J739">
        <v>0</v>
      </c>
      <c r="K739">
        <v>4.29</v>
      </c>
      <c r="L739">
        <v>23</v>
      </c>
      <c r="M739" t="s">
        <v>23</v>
      </c>
      <c r="N739">
        <v>39</v>
      </c>
      <c r="O739">
        <v>-15.7675</v>
      </c>
      <c r="P739">
        <v>-74.709199999999996</v>
      </c>
      <c r="Q739" t="s">
        <v>479</v>
      </c>
      <c r="R739" t="s">
        <v>78</v>
      </c>
      <c r="S739" t="s">
        <v>83</v>
      </c>
      <c r="T739">
        <v>6</v>
      </c>
    </row>
    <row r="740" spans="1:20">
      <c r="A740" t="s">
        <v>908</v>
      </c>
      <c r="B740">
        <v>7.1</v>
      </c>
      <c r="C740" t="s">
        <v>909</v>
      </c>
      <c r="D740">
        <v>8</v>
      </c>
      <c r="E740">
        <v>7</v>
      </c>
      <c r="F740" t="s">
        <v>21</v>
      </c>
      <c r="G740">
        <v>1</v>
      </c>
      <c r="H740">
        <v>843</v>
      </c>
      <c r="I740" t="s">
        <v>22</v>
      </c>
      <c r="J740">
        <v>0</v>
      </c>
      <c r="K740">
        <v>4.4459999999999997</v>
      </c>
      <c r="L740">
        <v>17</v>
      </c>
      <c r="M740" t="s">
        <v>23</v>
      </c>
      <c r="N740">
        <v>40</v>
      </c>
      <c r="O740">
        <v>-15.8385</v>
      </c>
      <c r="P740">
        <v>-74.511200000000002</v>
      </c>
      <c r="Q740" t="s">
        <v>479</v>
      </c>
      <c r="R740" t="s">
        <v>78</v>
      </c>
      <c r="S740" t="s">
        <v>83</v>
      </c>
      <c r="T740">
        <v>6</v>
      </c>
    </row>
    <row r="741" spans="1:20">
      <c r="A741" t="s">
        <v>80</v>
      </c>
      <c r="B741">
        <v>7.2</v>
      </c>
      <c r="C741" t="s">
        <v>81</v>
      </c>
      <c r="D741">
        <v>7</v>
      </c>
      <c r="E741">
        <v>5</v>
      </c>
      <c r="F741" t="s">
        <v>21</v>
      </c>
      <c r="G741">
        <v>1</v>
      </c>
      <c r="H741">
        <v>876</v>
      </c>
      <c r="I741" t="s">
        <v>22</v>
      </c>
      <c r="J741">
        <v>144</v>
      </c>
      <c r="K741">
        <v>2.4940000000000002</v>
      </c>
      <c r="L741">
        <v>40</v>
      </c>
      <c r="M741" t="s">
        <v>23</v>
      </c>
      <c r="N741">
        <v>236</v>
      </c>
      <c r="O741">
        <v>-14.8628</v>
      </c>
      <c r="P741">
        <v>-70.308099999999996</v>
      </c>
      <c r="Q741" t="s">
        <v>82</v>
      </c>
      <c r="R741" t="s">
        <v>78</v>
      </c>
      <c r="S741" t="s">
        <v>83</v>
      </c>
      <c r="T741">
        <v>6</v>
      </c>
    </row>
    <row r="742" spans="1:20">
      <c r="A742" t="s">
        <v>367</v>
      </c>
      <c r="B742">
        <v>7</v>
      </c>
      <c r="C742" s="1">
        <v>43468.368055555555</v>
      </c>
      <c r="D742">
        <v>7</v>
      </c>
      <c r="E742">
        <v>4</v>
      </c>
      <c r="F742" t="s">
        <v>21</v>
      </c>
      <c r="G742">
        <v>1</v>
      </c>
      <c r="H742">
        <v>869</v>
      </c>
      <c r="I742" t="s">
        <v>22</v>
      </c>
      <c r="J742">
        <v>0</v>
      </c>
      <c r="K742">
        <v>2.5009999999999999</v>
      </c>
      <c r="L742">
        <v>42</v>
      </c>
      <c r="M742" t="s">
        <v>23</v>
      </c>
      <c r="N742">
        <v>267</v>
      </c>
      <c r="O742">
        <v>-14.713100000000001</v>
      </c>
      <c r="P742">
        <v>-70.154600000000002</v>
      </c>
      <c r="Q742" t="s">
        <v>82</v>
      </c>
      <c r="R742" t="s">
        <v>78</v>
      </c>
      <c r="S742" t="s">
        <v>83</v>
      </c>
      <c r="T742">
        <v>6</v>
      </c>
    </row>
    <row r="743" spans="1:20">
      <c r="A743" t="s">
        <v>138</v>
      </c>
      <c r="B743">
        <v>7.5</v>
      </c>
      <c r="C743" t="s">
        <v>139</v>
      </c>
      <c r="D743">
        <v>8</v>
      </c>
      <c r="E743">
        <v>8</v>
      </c>
      <c r="F743" t="s">
        <v>45</v>
      </c>
      <c r="G743">
        <v>1</v>
      </c>
      <c r="H743">
        <v>1094</v>
      </c>
      <c r="I743" t="s">
        <v>22</v>
      </c>
      <c r="J743">
        <v>0</v>
      </c>
      <c r="K743">
        <v>4.9509999999999996</v>
      </c>
      <c r="L743">
        <v>40</v>
      </c>
      <c r="M743" t="s">
        <v>23</v>
      </c>
      <c r="N743">
        <v>126</v>
      </c>
      <c r="O743">
        <v>-4.4897999999999998</v>
      </c>
      <c r="P743">
        <v>-76.846100000000007</v>
      </c>
      <c r="Q743" t="s">
        <v>113</v>
      </c>
      <c r="R743" t="s">
        <v>78</v>
      </c>
      <c r="S743" t="s">
        <v>83</v>
      </c>
      <c r="T743">
        <v>6</v>
      </c>
    </row>
    <row r="744" spans="1:20">
      <c r="A744" t="s">
        <v>112</v>
      </c>
      <c r="B744">
        <v>6.5</v>
      </c>
      <c r="C744" s="1">
        <v>44622.665277777778</v>
      </c>
      <c r="D744">
        <v>8</v>
      </c>
      <c r="E744">
        <v>6</v>
      </c>
      <c r="F744" t="s">
        <v>21</v>
      </c>
      <c r="G744">
        <v>0</v>
      </c>
      <c r="H744">
        <v>690</v>
      </c>
      <c r="I744" t="s">
        <v>22</v>
      </c>
      <c r="J744">
        <v>0</v>
      </c>
      <c r="K744">
        <v>3.0259999999999998</v>
      </c>
      <c r="L744">
        <v>22</v>
      </c>
      <c r="M744" t="s">
        <v>23</v>
      </c>
      <c r="N744">
        <v>110</v>
      </c>
      <c r="O744">
        <v>-4.4550000000000001</v>
      </c>
      <c r="P744">
        <v>-76.939499999999995</v>
      </c>
      <c r="Q744" t="s">
        <v>113</v>
      </c>
      <c r="R744" t="s">
        <v>78</v>
      </c>
      <c r="S744" t="s">
        <v>83</v>
      </c>
      <c r="T744">
        <v>6</v>
      </c>
    </row>
    <row r="745" spans="1:20">
      <c r="A745" t="s">
        <v>1077</v>
      </c>
      <c r="B745">
        <v>7</v>
      </c>
      <c r="C745" t="s">
        <v>1078</v>
      </c>
      <c r="D745">
        <v>6</v>
      </c>
      <c r="E745">
        <v>6</v>
      </c>
      <c r="G745">
        <v>0</v>
      </c>
      <c r="H745">
        <v>913</v>
      </c>
      <c r="I745" t="s">
        <v>22</v>
      </c>
      <c r="J745">
        <v>471</v>
      </c>
      <c r="K745">
        <v>0</v>
      </c>
      <c r="L745">
        <v>26.9</v>
      </c>
      <c r="M745" t="s">
        <v>23</v>
      </c>
      <c r="N745">
        <v>147</v>
      </c>
      <c r="O745">
        <v>-7.641</v>
      </c>
      <c r="P745">
        <v>-74.525000000000006</v>
      </c>
      <c r="Q745" t="s">
        <v>1079</v>
      </c>
      <c r="R745" t="s">
        <v>78</v>
      </c>
      <c r="S745" t="s">
        <v>83</v>
      </c>
      <c r="T745">
        <v>6</v>
      </c>
    </row>
    <row r="746" spans="1:20">
      <c r="A746" t="s">
        <v>681</v>
      </c>
      <c r="B746">
        <v>7.6</v>
      </c>
      <c r="C746" t="s">
        <v>682</v>
      </c>
      <c r="D746">
        <v>5</v>
      </c>
      <c r="E746">
        <v>4</v>
      </c>
      <c r="F746" t="s">
        <v>21</v>
      </c>
      <c r="G746">
        <v>0</v>
      </c>
      <c r="H746">
        <v>896</v>
      </c>
      <c r="I746" t="s">
        <v>22</v>
      </c>
      <c r="J746">
        <v>0</v>
      </c>
      <c r="K746">
        <v>2.8519999999999999</v>
      </c>
      <c r="L746">
        <v>10</v>
      </c>
      <c r="M746" t="s">
        <v>23</v>
      </c>
      <c r="N746">
        <v>620.55999999999995</v>
      </c>
      <c r="O746">
        <v>-10.059799999999999</v>
      </c>
      <c r="P746">
        <v>-71.0184</v>
      </c>
      <c r="Q746" t="s">
        <v>436</v>
      </c>
      <c r="R746" t="s">
        <v>78</v>
      </c>
      <c r="S746" t="s">
        <v>83</v>
      </c>
      <c r="T746">
        <v>6</v>
      </c>
    </row>
    <row r="747" spans="1:20">
      <c r="A747" t="s">
        <v>683</v>
      </c>
      <c r="B747">
        <v>7.6</v>
      </c>
      <c r="C747" t="s">
        <v>684</v>
      </c>
      <c r="D747">
        <v>6</v>
      </c>
      <c r="E747">
        <v>5</v>
      </c>
      <c r="F747" t="s">
        <v>21</v>
      </c>
      <c r="G747">
        <v>1</v>
      </c>
      <c r="H747">
        <v>957</v>
      </c>
      <c r="I747" t="s">
        <v>22</v>
      </c>
      <c r="J747">
        <v>0</v>
      </c>
      <c r="K747">
        <v>3.2869999999999999</v>
      </c>
      <c r="L747">
        <v>10</v>
      </c>
      <c r="M747" t="s">
        <v>23</v>
      </c>
      <c r="N747">
        <v>606.21</v>
      </c>
      <c r="O747">
        <v>-10.5372</v>
      </c>
      <c r="P747">
        <v>-70.943700000000007</v>
      </c>
      <c r="Q747" t="s">
        <v>436</v>
      </c>
      <c r="R747" t="s">
        <v>78</v>
      </c>
      <c r="S747" t="s">
        <v>83</v>
      </c>
      <c r="T747">
        <v>6</v>
      </c>
    </row>
    <row r="748" spans="1:20">
      <c r="A748" t="s">
        <v>434</v>
      </c>
      <c r="B748">
        <v>7.1</v>
      </c>
      <c r="C748" t="s">
        <v>435</v>
      </c>
      <c r="D748">
        <v>0</v>
      </c>
      <c r="E748">
        <v>3</v>
      </c>
      <c r="F748" t="s">
        <v>21</v>
      </c>
      <c r="G748">
        <v>0</v>
      </c>
      <c r="H748">
        <v>776</v>
      </c>
      <c r="I748" t="s">
        <v>22</v>
      </c>
      <c r="J748">
        <v>0</v>
      </c>
      <c r="K748">
        <v>3.77</v>
      </c>
      <c r="L748">
        <v>12</v>
      </c>
      <c r="M748" t="s">
        <v>23</v>
      </c>
      <c r="N748">
        <v>630</v>
      </c>
      <c r="O748">
        <v>-11.035500000000001</v>
      </c>
      <c r="P748">
        <v>-70.828400000000002</v>
      </c>
      <c r="Q748" t="s">
        <v>436</v>
      </c>
      <c r="R748" t="s">
        <v>78</v>
      </c>
      <c r="S748" t="s">
        <v>83</v>
      </c>
      <c r="T748">
        <v>6</v>
      </c>
    </row>
    <row r="749" spans="1:20">
      <c r="A749" t="s">
        <v>356</v>
      </c>
      <c r="B749">
        <v>8</v>
      </c>
      <c r="C749" t="s">
        <v>357</v>
      </c>
      <c r="D749">
        <v>9</v>
      </c>
      <c r="E749">
        <v>8</v>
      </c>
      <c r="F749" t="s">
        <v>66</v>
      </c>
      <c r="G749">
        <v>1</v>
      </c>
      <c r="H749">
        <v>1890</v>
      </c>
      <c r="I749" t="s">
        <v>22</v>
      </c>
      <c r="J749">
        <v>0</v>
      </c>
      <c r="K749">
        <v>3.18</v>
      </c>
      <c r="L749">
        <v>17</v>
      </c>
      <c r="M749" t="s">
        <v>23</v>
      </c>
      <c r="N749">
        <v>122.57</v>
      </c>
      <c r="O749">
        <v>-5.8118999999999996</v>
      </c>
      <c r="P749">
        <v>-75.2697</v>
      </c>
      <c r="Q749" t="s">
        <v>358</v>
      </c>
      <c r="R749" t="s">
        <v>78</v>
      </c>
      <c r="S749" t="s">
        <v>83</v>
      </c>
      <c r="T749">
        <v>6</v>
      </c>
    </row>
    <row r="750" spans="1:20">
      <c r="A750" t="s">
        <v>1699</v>
      </c>
      <c r="B750">
        <v>6.7</v>
      </c>
      <c r="C750" t="s">
        <v>1700</v>
      </c>
      <c r="D750">
        <v>0</v>
      </c>
      <c r="E750">
        <v>6</v>
      </c>
      <c r="G750">
        <v>0</v>
      </c>
      <c r="H750">
        <v>691</v>
      </c>
      <c r="I750" t="s">
        <v>22</v>
      </c>
      <c r="J750">
        <v>422</v>
      </c>
      <c r="K750">
        <v>0</v>
      </c>
      <c r="L750">
        <v>0</v>
      </c>
      <c r="M750" t="s">
        <v>829</v>
      </c>
      <c r="N750">
        <v>24</v>
      </c>
      <c r="O750">
        <v>-17.745000000000001</v>
      </c>
      <c r="P750">
        <v>-71.649000000000001</v>
      </c>
      <c r="Q750" t="s">
        <v>1701</v>
      </c>
      <c r="R750" t="s">
        <v>78</v>
      </c>
      <c r="S750" t="s">
        <v>83</v>
      </c>
      <c r="T750">
        <v>6</v>
      </c>
    </row>
    <row r="751" spans="1:20">
      <c r="A751" t="s">
        <v>1695</v>
      </c>
      <c r="B751">
        <v>7.6</v>
      </c>
      <c r="C751" s="1">
        <v>37079.401388888888</v>
      </c>
      <c r="D751">
        <v>0</v>
      </c>
      <c r="E751">
        <v>7</v>
      </c>
      <c r="G751">
        <v>0</v>
      </c>
      <c r="H751">
        <v>889</v>
      </c>
      <c r="I751" t="s">
        <v>22</v>
      </c>
      <c r="J751">
        <v>398</v>
      </c>
      <c r="K751">
        <v>0</v>
      </c>
      <c r="L751">
        <v>0</v>
      </c>
      <c r="M751" t="s">
        <v>829</v>
      </c>
      <c r="N751">
        <v>33</v>
      </c>
      <c r="O751">
        <v>-17.542999999999999</v>
      </c>
      <c r="P751">
        <v>-72.076999999999998</v>
      </c>
      <c r="Q751" t="s">
        <v>1696</v>
      </c>
      <c r="R751" t="s">
        <v>78</v>
      </c>
      <c r="S751" t="s">
        <v>83</v>
      </c>
      <c r="T751">
        <v>6</v>
      </c>
    </row>
    <row r="752" spans="1:20">
      <c r="A752" t="s">
        <v>1355</v>
      </c>
      <c r="B752">
        <v>8</v>
      </c>
      <c r="C752" t="s">
        <v>1356</v>
      </c>
      <c r="D752">
        <v>9</v>
      </c>
      <c r="E752">
        <v>8</v>
      </c>
      <c r="G752">
        <v>0</v>
      </c>
      <c r="H752">
        <v>1385</v>
      </c>
      <c r="I752" t="s">
        <v>22</v>
      </c>
      <c r="J752">
        <v>625</v>
      </c>
      <c r="K752">
        <v>0</v>
      </c>
      <c r="L752">
        <v>25.7</v>
      </c>
      <c r="M752" t="s">
        <v>829</v>
      </c>
      <c r="N752">
        <v>39</v>
      </c>
      <c r="O752">
        <v>-13.385999999999999</v>
      </c>
      <c r="P752">
        <v>-76.602999999999994</v>
      </c>
      <c r="Q752" t="s">
        <v>1357</v>
      </c>
      <c r="R752" t="s">
        <v>78</v>
      </c>
      <c r="S752" t="s">
        <v>83</v>
      </c>
      <c r="T752">
        <v>6</v>
      </c>
    </row>
    <row r="753" spans="1:20">
      <c r="A753" t="s">
        <v>1398</v>
      </c>
      <c r="B753">
        <v>6.7</v>
      </c>
      <c r="C753" t="s">
        <v>1399</v>
      </c>
      <c r="D753">
        <v>5</v>
      </c>
      <c r="E753">
        <v>6</v>
      </c>
      <c r="G753">
        <v>0</v>
      </c>
      <c r="H753">
        <v>732</v>
      </c>
      <c r="I753" t="s">
        <v>22</v>
      </c>
      <c r="J753">
        <v>444</v>
      </c>
      <c r="K753">
        <v>0</v>
      </c>
      <c r="L753">
        <v>53.4</v>
      </c>
      <c r="M753" t="s">
        <v>829</v>
      </c>
      <c r="N753">
        <v>23</v>
      </c>
      <c r="O753">
        <v>-13.457000000000001</v>
      </c>
      <c r="P753">
        <v>-76.677000000000007</v>
      </c>
      <c r="Q753" t="s">
        <v>1357</v>
      </c>
      <c r="R753" t="s">
        <v>78</v>
      </c>
      <c r="S753" t="s">
        <v>83</v>
      </c>
      <c r="T753">
        <v>6</v>
      </c>
    </row>
    <row r="754" spans="1:20">
      <c r="A754" t="s">
        <v>1061</v>
      </c>
      <c r="B754">
        <v>6.9</v>
      </c>
      <c r="C754" t="s">
        <v>1062</v>
      </c>
      <c r="D754">
        <v>6</v>
      </c>
      <c r="E754">
        <v>7</v>
      </c>
      <c r="G754">
        <v>0</v>
      </c>
      <c r="H754">
        <v>847</v>
      </c>
      <c r="I754" t="s">
        <v>22</v>
      </c>
      <c r="J754">
        <v>474</v>
      </c>
      <c r="K754">
        <v>0</v>
      </c>
      <c r="L754">
        <v>46.5</v>
      </c>
      <c r="M754" t="s">
        <v>23</v>
      </c>
      <c r="N754">
        <v>24</v>
      </c>
      <c r="O754">
        <v>-14.438000000000001</v>
      </c>
      <c r="P754">
        <v>-75.965999999999994</v>
      </c>
      <c r="Q754" t="s">
        <v>1063</v>
      </c>
      <c r="R754" t="s">
        <v>78</v>
      </c>
      <c r="S754" t="s">
        <v>83</v>
      </c>
      <c r="T754">
        <v>6</v>
      </c>
    </row>
    <row r="755" spans="1:20">
      <c r="A755" t="s">
        <v>1459</v>
      </c>
      <c r="B755">
        <v>7.5</v>
      </c>
      <c r="C755" t="s">
        <v>1460</v>
      </c>
      <c r="D755">
        <v>8</v>
      </c>
      <c r="E755">
        <v>7</v>
      </c>
      <c r="G755">
        <v>0</v>
      </c>
      <c r="H755">
        <v>1018</v>
      </c>
      <c r="I755" t="s">
        <v>22</v>
      </c>
      <c r="J755">
        <v>696</v>
      </c>
      <c r="K755">
        <v>0</v>
      </c>
      <c r="L755">
        <v>26.2</v>
      </c>
      <c r="M755" t="s">
        <v>36</v>
      </c>
      <c r="N755">
        <v>115</v>
      </c>
      <c r="O755">
        <v>-5.6779999999999999</v>
      </c>
      <c r="P755">
        <v>-76.397999999999996</v>
      </c>
      <c r="Q755" t="s">
        <v>1461</v>
      </c>
      <c r="R755" t="s">
        <v>78</v>
      </c>
      <c r="S755" t="s">
        <v>83</v>
      </c>
      <c r="T755">
        <v>6</v>
      </c>
    </row>
    <row r="756" spans="1:20">
      <c r="A756" t="s">
        <v>439</v>
      </c>
      <c r="B756">
        <v>7.3</v>
      </c>
      <c r="C756" t="s">
        <v>440</v>
      </c>
      <c r="D756">
        <v>8</v>
      </c>
      <c r="E756">
        <v>6</v>
      </c>
      <c r="F756" t="s">
        <v>45</v>
      </c>
      <c r="G756">
        <v>1</v>
      </c>
      <c r="H756">
        <v>1570</v>
      </c>
      <c r="I756" t="s">
        <v>22</v>
      </c>
      <c r="J756">
        <v>0</v>
      </c>
      <c r="K756">
        <v>1.8220000000000001</v>
      </c>
      <c r="L756">
        <v>15</v>
      </c>
      <c r="M756" t="s">
        <v>23</v>
      </c>
      <c r="N756">
        <v>146.82</v>
      </c>
      <c r="O756">
        <v>10.773099999999999</v>
      </c>
      <c r="P756">
        <v>-62.901899999999998</v>
      </c>
      <c r="Q756" t="s">
        <v>441</v>
      </c>
      <c r="R756" t="s">
        <v>78</v>
      </c>
      <c r="S756" t="s">
        <v>442</v>
      </c>
      <c r="T756">
        <v>6</v>
      </c>
    </row>
    <row r="757" spans="1:20">
      <c r="A757" t="s">
        <v>154</v>
      </c>
      <c r="B757">
        <v>7.1</v>
      </c>
      <c r="C757" t="s">
        <v>155</v>
      </c>
      <c r="D757">
        <v>1</v>
      </c>
      <c r="E757">
        <v>4</v>
      </c>
      <c r="F757" t="s">
        <v>21</v>
      </c>
      <c r="G757">
        <v>1</v>
      </c>
      <c r="H757">
        <v>776</v>
      </c>
      <c r="I757" t="s">
        <v>22</v>
      </c>
      <c r="J757">
        <v>0</v>
      </c>
      <c r="K757">
        <v>9.7989999999999995</v>
      </c>
      <c r="L757">
        <v>32</v>
      </c>
      <c r="M757" t="s">
        <v>23</v>
      </c>
      <c r="N757">
        <v>6</v>
      </c>
      <c r="O757">
        <v>-60.302599999999998</v>
      </c>
      <c r="P757">
        <v>-24.999199999999998</v>
      </c>
      <c r="Q757" t="s">
        <v>156</v>
      </c>
      <c r="R757" t="s">
        <v>157</v>
      </c>
      <c r="T757">
        <v>7</v>
      </c>
    </row>
    <row r="758" spans="1:20">
      <c r="A758" t="s">
        <v>158</v>
      </c>
      <c r="B758">
        <v>6.6</v>
      </c>
      <c r="C758" t="s">
        <v>159</v>
      </c>
      <c r="D758">
        <v>1</v>
      </c>
      <c r="E758">
        <v>3</v>
      </c>
      <c r="F758" t="s">
        <v>21</v>
      </c>
      <c r="G758">
        <v>1</v>
      </c>
      <c r="H758">
        <v>670</v>
      </c>
      <c r="I758" t="s">
        <v>22</v>
      </c>
      <c r="J758">
        <v>0</v>
      </c>
      <c r="K758">
        <v>8.8650000000000002</v>
      </c>
      <c r="L758">
        <v>19</v>
      </c>
      <c r="M758" t="s">
        <v>23</v>
      </c>
      <c r="N758">
        <v>7</v>
      </c>
      <c r="O758">
        <v>-60.1023</v>
      </c>
      <c r="P758">
        <v>-24.460799999999999</v>
      </c>
      <c r="Q758" t="s">
        <v>156</v>
      </c>
      <c r="R758" t="s">
        <v>157</v>
      </c>
      <c r="T758">
        <v>7</v>
      </c>
    </row>
    <row r="759" spans="1:20">
      <c r="A759" t="s">
        <v>220</v>
      </c>
      <c r="B759">
        <v>6.9</v>
      </c>
      <c r="C759" t="s">
        <v>221</v>
      </c>
      <c r="D759">
        <v>9</v>
      </c>
      <c r="E759">
        <v>5</v>
      </c>
      <c r="F759" t="s">
        <v>21</v>
      </c>
      <c r="G759">
        <v>1</v>
      </c>
      <c r="H759">
        <v>739</v>
      </c>
      <c r="I759" t="s">
        <v>22</v>
      </c>
      <c r="J759">
        <v>0</v>
      </c>
      <c r="K759">
        <v>1.55</v>
      </c>
      <c r="L759">
        <v>16</v>
      </c>
      <c r="M759" t="s">
        <v>23</v>
      </c>
      <c r="N759">
        <v>15</v>
      </c>
      <c r="O759">
        <v>-61.848399999999998</v>
      </c>
      <c r="P759">
        <v>-55.558999999999997</v>
      </c>
      <c r="Q759" t="s">
        <v>222</v>
      </c>
      <c r="R759" t="s">
        <v>157</v>
      </c>
      <c r="T759">
        <v>7</v>
      </c>
    </row>
    <row r="760" spans="1:20">
      <c r="A760" t="s">
        <v>154</v>
      </c>
      <c r="B760">
        <v>7.1</v>
      </c>
      <c r="C760" s="1">
        <v>43416.101388888892</v>
      </c>
      <c r="D760">
        <v>0</v>
      </c>
      <c r="E760">
        <v>5</v>
      </c>
      <c r="F760" t="s">
        <v>21</v>
      </c>
      <c r="G760">
        <v>1</v>
      </c>
      <c r="H760">
        <v>776</v>
      </c>
      <c r="I760" t="s">
        <v>22</v>
      </c>
      <c r="J760">
        <v>0</v>
      </c>
      <c r="K760">
        <v>7.0430000000000001</v>
      </c>
      <c r="L760">
        <v>20</v>
      </c>
      <c r="M760" t="s">
        <v>23</v>
      </c>
      <c r="N760">
        <v>133</v>
      </c>
      <c r="O760">
        <v>-58.544600000000003</v>
      </c>
      <c r="P760">
        <v>-26.3856</v>
      </c>
      <c r="Q760" t="s">
        <v>156</v>
      </c>
      <c r="R760" t="s">
        <v>157</v>
      </c>
      <c r="T760">
        <v>7</v>
      </c>
    </row>
    <row r="761" spans="1:20">
      <c r="A761" t="s">
        <v>485</v>
      </c>
      <c r="B761">
        <v>6.5</v>
      </c>
      <c r="C761" t="s">
        <v>486</v>
      </c>
      <c r="D761">
        <v>1</v>
      </c>
      <c r="E761">
        <v>5</v>
      </c>
      <c r="F761" t="s">
        <v>21</v>
      </c>
      <c r="G761">
        <v>1</v>
      </c>
      <c r="H761">
        <v>651</v>
      </c>
      <c r="I761" t="s">
        <v>22</v>
      </c>
      <c r="J761">
        <v>0</v>
      </c>
      <c r="K761">
        <v>17.654</v>
      </c>
      <c r="L761">
        <v>23</v>
      </c>
      <c r="M761" t="s">
        <v>23</v>
      </c>
      <c r="N761">
        <v>17</v>
      </c>
      <c r="O761">
        <v>-54.218899999999998</v>
      </c>
      <c r="P761">
        <v>2.1627999999999998</v>
      </c>
      <c r="Q761" t="s">
        <v>487</v>
      </c>
      <c r="R761" t="s">
        <v>157</v>
      </c>
      <c r="T761">
        <v>7</v>
      </c>
    </row>
    <row r="762" spans="1:20">
      <c r="A762" t="s">
        <v>174</v>
      </c>
      <c r="B762">
        <v>8.1</v>
      </c>
      <c r="C762" s="1">
        <v>44538.774305555555</v>
      </c>
      <c r="D762">
        <v>0</v>
      </c>
      <c r="E762">
        <v>7</v>
      </c>
      <c r="F762" t="s">
        <v>21</v>
      </c>
      <c r="G762">
        <v>0</v>
      </c>
      <c r="H762">
        <v>1009</v>
      </c>
      <c r="I762" t="s">
        <v>22</v>
      </c>
      <c r="J762">
        <v>0</v>
      </c>
      <c r="K762">
        <v>7.4630000000000001</v>
      </c>
      <c r="L762">
        <v>78</v>
      </c>
      <c r="M762" t="s">
        <v>23</v>
      </c>
      <c r="N762">
        <v>22.79</v>
      </c>
      <c r="O762">
        <v>-58.415700000000001</v>
      </c>
      <c r="P762">
        <v>-25.320599999999999</v>
      </c>
      <c r="Q762" t="s">
        <v>156</v>
      </c>
      <c r="R762" t="s">
        <v>157</v>
      </c>
      <c r="T762">
        <v>7</v>
      </c>
    </row>
    <row r="763" spans="1:20">
      <c r="A763" t="s">
        <v>175</v>
      </c>
      <c r="B763">
        <v>7.5</v>
      </c>
      <c r="C763" s="1">
        <v>44538.772222222222</v>
      </c>
      <c r="D763">
        <v>9</v>
      </c>
      <c r="E763">
        <v>6</v>
      </c>
      <c r="F763" t="s">
        <v>21</v>
      </c>
      <c r="G763">
        <v>1</v>
      </c>
      <c r="H763">
        <v>868</v>
      </c>
      <c r="I763" t="s">
        <v>22</v>
      </c>
      <c r="J763">
        <v>0</v>
      </c>
      <c r="K763">
        <v>7.2270000000000003</v>
      </c>
      <c r="L763">
        <v>38</v>
      </c>
      <c r="M763" t="s">
        <v>23</v>
      </c>
      <c r="N763">
        <v>47.23</v>
      </c>
      <c r="O763">
        <v>-57.5959</v>
      </c>
      <c r="P763">
        <v>-25.1874</v>
      </c>
      <c r="Q763" t="s">
        <v>156</v>
      </c>
      <c r="R763" t="s">
        <v>157</v>
      </c>
      <c r="T763">
        <v>7</v>
      </c>
    </row>
    <row r="764" spans="1:20">
      <c r="A764" t="s">
        <v>627</v>
      </c>
      <c r="B764">
        <v>7.2</v>
      </c>
      <c r="C764" t="s">
        <v>628</v>
      </c>
      <c r="D764">
        <v>1</v>
      </c>
      <c r="E764">
        <v>6</v>
      </c>
      <c r="F764" t="s">
        <v>21</v>
      </c>
      <c r="G764">
        <v>1</v>
      </c>
      <c r="H764">
        <v>798</v>
      </c>
      <c r="I764" t="s">
        <v>22</v>
      </c>
      <c r="J764">
        <v>0</v>
      </c>
      <c r="K764">
        <v>5.8029999999999999</v>
      </c>
      <c r="L764">
        <v>24</v>
      </c>
      <c r="M764" t="s">
        <v>23</v>
      </c>
      <c r="N764">
        <v>78</v>
      </c>
      <c r="O764">
        <v>-56.240900000000003</v>
      </c>
      <c r="P764">
        <v>-26.935300000000002</v>
      </c>
      <c r="Q764" t="s">
        <v>156</v>
      </c>
      <c r="R764" t="s">
        <v>157</v>
      </c>
      <c r="T764">
        <v>7</v>
      </c>
    </row>
    <row r="765" spans="1:20">
      <c r="A765" t="s">
        <v>164</v>
      </c>
      <c r="B765">
        <v>6.9</v>
      </c>
      <c r="C765" t="s">
        <v>165</v>
      </c>
      <c r="D765">
        <v>6</v>
      </c>
      <c r="E765">
        <v>4</v>
      </c>
      <c r="F765" t="s">
        <v>21</v>
      </c>
      <c r="G765">
        <v>1</v>
      </c>
      <c r="H765">
        <v>734</v>
      </c>
      <c r="I765" t="s">
        <v>22</v>
      </c>
      <c r="J765">
        <v>0</v>
      </c>
      <c r="K765">
        <v>8.3629999999999995</v>
      </c>
      <c r="L765">
        <v>48</v>
      </c>
      <c r="M765" t="s">
        <v>23</v>
      </c>
      <c r="N765">
        <v>16.7</v>
      </c>
      <c r="O765">
        <v>-58.381399999999999</v>
      </c>
      <c r="P765">
        <v>-23.331800000000001</v>
      </c>
      <c r="Q765" t="s">
        <v>156</v>
      </c>
      <c r="R765" t="s">
        <v>157</v>
      </c>
      <c r="T765">
        <v>7</v>
      </c>
    </row>
    <row r="766" spans="1:20">
      <c r="A766" t="s">
        <v>164</v>
      </c>
      <c r="B766">
        <v>6.9</v>
      </c>
      <c r="C766" t="s">
        <v>823</v>
      </c>
      <c r="D766">
        <v>0</v>
      </c>
      <c r="E766">
        <v>5</v>
      </c>
      <c r="F766" t="s">
        <v>21</v>
      </c>
      <c r="G766">
        <v>1</v>
      </c>
      <c r="H766">
        <v>732</v>
      </c>
      <c r="I766" t="s">
        <v>22</v>
      </c>
      <c r="J766">
        <v>0</v>
      </c>
      <c r="K766">
        <v>4.8380000000000001</v>
      </c>
      <c r="L766">
        <v>25</v>
      </c>
      <c r="M766" t="s">
        <v>23</v>
      </c>
      <c r="N766">
        <v>8</v>
      </c>
      <c r="O766">
        <v>-55.470300000000002</v>
      </c>
      <c r="P766">
        <v>-28.366900000000001</v>
      </c>
      <c r="Q766" t="s">
        <v>156</v>
      </c>
      <c r="R766" t="s">
        <v>157</v>
      </c>
      <c r="T766">
        <v>7</v>
      </c>
    </row>
    <row r="767" spans="1:20">
      <c r="A767" t="s">
        <v>539</v>
      </c>
      <c r="B767">
        <v>6.5</v>
      </c>
      <c r="C767" s="1">
        <v>43013.974305555559</v>
      </c>
      <c r="D767">
        <v>0</v>
      </c>
      <c r="E767">
        <v>4</v>
      </c>
      <c r="F767" t="s">
        <v>21</v>
      </c>
      <c r="G767">
        <v>1</v>
      </c>
      <c r="H767">
        <v>650</v>
      </c>
      <c r="I767" t="s">
        <v>22</v>
      </c>
      <c r="J767">
        <v>0</v>
      </c>
      <c r="K767">
        <v>6.4889999999999999</v>
      </c>
      <c r="L767">
        <v>17</v>
      </c>
      <c r="M767" t="s">
        <v>23</v>
      </c>
      <c r="N767">
        <v>15</v>
      </c>
      <c r="O767">
        <v>-56.414000000000001</v>
      </c>
      <c r="P767">
        <v>-25.743200000000002</v>
      </c>
      <c r="Q767" t="s">
        <v>156</v>
      </c>
      <c r="R767" t="s">
        <v>157</v>
      </c>
      <c r="T767">
        <v>7</v>
      </c>
    </row>
    <row r="768" spans="1:20">
      <c r="A768" t="s">
        <v>239</v>
      </c>
      <c r="B768">
        <v>6.9</v>
      </c>
      <c r="C768" t="s">
        <v>240</v>
      </c>
      <c r="D768">
        <v>0</v>
      </c>
      <c r="E768">
        <v>3</v>
      </c>
      <c r="F768" t="s">
        <v>21</v>
      </c>
      <c r="G768">
        <v>1</v>
      </c>
      <c r="H768">
        <v>732</v>
      </c>
      <c r="I768" t="s">
        <v>22</v>
      </c>
      <c r="J768">
        <v>0</v>
      </c>
      <c r="K768">
        <v>11.255000000000001</v>
      </c>
      <c r="L768">
        <v>16</v>
      </c>
      <c r="M768" t="s">
        <v>23</v>
      </c>
      <c r="N768">
        <v>10</v>
      </c>
      <c r="O768">
        <v>0.96040000000000003</v>
      </c>
      <c r="P768">
        <v>-26.833200000000001</v>
      </c>
      <c r="Q768" t="s">
        <v>241</v>
      </c>
      <c r="R768" t="s">
        <v>1749</v>
      </c>
      <c r="S768" t="s">
        <v>1750</v>
      </c>
      <c r="T768">
        <v>8</v>
      </c>
    </row>
    <row r="769" spans="1:20">
      <c r="A769" t="s">
        <v>246</v>
      </c>
      <c r="B769">
        <v>6.5</v>
      </c>
      <c r="C769" t="s">
        <v>247</v>
      </c>
      <c r="D769">
        <v>4</v>
      </c>
      <c r="E769">
        <v>5</v>
      </c>
      <c r="F769" t="s">
        <v>21</v>
      </c>
      <c r="G769">
        <v>0</v>
      </c>
      <c r="H769">
        <v>651</v>
      </c>
      <c r="I769" t="s">
        <v>22</v>
      </c>
      <c r="J769">
        <v>0</v>
      </c>
      <c r="K769">
        <v>15.394</v>
      </c>
      <c r="L769">
        <v>31</v>
      </c>
      <c r="M769" t="s">
        <v>23</v>
      </c>
      <c r="N769">
        <v>10</v>
      </c>
      <c r="O769">
        <v>0.86960000000000004</v>
      </c>
      <c r="P769">
        <v>-29.704599999999999</v>
      </c>
      <c r="Q769" t="s">
        <v>241</v>
      </c>
      <c r="R769" t="s">
        <v>1749</v>
      </c>
      <c r="S769" t="s">
        <v>1750</v>
      </c>
      <c r="T769">
        <v>8</v>
      </c>
    </row>
    <row r="770" spans="1:20">
      <c r="A770" t="s">
        <v>198</v>
      </c>
      <c r="B770">
        <v>6.7</v>
      </c>
      <c r="C770" s="1">
        <v>44535.586805555555</v>
      </c>
      <c r="D770">
        <v>9</v>
      </c>
      <c r="E770">
        <v>3</v>
      </c>
      <c r="F770" t="s">
        <v>21</v>
      </c>
      <c r="G770">
        <v>0</v>
      </c>
      <c r="H770">
        <v>694</v>
      </c>
      <c r="I770" t="s">
        <v>22</v>
      </c>
      <c r="J770">
        <v>0</v>
      </c>
      <c r="K770">
        <v>10.669</v>
      </c>
      <c r="L770">
        <v>45</v>
      </c>
      <c r="M770" t="s">
        <v>23</v>
      </c>
      <c r="N770">
        <v>10</v>
      </c>
      <c r="O770">
        <v>-17.249500000000001</v>
      </c>
      <c r="P770">
        <v>66.374499999999998</v>
      </c>
      <c r="Q770" t="s">
        <v>199</v>
      </c>
      <c r="R770" t="s">
        <v>1749</v>
      </c>
      <c r="S770" t="s">
        <v>1750</v>
      </c>
      <c r="T770">
        <v>8</v>
      </c>
    </row>
    <row r="771" spans="1:20">
      <c r="A771" t="s">
        <v>814</v>
      </c>
      <c r="B771">
        <v>6.9</v>
      </c>
      <c r="C771" s="1">
        <v>41706.015277777777</v>
      </c>
      <c r="D771">
        <v>0</v>
      </c>
      <c r="E771">
        <v>4</v>
      </c>
      <c r="F771" t="s">
        <v>21</v>
      </c>
      <c r="G771">
        <v>1</v>
      </c>
      <c r="H771">
        <v>732</v>
      </c>
      <c r="I771" t="s">
        <v>22</v>
      </c>
      <c r="J771">
        <v>0</v>
      </c>
      <c r="K771">
        <v>6.3929999999999998</v>
      </c>
      <c r="L771">
        <v>12</v>
      </c>
      <c r="M771" t="s">
        <v>23</v>
      </c>
      <c r="N771">
        <v>13</v>
      </c>
      <c r="O771">
        <v>0.82950000000000002</v>
      </c>
      <c r="P771">
        <v>146.16900000000001</v>
      </c>
      <c r="Q771" t="s">
        <v>815</v>
      </c>
      <c r="R771" t="s">
        <v>1749</v>
      </c>
      <c r="S771" t="s">
        <v>1750</v>
      </c>
      <c r="T771">
        <v>8</v>
      </c>
    </row>
    <row r="772" spans="1:20">
      <c r="A772" t="s">
        <v>931</v>
      </c>
      <c r="B772">
        <v>6.6</v>
      </c>
      <c r="C772" t="s">
        <v>932</v>
      </c>
      <c r="D772">
        <v>0</v>
      </c>
      <c r="E772">
        <v>7</v>
      </c>
      <c r="F772" t="s">
        <v>21</v>
      </c>
      <c r="G772">
        <v>1</v>
      </c>
      <c r="H772">
        <v>670</v>
      </c>
      <c r="I772" t="s">
        <v>22</v>
      </c>
      <c r="J772">
        <v>111</v>
      </c>
      <c r="K772">
        <v>0</v>
      </c>
      <c r="L772">
        <v>16</v>
      </c>
      <c r="M772" t="s">
        <v>23</v>
      </c>
      <c r="N772">
        <v>10</v>
      </c>
      <c r="O772">
        <v>10.701000000000001</v>
      </c>
      <c r="P772">
        <v>-42.594000000000001</v>
      </c>
      <c r="Q772" t="s">
        <v>933</v>
      </c>
      <c r="R772" t="s">
        <v>1749</v>
      </c>
      <c r="S772" t="s">
        <v>1750</v>
      </c>
      <c r="T772">
        <v>8</v>
      </c>
    </row>
    <row r="773" spans="1:20">
      <c r="A773" t="s">
        <v>1038</v>
      </c>
      <c r="B773">
        <v>8.6</v>
      </c>
      <c r="C773" s="1">
        <v>41217.359722222223</v>
      </c>
      <c r="D773">
        <v>9</v>
      </c>
      <c r="E773">
        <v>7</v>
      </c>
      <c r="F773" t="s">
        <v>45</v>
      </c>
      <c r="G773">
        <v>0</v>
      </c>
      <c r="H773">
        <v>2048</v>
      </c>
      <c r="I773" t="s">
        <v>1039</v>
      </c>
      <c r="J773">
        <v>499</v>
      </c>
      <c r="K773">
        <v>0</v>
      </c>
      <c r="L773">
        <v>16.600000000000001</v>
      </c>
      <c r="M773" t="s">
        <v>345</v>
      </c>
      <c r="N773">
        <v>20</v>
      </c>
      <c r="O773">
        <v>2.327</v>
      </c>
      <c r="P773">
        <v>93.063000000000002</v>
      </c>
      <c r="Q773" t="s">
        <v>1037</v>
      </c>
      <c r="R773" t="s">
        <v>1749</v>
      </c>
      <c r="S773" t="s">
        <v>1750</v>
      </c>
      <c r="T773">
        <v>8</v>
      </c>
    </row>
    <row r="774" spans="1:20">
      <c r="A774" t="s">
        <v>1036</v>
      </c>
      <c r="B774">
        <v>8.1999999999999993</v>
      </c>
      <c r="C774" s="1">
        <v>41217.446527777778</v>
      </c>
      <c r="D774">
        <v>9</v>
      </c>
      <c r="E774">
        <v>6</v>
      </c>
      <c r="F774" t="s">
        <v>21</v>
      </c>
      <c r="G774">
        <v>0</v>
      </c>
      <c r="H774">
        <v>1213</v>
      </c>
      <c r="I774" t="s">
        <v>22</v>
      </c>
      <c r="J774">
        <v>341</v>
      </c>
      <c r="K774">
        <v>0</v>
      </c>
      <c r="L774">
        <v>14.9</v>
      </c>
      <c r="M774" t="s">
        <v>829</v>
      </c>
      <c r="N774">
        <v>25.1</v>
      </c>
      <c r="O774">
        <v>0.80200000000000005</v>
      </c>
      <c r="P774">
        <v>92.462999999999994</v>
      </c>
      <c r="Q774" t="s">
        <v>1037</v>
      </c>
      <c r="R774" t="s">
        <v>1749</v>
      </c>
      <c r="S774" t="s">
        <v>1750</v>
      </c>
      <c r="T774">
        <v>8</v>
      </c>
    </row>
    <row r="775" spans="1:20">
      <c r="A775" t="s">
        <v>1053</v>
      </c>
      <c r="B775">
        <v>7.2</v>
      </c>
      <c r="C775" s="1">
        <v>41183.775000000001</v>
      </c>
      <c r="D775">
        <v>4</v>
      </c>
      <c r="E775">
        <v>4</v>
      </c>
      <c r="G775">
        <v>0</v>
      </c>
      <c r="H775">
        <v>838</v>
      </c>
      <c r="I775" t="s">
        <v>22</v>
      </c>
      <c r="J775">
        <v>443</v>
      </c>
      <c r="K775">
        <v>0</v>
      </c>
      <c r="L775">
        <v>17</v>
      </c>
      <c r="M775" t="s">
        <v>23</v>
      </c>
      <c r="N775">
        <v>19</v>
      </c>
      <c r="O775">
        <v>2.4329999999999998</v>
      </c>
      <c r="P775">
        <v>93.21</v>
      </c>
      <c r="Q775" t="s">
        <v>1037</v>
      </c>
      <c r="R775" t="s">
        <v>1749</v>
      </c>
      <c r="S775" t="s">
        <v>1750</v>
      </c>
      <c r="T775">
        <v>8</v>
      </c>
    </row>
    <row r="776" spans="1:20">
      <c r="A776" t="s">
        <v>399</v>
      </c>
      <c r="B776">
        <v>6.7</v>
      </c>
      <c r="C776" s="1">
        <v>43354.075694444444</v>
      </c>
      <c r="D776">
        <v>3</v>
      </c>
      <c r="E776">
        <v>4</v>
      </c>
      <c r="F776" t="s">
        <v>21</v>
      </c>
      <c r="G776">
        <v>1</v>
      </c>
      <c r="H776">
        <v>693</v>
      </c>
      <c r="I776" t="s">
        <v>22</v>
      </c>
      <c r="J776">
        <v>0</v>
      </c>
      <c r="K776">
        <v>7.8529999999999998</v>
      </c>
      <c r="L776">
        <v>19</v>
      </c>
      <c r="M776" t="s">
        <v>23</v>
      </c>
      <c r="N776">
        <v>10</v>
      </c>
      <c r="O776">
        <v>71.631200000000007</v>
      </c>
      <c r="P776">
        <v>-11.2431</v>
      </c>
      <c r="Q776" t="s">
        <v>400</v>
      </c>
      <c r="R776" t="s">
        <v>1749</v>
      </c>
      <c r="S776" t="s">
        <v>1750</v>
      </c>
      <c r="T776">
        <v>8</v>
      </c>
    </row>
    <row r="777" spans="1:20">
      <c r="A777" t="s">
        <v>268</v>
      </c>
      <c r="B777">
        <v>7.4</v>
      </c>
      <c r="C777" t="s">
        <v>269</v>
      </c>
      <c r="D777">
        <v>7</v>
      </c>
      <c r="E777">
        <v>7</v>
      </c>
      <c r="F777" t="s">
        <v>21</v>
      </c>
      <c r="G777">
        <v>1</v>
      </c>
      <c r="H777">
        <v>873</v>
      </c>
      <c r="I777" t="s">
        <v>22</v>
      </c>
      <c r="J777">
        <v>0</v>
      </c>
      <c r="K777">
        <v>4.0350000000000001</v>
      </c>
      <c r="L777">
        <v>23</v>
      </c>
      <c r="M777" t="s">
        <v>23</v>
      </c>
      <c r="N777">
        <v>10</v>
      </c>
      <c r="O777">
        <v>-33.293799999999997</v>
      </c>
      <c r="P777">
        <v>-177.83799999999999</v>
      </c>
      <c r="Q777" t="s">
        <v>71</v>
      </c>
      <c r="R777" t="s">
        <v>1749</v>
      </c>
      <c r="S777" t="s">
        <v>1750</v>
      </c>
      <c r="T777">
        <v>8</v>
      </c>
    </row>
    <row r="778" spans="1:20">
      <c r="A778" t="s">
        <v>69</v>
      </c>
      <c r="B778">
        <v>6.6</v>
      </c>
      <c r="C778" t="s">
        <v>70</v>
      </c>
      <c r="D778">
        <v>7</v>
      </c>
      <c r="E778">
        <v>6</v>
      </c>
      <c r="F778" t="s">
        <v>21</v>
      </c>
      <c r="G778">
        <v>1</v>
      </c>
      <c r="H778">
        <v>672</v>
      </c>
      <c r="I778" t="s">
        <v>22</v>
      </c>
      <c r="J778">
        <v>68</v>
      </c>
      <c r="K778">
        <v>5.2930000000000001</v>
      </c>
      <c r="L778">
        <v>34</v>
      </c>
      <c r="M778" t="s">
        <v>23</v>
      </c>
      <c r="N778">
        <v>30</v>
      </c>
      <c r="O778">
        <v>-32.6922</v>
      </c>
      <c r="P778">
        <v>-178.959</v>
      </c>
      <c r="Q778" t="s">
        <v>71</v>
      </c>
      <c r="R778" t="s">
        <v>1749</v>
      </c>
      <c r="S778" t="s">
        <v>1750</v>
      </c>
      <c r="T778">
        <v>8</v>
      </c>
    </row>
    <row r="779" spans="1:20">
      <c r="A779" t="s">
        <v>877</v>
      </c>
      <c r="B779">
        <v>6.5</v>
      </c>
      <c r="C779" s="1">
        <v>41672.393055555556</v>
      </c>
      <c r="D779">
        <v>0</v>
      </c>
      <c r="E779">
        <v>3</v>
      </c>
      <c r="F779" t="s">
        <v>21</v>
      </c>
      <c r="G779">
        <v>1</v>
      </c>
      <c r="H779">
        <v>650</v>
      </c>
      <c r="I779" t="s">
        <v>22</v>
      </c>
      <c r="J779">
        <v>0</v>
      </c>
      <c r="K779">
        <v>3.6509999999999998</v>
      </c>
      <c r="L779">
        <v>22</v>
      </c>
      <c r="M779" t="s">
        <v>23</v>
      </c>
      <c r="N779">
        <v>44.26</v>
      </c>
      <c r="O779">
        <v>-32.907600000000002</v>
      </c>
      <c r="P779">
        <v>-177.881</v>
      </c>
      <c r="Q779" t="s">
        <v>71</v>
      </c>
      <c r="R779" t="s">
        <v>1749</v>
      </c>
      <c r="S779" t="s">
        <v>1750</v>
      </c>
      <c r="T779">
        <v>8</v>
      </c>
    </row>
    <row r="780" spans="1:20">
      <c r="A780" t="s">
        <v>1386</v>
      </c>
      <c r="B780">
        <v>8.1</v>
      </c>
      <c r="C780" t="s">
        <v>1387</v>
      </c>
      <c r="D780">
        <v>4</v>
      </c>
      <c r="E780">
        <v>5</v>
      </c>
      <c r="G780">
        <v>0</v>
      </c>
      <c r="H780">
        <v>1034</v>
      </c>
      <c r="I780" t="s">
        <v>22</v>
      </c>
      <c r="J780">
        <v>606</v>
      </c>
      <c r="K780">
        <v>0</v>
      </c>
      <c r="L780">
        <v>14</v>
      </c>
      <c r="M780" t="s">
        <v>829</v>
      </c>
      <c r="N780">
        <v>10</v>
      </c>
      <c r="O780">
        <v>46.243000000000002</v>
      </c>
      <c r="P780">
        <v>154.524</v>
      </c>
      <c r="Q780" t="s">
        <v>1388</v>
      </c>
      <c r="R780" t="s">
        <v>1749</v>
      </c>
      <c r="S780" t="s">
        <v>1750</v>
      </c>
      <c r="T780">
        <v>8</v>
      </c>
    </row>
    <row r="781" spans="1:20">
      <c r="A781" t="s">
        <v>84</v>
      </c>
      <c r="B781">
        <v>6.9</v>
      </c>
      <c r="C781" t="s">
        <v>85</v>
      </c>
      <c r="D781">
        <v>2</v>
      </c>
      <c r="E781">
        <v>5</v>
      </c>
      <c r="F781" t="s">
        <v>21</v>
      </c>
      <c r="G781">
        <v>1</v>
      </c>
      <c r="H781">
        <v>733</v>
      </c>
      <c r="I781" t="s">
        <v>22</v>
      </c>
      <c r="J781">
        <v>127</v>
      </c>
      <c r="K781">
        <v>0.371</v>
      </c>
      <c r="L781">
        <v>45</v>
      </c>
      <c r="M781" t="s">
        <v>23</v>
      </c>
      <c r="N781">
        <v>10</v>
      </c>
      <c r="O781">
        <v>-54.1325</v>
      </c>
      <c r="P781">
        <v>159.02699999999999</v>
      </c>
      <c r="R781" t="s">
        <v>1749</v>
      </c>
      <c r="S781" t="s">
        <v>1750</v>
      </c>
      <c r="T781">
        <v>8</v>
      </c>
    </row>
    <row r="782" spans="1:20">
      <c r="A782" t="s">
        <v>84</v>
      </c>
      <c r="B782">
        <v>6.9</v>
      </c>
      <c r="C782" t="s">
        <v>629</v>
      </c>
      <c r="D782">
        <v>3</v>
      </c>
      <c r="E782">
        <v>3</v>
      </c>
      <c r="F782" t="s">
        <v>21</v>
      </c>
      <c r="G782">
        <v>1</v>
      </c>
      <c r="H782">
        <v>733</v>
      </c>
      <c r="I782" t="s">
        <v>22</v>
      </c>
      <c r="J782">
        <v>0</v>
      </c>
      <c r="K782">
        <v>5.4850000000000003</v>
      </c>
      <c r="L782">
        <v>19</v>
      </c>
      <c r="M782" t="s">
        <v>23</v>
      </c>
      <c r="N782">
        <v>405.69</v>
      </c>
      <c r="O782">
        <v>-21.9724</v>
      </c>
      <c r="P782">
        <v>-178.20400000000001</v>
      </c>
      <c r="R782" t="s">
        <v>1749</v>
      </c>
      <c r="S782" t="s">
        <v>1750</v>
      </c>
      <c r="T782">
        <v>8</v>
      </c>
    </row>
    <row r="783" spans="1:20">
      <c r="A783" t="s">
        <v>34</v>
      </c>
      <c r="B783">
        <v>6.6</v>
      </c>
      <c r="C783" s="1">
        <v>44815.426388888889</v>
      </c>
      <c r="D783">
        <v>0</v>
      </c>
      <c r="E783">
        <v>2</v>
      </c>
      <c r="F783" t="s">
        <v>21</v>
      </c>
      <c r="G783">
        <v>1</v>
      </c>
      <c r="H783">
        <v>670</v>
      </c>
      <c r="I783" t="s">
        <v>22</v>
      </c>
      <c r="J783">
        <v>131</v>
      </c>
      <c r="K783">
        <v>4.9980000000000002</v>
      </c>
      <c r="L783">
        <v>27</v>
      </c>
      <c r="M783" t="s">
        <v>23</v>
      </c>
      <c r="N783">
        <v>624.46400000000006</v>
      </c>
      <c r="O783">
        <v>-25.594799999999999</v>
      </c>
      <c r="P783">
        <v>178.27799999999999</v>
      </c>
      <c r="R783" t="s">
        <v>1749</v>
      </c>
      <c r="S783" t="s">
        <v>1750</v>
      </c>
      <c r="T783">
        <v>8</v>
      </c>
    </row>
  </sheetData>
  <sortState xmlns:xlrd2="http://schemas.microsoft.com/office/spreadsheetml/2017/richdata2" ref="A2:S789">
    <sortCondition ref="S1:S789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Covariance</vt:lpstr>
      <vt:lpstr>Total # by Country</vt:lpstr>
      <vt:lpstr>Total # by Continent</vt:lpstr>
      <vt:lpstr>Correlation</vt:lpstr>
      <vt:lpstr>Updated earthquake_data</vt:lpstr>
      <vt:lpstr>MMDD Graph</vt:lpstr>
      <vt:lpstr>MM Graph</vt:lpstr>
      <vt:lpstr>MM Updated Data</vt:lpstr>
      <vt:lpstr>Orignial earthquake_data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2023-03-14T05:20:27Z</dcterms:created>
  <dcterms:modified xsi:type="dcterms:W3CDTF">2023-03-15T02:32:42Z</dcterms:modified>
</cp:coreProperties>
</file>